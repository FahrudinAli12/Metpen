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N\"/>
    </mc:Choice>
  </mc:AlternateContent>
  <xr:revisionPtr revIDLastSave="0" documentId="13_ncr:1_{CDAE46CA-978A-4372-9BFB-0E7DB74469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abetes" sheetId="1" r:id="rId1"/>
    <sheet name="Testing" sheetId="2" r:id="rId2"/>
    <sheet name="Training" sheetId="3" r:id="rId3"/>
  </sheets>
  <definedNames>
    <definedName name="_xlnm._FilterDatabase" localSheetId="1" hidden="1">Testing!$A$1:$V$154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" i="2" l="1" a="1"/>
  <c r="T2" i="2" s="1"/>
  <c r="Z7" i="2"/>
  <c r="Z11" i="2" l="1"/>
  <c r="Z10" i="2"/>
  <c r="Z9" i="2"/>
  <c r="K3" i="3"/>
  <c r="L3" i="3"/>
  <c r="M3" i="3"/>
  <c r="N3" i="3"/>
  <c r="O3" i="3"/>
  <c r="P3" i="3"/>
  <c r="Q3" i="3"/>
  <c r="R3" i="3"/>
  <c r="K4" i="3"/>
  <c r="L4" i="3"/>
  <c r="M4" i="3"/>
  <c r="N4" i="3"/>
  <c r="O4" i="3"/>
  <c r="P4" i="3"/>
  <c r="Q4" i="3"/>
  <c r="R4" i="3"/>
  <c r="K5" i="3"/>
  <c r="L5" i="3"/>
  <c r="M5" i="3"/>
  <c r="N5" i="3"/>
  <c r="O5" i="3"/>
  <c r="P5" i="3"/>
  <c r="Q5" i="3"/>
  <c r="R5" i="3"/>
  <c r="K6" i="3"/>
  <c r="L6" i="3"/>
  <c r="M6" i="3"/>
  <c r="N6" i="3"/>
  <c r="O6" i="3"/>
  <c r="P6" i="3"/>
  <c r="Q6" i="3"/>
  <c r="R6" i="3"/>
  <c r="K7" i="3"/>
  <c r="L7" i="3"/>
  <c r="M7" i="3"/>
  <c r="N7" i="3"/>
  <c r="O7" i="3"/>
  <c r="P7" i="3"/>
  <c r="Q7" i="3"/>
  <c r="R7" i="3"/>
  <c r="K8" i="3"/>
  <c r="L8" i="3"/>
  <c r="M8" i="3"/>
  <c r="N8" i="3"/>
  <c r="O8" i="3"/>
  <c r="P8" i="3"/>
  <c r="Q8" i="3"/>
  <c r="R8" i="3"/>
  <c r="K9" i="3"/>
  <c r="L9" i="3"/>
  <c r="M9" i="3"/>
  <c r="N9" i="3"/>
  <c r="O9" i="3"/>
  <c r="P9" i="3"/>
  <c r="Q9" i="3"/>
  <c r="R9" i="3"/>
  <c r="K10" i="3"/>
  <c r="L10" i="3"/>
  <c r="M10" i="3"/>
  <c r="N10" i="3"/>
  <c r="O10" i="3"/>
  <c r="P10" i="3"/>
  <c r="Q10" i="3"/>
  <c r="R10" i="3"/>
  <c r="K11" i="3"/>
  <c r="L11" i="3"/>
  <c r="M11" i="3"/>
  <c r="N11" i="3"/>
  <c r="O11" i="3"/>
  <c r="P11" i="3"/>
  <c r="Q11" i="3"/>
  <c r="R11" i="3"/>
  <c r="K12" i="3"/>
  <c r="L12" i="3"/>
  <c r="M12" i="3"/>
  <c r="N12" i="3"/>
  <c r="O12" i="3"/>
  <c r="P12" i="3"/>
  <c r="Q12" i="3"/>
  <c r="R12" i="3"/>
  <c r="K13" i="3"/>
  <c r="L13" i="3"/>
  <c r="M13" i="3"/>
  <c r="N13" i="3"/>
  <c r="O13" i="3"/>
  <c r="P13" i="3"/>
  <c r="Q13" i="3"/>
  <c r="R13" i="3"/>
  <c r="K14" i="3"/>
  <c r="L14" i="3"/>
  <c r="M14" i="3"/>
  <c r="N14" i="3"/>
  <c r="O14" i="3"/>
  <c r="P14" i="3"/>
  <c r="Q14" i="3"/>
  <c r="R14" i="3"/>
  <c r="K15" i="3"/>
  <c r="L15" i="3"/>
  <c r="M15" i="3"/>
  <c r="N15" i="3"/>
  <c r="O15" i="3"/>
  <c r="P15" i="3"/>
  <c r="Q15" i="3"/>
  <c r="R15" i="3"/>
  <c r="K16" i="3"/>
  <c r="L16" i="3"/>
  <c r="M16" i="3"/>
  <c r="N16" i="3"/>
  <c r="O16" i="3"/>
  <c r="P16" i="3"/>
  <c r="Q16" i="3"/>
  <c r="R16" i="3"/>
  <c r="K17" i="3"/>
  <c r="L17" i="3"/>
  <c r="M17" i="3"/>
  <c r="N17" i="3"/>
  <c r="O17" i="3"/>
  <c r="P17" i="3"/>
  <c r="Q17" i="3"/>
  <c r="R17" i="3"/>
  <c r="K18" i="3"/>
  <c r="L18" i="3"/>
  <c r="M18" i="3"/>
  <c r="N18" i="3"/>
  <c r="O18" i="3"/>
  <c r="P18" i="3"/>
  <c r="Q18" i="3"/>
  <c r="R18" i="3"/>
  <c r="K19" i="3"/>
  <c r="L19" i="3"/>
  <c r="M19" i="3"/>
  <c r="N19" i="3"/>
  <c r="O19" i="3"/>
  <c r="P19" i="3"/>
  <c r="Q19" i="3"/>
  <c r="R19" i="3"/>
  <c r="K20" i="3"/>
  <c r="L20" i="3"/>
  <c r="M20" i="3"/>
  <c r="N20" i="3"/>
  <c r="O20" i="3"/>
  <c r="P20" i="3"/>
  <c r="Q20" i="3"/>
  <c r="R20" i="3"/>
  <c r="K21" i="3"/>
  <c r="L21" i="3"/>
  <c r="M21" i="3"/>
  <c r="N21" i="3"/>
  <c r="O21" i="3"/>
  <c r="P21" i="3"/>
  <c r="Q21" i="3"/>
  <c r="R21" i="3"/>
  <c r="K22" i="3"/>
  <c r="L22" i="3"/>
  <c r="M22" i="3"/>
  <c r="N22" i="3"/>
  <c r="O22" i="3"/>
  <c r="P22" i="3"/>
  <c r="Q22" i="3"/>
  <c r="R22" i="3"/>
  <c r="K23" i="3"/>
  <c r="L23" i="3"/>
  <c r="M23" i="3"/>
  <c r="N23" i="3"/>
  <c r="O23" i="3"/>
  <c r="P23" i="3"/>
  <c r="Q23" i="3"/>
  <c r="R23" i="3"/>
  <c r="K24" i="3"/>
  <c r="L24" i="3"/>
  <c r="M24" i="3"/>
  <c r="N24" i="3"/>
  <c r="O24" i="3"/>
  <c r="P24" i="3"/>
  <c r="Q24" i="3"/>
  <c r="R24" i="3"/>
  <c r="K25" i="3"/>
  <c r="L25" i="3"/>
  <c r="M25" i="3"/>
  <c r="N25" i="3"/>
  <c r="O25" i="3"/>
  <c r="P25" i="3"/>
  <c r="Q25" i="3"/>
  <c r="R25" i="3"/>
  <c r="K26" i="3"/>
  <c r="L26" i="3"/>
  <c r="M26" i="3"/>
  <c r="N26" i="3"/>
  <c r="O26" i="3"/>
  <c r="P26" i="3"/>
  <c r="Q26" i="3"/>
  <c r="R26" i="3"/>
  <c r="K27" i="3"/>
  <c r="L27" i="3"/>
  <c r="M27" i="3"/>
  <c r="N27" i="3"/>
  <c r="O27" i="3"/>
  <c r="P27" i="3"/>
  <c r="Q27" i="3"/>
  <c r="R27" i="3"/>
  <c r="K28" i="3"/>
  <c r="L28" i="3"/>
  <c r="M28" i="3"/>
  <c r="N28" i="3"/>
  <c r="O28" i="3"/>
  <c r="P28" i="3"/>
  <c r="Q28" i="3"/>
  <c r="R28" i="3"/>
  <c r="K29" i="3"/>
  <c r="L29" i="3"/>
  <c r="M29" i="3"/>
  <c r="N29" i="3"/>
  <c r="O29" i="3"/>
  <c r="P29" i="3"/>
  <c r="Q29" i="3"/>
  <c r="R29" i="3"/>
  <c r="K30" i="3"/>
  <c r="L30" i="3"/>
  <c r="M30" i="3"/>
  <c r="N30" i="3"/>
  <c r="O30" i="3"/>
  <c r="P30" i="3"/>
  <c r="Q30" i="3"/>
  <c r="R30" i="3"/>
  <c r="K31" i="3"/>
  <c r="L31" i="3"/>
  <c r="M31" i="3"/>
  <c r="N31" i="3"/>
  <c r="O31" i="3"/>
  <c r="P31" i="3"/>
  <c r="Q31" i="3"/>
  <c r="R31" i="3"/>
  <c r="K32" i="3"/>
  <c r="L32" i="3"/>
  <c r="M32" i="3"/>
  <c r="N32" i="3"/>
  <c r="O32" i="3"/>
  <c r="P32" i="3"/>
  <c r="Q32" i="3"/>
  <c r="R32" i="3"/>
  <c r="K33" i="3"/>
  <c r="L33" i="3"/>
  <c r="M33" i="3"/>
  <c r="N33" i="3"/>
  <c r="O33" i="3"/>
  <c r="P33" i="3"/>
  <c r="Q33" i="3"/>
  <c r="R33" i="3"/>
  <c r="K34" i="3"/>
  <c r="L34" i="3"/>
  <c r="M34" i="3"/>
  <c r="N34" i="3"/>
  <c r="O34" i="3"/>
  <c r="P34" i="3"/>
  <c r="Q34" i="3"/>
  <c r="R34" i="3"/>
  <c r="K35" i="3"/>
  <c r="L35" i="3"/>
  <c r="M35" i="3"/>
  <c r="N35" i="3"/>
  <c r="O35" i="3"/>
  <c r="P35" i="3"/>
  <c r="Q35" i="3"/>
  <c r="R35" i="3"/>
  <c r="K36" i="3"/>
  <c r="L36" i="3"/>
  <c r="M36" i="3"/>
  <c r="N36" i="3"/>
  <c r="O36" i="3"/>
  <c r="P36" i="3"/>
  <c r="Q36" i="3"/>
  <c r="R36" i="3"/>
  <c r="K37" i="3"/>
  <c r="L37" i="3"/>
  <c r="M37" i="3"/>
  <c r="N37" i="3"/>
  <c r="O37" i="3"/>
  <c r="P37" i="3"/>
  <c r="Q37" i="3"/>
  <c r="R37" i="3"/>
  <c r="K38" i="3"/>
  <c r="L38" i="3"/>
  <c r="M38" i="3"/>
  <c r="N38" i="3"/>
  <c r="O38" i="3"/>
  <c r="P38" i="3"/>
  <c r="Q38" i="3"/>
  <c r="R38" i="3"/>
  <c r="K39" i="3"/>
  <c r="L39" i="3"/>
  <c r="M39" i="3"/>
  <c r="N39" i="3"/>
  <c r="O39" i="3"/>
  <c r="P39" i="3"/>
  <c r="Q39" i="3"/>
  <c r="R39" i="3"/>
  <c r="K40" i="3"/>
  <c r="L40" i="3"/>
  <c r="M40" i="3"/>
  <c r="N40" i="3"/>
  <c r="O40" i="3"/>
  <c r="P40" i="3"/>
  <c r="Q40" i="3"/>
  <c r="R40" i="3"/>
  <c r="K41" i="3"/>
  <c r="L41" i="3"/>
  <c r="M41" i="3"/>
  <c r="N41" i="3"/>
  <c r="O41" i="3"/>
  <c r="P41" i="3"/>
  <c r="Q41" i="3"/>
  <c r="R41" i="3"/>
  <c r="K42" i="3"/>
  <c r="L42" i="3"/>
  <c r="M42" i="3"/>
  <c r="N42" i="3"/>
  <c r="O42" i="3"/>
  <c r="P42" i="3"/>
  <c r="Q42" i="3"/>
  <c r="R42" i="3"/>
  <c r="K43" i="3"/>
  <c r="L43" i="3"/>
  <c r="M43" i="3"/>
  <c r="N43" i="3"/>
  <c r="O43" i="3"/>
  <c r="P43" i="3"/>
  <c r="Q43" i="3"/>
  <c r="R43" i="3"/>
  <c r="K44" i="3"/>
  <c r="L44" i="3"/>
  <c r="M44" i="3"/>
  <c r="N44" i="3"/>
  <c r="O44" i="3"/>
  <c r="P44" i="3"/>
  <c r="Q44" i="3"/>
  <c r="R44" i="3"/>
  <c r="K45" i="3"/>
  <c r="L45" i="3"/>
  <c r="M45" i="3"/>
  <c r="N45" i="3"/>
  <c r="O45" i="3"/>
  <c r="P45" i="3"/>
  <c r="Q45" i="3"/>
  <c r="R45" i="3"/>
  <c r="K46" i="3"/>
  <c r="L46" i="3"/>
  <c r="M46" i="3"/>
  <c r="N46" i="3"/>
  <c r="O46" i="3"/>
  <c r="P46" i="3"/>
  <c r="Q46" i="3"/>
  <c r="R46" i="3"/>
  <c r="K47" i="3"/>
  <c r="L47" i="3"/>
  <c r="M47" i="3"/>
  <c r="N47" i="3"/>
  <c r="O47" i="3"/>
  <c r="P47" i="3"/>
  <c r="Q47" i="3"/>
  <c r="R47" i="3"/>
  <c r="K48" i="3"/>
  <c r="L48" i="3"/>
  <c r="M48" i="3"/>
  <c r="N48" i="3"/>
  <c r="O48" i="3"/>
  <c r="P48" i="3"/>
  <c r="Q48" i="3"/>
  <c r="R48" i="3"/>
  <c r="K49" i="3"/>
  <c r="L49" i="3"/>
  <c r="M49" i="3"/>
  <c r="N49" i="3"/>
  <c r="O49" i="3"/>
  <c r="P49" i="3"/>
  <c r="Q49" i="3"/>
  <c r="R49" i="3"/>
  <c r="K50" i="3"/>
  <c r="L50" i="3"/>
  <c r="M50" i="3"/>
  <c r="N50" i="3"/>
  <c r="O50" i="3"/>
  <c r="P50" i="3"/>
  <c r="Q50" i="3"/>
  <c r="R50" i="3"/>
  <c r="K51" i="3"/>
  <c r="L51" i="3"/>
  <c r="M51" i="3"/>
  <c r="N51" i="3"/>
  <c r="O51" i="3"/>
  <c r="P51" i="3"/>
  <c r="Q51" i="3"/>
  <c r="R51" i="3"/>
  <c r="K52" i="3"/>
  <c r="L52" i="3"/>
  <c r="M52" i="3"/>
  <c r="N52" i="3"/>
  <c r="O52" i="3"/>
  <c r="P52" i="3"/>
  <c r="Q52" i="3"/>
  <c r="R52" i="3"/>
  <c r="K53" i="3"/>
  <c r="L53" i="3"/>
  <c r="M53" i="3"/>
  <c r="N53" i="3"/>
  <c r="O53" i="3"/>
  <c r="P53" i="3"/>
  <c r="Q53" i="3"/>
  <c r="R53" i="3"/>
  <c r="K54" i="3"/>
  <c r="L54" i="3"/>
  <c r="M54" i="3"/>
  <c r="N54" i="3"/>
  <c r="O54" i="3"/>
  <c r="P54" i="3"/>
  <c r="Q54" i="3"/>
  <c r="R54" i="3"/>
  <c r="K55" i="3"/>
  <c r="L55" i="3"/>
  <c r="M55" i="3"/>
  <c r="N55" i="3"/>
  <c r="O55" i="3"/>
  <c r="P55" i="3"/>
  <c r="Q55" i="3"/>
  <c r="R55" i="3"/>
  <c r="K56" i="3"/>
  <c r="L56" i="3"/>
  <c r="M56" i="3"/>
  <c r="N56" i="3"/>
  <c r="O56" i="3"/>
  <c r="P56" i="3"/>
  <c r="Q56" i="3"/>
  <c r="R56" i="3"/>
  <c r="K57" i="3"/>
  <c r="L57" i="3"/>
  <c r="M57" i="3"/>
  <c r="N57" i="3"/>
  <c r="O57" i="3"/>
  <c r="P57" i="3"/>
  <c r="Q57" i="3"/>
  <c r="R57" i="3"/>
  <c r="K58" i="3"/>
  <c r="L58" i="3"/>
  <c r="M58" i="3"/>
  <c r="N58" i="3"/>
  <c r="O58" i="3"/>
  <c r="P58" i="3"/>
  <c r="Q58" i="3"/>
  <c r="R58" i="3"/>
  <c r="K59" i="3"/>
  <c r="L59" i="3"/>
  <c r="M59" i="3"/>
  <c r="N59" i="3"/>
  <c r="O59" i="3"/>
  <c r="P59" i="3"/>
  <c r="Q59" i="3"/>
  <c r="R59" i="3"/>
  <c r="K60" i="3"/>
  <c r="L60" i="3"/>
  <c r="M60" i="3"/>
  <c r="N60" i="3"/>
  <c r="O60" i="3"/>
  <c r="P60" i="3"/>
  <c r="Q60" i="3"/>
  <c r="R60" i="3"/>
  <c r="K61" i="3"/>
  <c r="L61" i="3"/>
  <c r="M61" i="3"/>
  <c r="N61" i="3"/>
  <c r="O61" i="3"/>
  <c r="P61" i="3"/>
  <c r="Q61" i="3"/>
  <c r="R61" i="3"/>
  <c r="K62" i="3"/>
  <c r="L62" i="3"/>
  <c r="M62" i="3"/>
  <c r="N62" i="3"/>
  <c r="O62" i="3"/>
  <c r="P62" i="3"/>
  <c r="Q62" i="3"/>
  <c r="R62" i="3"/>
  <c r="K63" i="3"/>
  <c r="L63" i="3"/>
  <c r="M63" i="3"/>
  <c r="N63" i="3"/>
  <c r="O63" i="3"/>
  <c r="P63" i="3"/>
  <c r="Q63" i="3"/>
  <c r="R63" i="3"/>
  <c r="K64" i="3"/>
  <c r="L64" i="3"/>
  <c r="M64" i="3"/>
  <c r="N64" i="3"/>
  <c r="O64" i="3"/>
  <c r="P64" i="3"/>
  <c r="Q64" i="3"/>
  <c r="R64" i="3"/>
  <c r="K65" i="3"/>
  <c r="L65" i="3"/>
  <c r="M65" i="3"/>
  <c r="N65" i="3"/>
  <c r="O65" i="3"/>
  <c r="P65" i="3"/>
  <c r="Q65" i="3"/>
  <c r="R65" i="3"/>
  <c r="K66" i="3"/>
  <c r="L66" i="3"/>
  <c r="M66" i="3"/>
  <c r="N66" i="3"/>
  <c r="O66" i="3"/>
  <c r="P66" i="3"/>
  <c r="Q66" i="3"/>
  <c r="R66" i="3"/>
  <c r="K67" i="3"/>
  <c r="L67" i="3"/>
  <c r="M67" i="3"/>
  <c r="N67" i="3"/>
  <c r="O67" i="3"/>
  <c r="P67" i="3"/>
  <c r="Q67" i="3"/>
  <c r="R67" i="3"/>
  <c r="K68" i="3"/>
  <c r="L68" i="3"/>
  <c r="M68" i="3"/>
  <c r="N68" i="3"/>
  <c r="O68" i="3"/>
  <c r="P68" i="3"/>
  <c r="Q68" i="3"/>
  <c r="R68" i="3"/>
  <c r="K69" i="3"/>
  <c r="L69" i="3"/>
  <c r="M69" i="3"/>
  <c r="N69" i="3"/>
  <c r="O69" i="3"/>
  <c r="P69" i="3"/>
  <c r="Q69" i="3"/>
  <c r="R69" i="3"/>
  <c r="K70" i="3"/>
  <c r="L70" i="3"/>
  <c r="M70" i="3"/>
  <c r="N70" i="3"/>
  <c r="O70" i="3"/>
  <c r="P70" i="3"/>
  <c r="Q70" i="3"/>
  <c r="R70" i="3"/>
  <c r="K71" i="3"/>
  <c r="L71" i="3"/>
  <c r="M71" i="3"/>
  <c r="N71" i="3"/>
  <c r="O71" i="3"/>
  <c r="P71" i="3"/>
  <c r="Q71" i="3"/>
  <c r="R71" i="3"/>
  <c r="K72" i="3"/>
  <c r="L72" i="3"/>
  <c r="M72" i="3"/>
  <c r="N72" i="3"/>
  <c r="O72" i="3"/>
  <c r="P72" i="3"/>
  <c r="Q72" i="3"/>
  <c r="R72" i="3"/>
  <c r="K73" i="3"/>
  <c r="L73" i="3"/>
  <c r="M73" i="3"/>
  <c r="N73" i="3"/>
  <c r="O73" i="3"/>
  <c r="P73" i="3"/>
  <c r="Q73" i="3"/>
  <c r="R73" i="3"/>
  <c r="K74" i="3"/>
  <c r="L74" i="3"/>
  <c r="M74" i="3"/>
  <c r="N74" i="3"/>
  <c r="O74" i="3"/>
  <c r="P74" i="3"/>
  <c r="Q74" i="3"/>
  <c r="R74" i="3"/>
  <c r="K75" i="3"/>
  <c r="L75" i="3"/>
  <c r="M75" i="3"/>
  <c r="N75" i="3"/>
  <c r="O75" i="3"/>
  <c r="P75" i="3"/>
  <c r="Q75" i="3"/>
  <c r="R75" i="3"/>
  <c r="K76" i="3"/>
  <c r="L76" i="3"/>
  <c r="M76" i="3"/>
  <c r="N76" i="3"/>
  <c r="O76" i="3"/>
  <c r="P76" i="3"/>
  <c r="Q76" i="3"/>
  <c r="R76" i="3"/>
  <c r="K77" i="3"/>
  <c r="L77" i="3"/>
  <c r="M77" i="3"/>
  <c r="N77" i="3"/>
  <c r="O77" i="3"/>
  <c r="P77" i="3"/>
  <c r="Q77" i="3"/>
  <c r="R77" i="3"/>
  <c r="K78" i="3"/>
  <c r="L78" i="3"/>
  <c r="M78" i="3"/>
  <c r="N78" i="3"/>
  <c r="O78" i="3"/>
  <c r="P78" i="3"/>
  <c r="Q78" i="3"/>
  <c r="R78" i="3"/>
  <c r="K79" i="3"/>
  <c r="L79" i="3"/>
  <c r="M79" i="3"/>
  <c r="N79" i="3"/>
  <c r="O79" i="3"/>
  <c r="P79" i="3"/>
  <c r="Q79" i="3"/>
  <c r="R79" i="3"/>
  <c r="K80" i="3"/>
  <c r="L80" i="3"/>
  <c r="M80" i="3"/>
  <c r="N80" i="3"/>
  <c r="O80" i="3"/>
  <c r="P80" i="3"/>
  <c r="Q80" i="3"/>
  <c r="R80" i="3"/>
  <c r="K81" i="3"/>
  <c r="L81" i="3"/>
  <c r="M81" i="3"/>
  <c r="N81" i="3"/>
  <c r="O81" i="3"/>
  <c r="P81" i="3"/>
  <c r="Q81" i="3"/>
  <c r="R81" i="3"/>
  <c r="K82" i="3"/>
  <c r="L82" i="3"/>
  <c r="M82" i="3"/>
  <c r="N82" i="3"/>
  <c r="O82" i="3"/>
  <c r="P82" i="3"/>
  <c r="Q82" i="3"/>
  <c r="R82" i="3"/>
  <c r="K83" i="3"/>
  <c r="L83" i="3"/>
  <c r="M83" i="3"/>
  <c r="N83" i="3"/>
  <c r="O83" i="3"/>
  <c r="P83" i="3"/>
  <c r="Q83" i="3"/>
  <c r="R83" i="3"/>
  <c r="K84" i="3"/>
  <c r="L84" i="3"/>
  <c r="M84" i="3"/>
  <c r="N84" i="3"/>
  <c r="O84" i="3"/>
  <c r="P84" i="3"/>
  <c r="Q84" i="3"/>
  <c r="R84" i="3"/>
  <c r="K85" i="3"/>
  <c r="L85" i="3"/>
  <c r="M85" i="3"/>
  <c r="N85" i="3"/>
  <c r="O85" i="3"/>
  <c r="P85" i="3"/>
  <c r="Q85" i="3"/>
  <c r="R85" i="3"/>
  <c r="K86" i="3"/>
  <c r="L86" i="3"/>
  <c r="M86" i="3"/>
  <c r="N86" i="3"/>
  <c r="O86" i="3"/>
  <c r="P86" i="3"/>
  <c r="Q86" i="3"/>
  <c r="R86" i="3"/>
  <c r="K87" i="3"/>
  <c r="L87" i="3"/>
  <c r="M87" i="3"/>
  <c r="N87" i="3"/>
  <c r="O87" i="3"/>
  <c r="P87" i="3"/>
  <c r="Q87" i="3"/>
  <c r="R87" i="3"/>
  <c r="K88" i="3"/>
  <c r="L88" i="3"/>
  <c r="M88" i="3"/>
  <c r="N88" i="3"/>
  <c r="O88" i="3"/>
  <c r="P88" i="3"/>
  <c r="Q88" i="3"/>
  <c r="R88" i="3"/>
  <c r="K89" i="3"/>
  <c r="L89" i="3"/>
  <c r="M89" i="3"/>
  <c r="N89" i="3"/>
  <c r="O89" i="3"/>
  <c r="P89" i="3"/>
  <c r="Q89" i="3"/>
  <c r="R89" i="3"/>
  <c r="K90" i="3"/>
  <c r="L90" i="3"/>
  <c r="M90" i="3"/>
  <c r="N90" i="3"/>
  <c r="O90" i="3"/>
  <c r="P90" i="3"/>
  <c r="Q90" i="3"/>
  <c r="R90" i="3"/>
  <c r="K91" i="3"/>
  <c r="L91" i="3"/>
  <c r="M91" i="3"/>
  <c r="N91" i="3"/>
  <c r="O91" i="3"/>
  <c r="P91" i="3"/>
  <c r="Q91" i="3"/>
  <c r="R91" i="3"/>
  <c r="K92" i="3"/>
  <c r="L92" i="3"/>
  <c r="M92" i="3"/>
  <c r="N92" i="3"/>
  <c r="O92" i="3"/>
  <c r="P92" i="3"/>
  <c r="Q92" i="3"/>
  <c r="R92" i="3"/>
  <c r="K93" i="3"/>
  <c r="L93" i="3"/>
  <c r="M93" i="3"/>
  <c r="N93" i="3"/>
  <c r="O93" i="3"/>
  <c r="P93" i="3"/>
  <c r="Q93" i="3"/>
  <c r="R93" i="3"/>
  <c r="K94" i="3"/>
  <c r="L94" i="3"/>
  <c r="M94" i="3"/>
  <c r="N94" i="3"/>
  <c r="O94" i="3"/>
  <c r="P94" i="3"/>
  <c r="Q94" i="3"/>
  <c r="R94" i="3"/>
  <c r="K95" i="3"/>
  <c r="L95" i="3"/>
  <c r="M95" i="3"/>
  <c r="N95" i="3"/>
  <c r="O95" i="3"/>
  <c r="P95" i="3"/>
  <c r="Q95" i="3"/>
  <c r="R95" i="3"/>
  <c r="K96" i="3"/>
  <c r="L96" i="3"/>
  <c r="M96" i="3"/>
  <c r="N96" i="3"/>
  <c r="O96" i="3"/>
  <c r="P96" i="3"/>
  <c r="Q96" i="3"/>
  <c r="R96" i="3"/>
  <c r="K97" i="3"/>
  <c r="L97" i="3"/>
  <c r="M97" i="3"/>
  <c r="N97" i="3"/>
  <c r="O97" i="3"/>
  <c r="P97" i="3"/>
  <c r="Q97" i="3"/>
  <c r="R97" i="3"/>
  <c r="K98" i="3"/>
  <c r="L98" i="3"/>
  <c r="M98" i="3"/>
  <c r="N98" i="3"/>
  <c r="O98" i="3"/>
  <c r="P98" i="3"/>
  <c r="Q98" i="3"/>
  <c r="R98" i="3"/>
  <c r="K99" i="3"/>
  <c r="L99" i="3"/>
  <c r="M99" i="3"/>
  <c r="N99" i="3"/>
  <c r="O99" i="3"/>
  <c r="P99" i="3"/>
  <c r="Q99" i="3"/>
  <c r="R99" i="3"/>
  <c r="K100" i="3"/>
  <c r="L100" i="3"/>
  <c r="M100" i="3"/>
  <c r="N100" i="3"/>
  <c r="O100" i="3"/>
  <c r="P100" i="3"/>
  <c r="Q100" i="3"/>
  <c r="R100" i="3"/>
  <c r="K101" i="3"/>
  <c r="L101" i="3"/>
  <c r="M101" i="3"/>
  <c r="N101" i="3"/>
  <c r="O101" i="3"/>
  <c r="P101" i="3"/>
  <c r="Q101" i="3"/>
  <c r="R101" i="3"/>
  <c r="K102" i="3"/>
  <c r="L102" i="3"/>
  <c r="M102" i="3"/>
  <c r="N102" i="3"/>
  <c r="O102" i="3"/>
  <c r="P102" i="3"/>
  <c r="Q102" i="3"/>
  <c r="R102" i="3"/>
  <c r="K103" i="3"/>
  <c r="L103" i="3"/>
  <c r="M103" i="3"/>
  <c r="N103" i="3"/>
  <c r="O103" i="3"/>
  <c r="P103" i="3"/>
  <c r="Q103" i="3"/>
  <c r="R103" i="3"/>
  <c r="K104" i="3"/>
  <c r="L104" i="3"/>
  <c r="M104" i="3"/>
  <c r="N104" i="3"/>
  <c r="O104" i="3"/>
  <c r="P104" i="3"/>
  <c r="Q104" i="3"/>
  <c r="R104" i="3"/>
  <c r="K105" i="3"/>
  <c r="L105" i="3"/>
  <c r="M105" i="3"/>
  <c r="N105" i="3"/>
  <c r="O105" i="3"/>
  <c r="P105" i="3"/>
  <c r="Q105" i="3"/>
  <c r="R105" i="3"/>
  <c r="K106" i="3"/>
  <c r="L106" i="3"/>
  <c r="M106" i="3"/>
  <c r="N106" i="3"/>
  <c r="O106" i="3"/>
  <c r="P106" i="3"/>
  <c r="Q106" i="3"/>
  <c r="R106" i="3"/>
  <c r="K107" i="3"/>
  <c r="L107" i="3"/>
  <c r="M107" i="3"/>
  <c r="N107" i="3"/>
  <c r="O107" i="3"/>
  <c r="P107" i="3"/>
  <c r="Q107" i="3"/>
  <c r="R107" i="3"/>
  <c r="K108" i="3"/>
  <c r="L108" i="3"/>
  <c r="M108" i="3"/>
  <c r="N108" i="3"/>
  <c r="O108" i="3"/>
  <c r="P108" i="3"/>
  <c r="Q108" i="3"/>
  <c r="R108" i="3"/>
  <c r="K109" i="3"/>
  <c r="L109" i="3"/>
  <c r="M109" i="3"/>
  <c r="N109" i="3"/>
  <c r="O109" i="3"/>
  <c r="P109" i="3"/>
  <c r="Q109" i="3"/>
  <c r="R109" i="3"/>
  <c r="K110" i="3"/>
  <c r="L110" i="3"/>
  <c r="M110" i="3"/>
  <c r="N110" i="3"/>
  <c r="O110" i="3"/>
  <c r="P110" i="3"/>
  <c r="Q110" i="3"/>
  <c r="R110" i="3"/>
  <c r="K111" i="3"/>
  <c r="L111" i="3"/>
  <c r="M111" i="3"/>
  <c r="N111" i="3"/>
  <c r="O111" i="3"/>
  <c r="P111" i="3"/>
  <c r="Q111" i="3"/>
  <c r="R111" i="3"/>
  <c r="K112" i="3"/>
  <c r="L112" i="3"/>
  <c r="M112" i="3"/>
  <c r="N112" i="3"/>
  <c r="O112" i="3"/>
  <c r="P112" i="3"/>
  <c r="Q112" i="3"/>
  <c r="R112" i="3"/>
  <c r="K113" i="3"/>
  <c r="L113" i="3"/>
  <c r="M113" i="3"/>
  <c r="N113" i="3"/>
  <c r="O113" i="3"/>
  <c r="P113" i="3"/>
  <c r="Q113" i="3"/>
  <c r="R113" i="3"/>
  <c r="K114" i="3"/>
  <c r="L114" i="3"/>
  <c r="M114" i="3"/>
  <c r="N114" i="3"/>
  <c r="O114" i="3"/>
  <c r="P114" i="3"/>
  <c r="Q114" i="3"/>
  <c r="R114" i="3"/>
  <c r="K115" i="3"/>
  <c r="L115" i="3"/>
  <c r="M115" i="3"/>
  <c r="N115" i="3"/>
  <c r="O115" i="3"/>
  <c r="P115" i="3"/>
  <c r="Q115" i="3"/>
  <c r="R115" i="3"/>
  <c r="K116" i="3"/>
  <c r="L116" i="3"/>
  <c r="M116" i="3"/>
  <c r="N116" i="3"/>
  <c r="O116" i="3"/>
  <c r="P116" i="3"/>
  <c r="Q116" i="3"/>
  <c r="R116" i="3"/>
  <c r="K117" i="3"/>
  <c r="L117" i="3"/>
  <c r="M117" i="3"/>
  <c r="N117" i="3"/>
  <c r="O117" i="3"/>
  <c r="P117" i="3"/>
  <c r="Q117" i="3"/>
  <c r="R117" i="3"/>
  <c r="K118" i="3"/>
  <c r="L118" i="3"/>
  <c r="M118" i="3"/>
  <c r="N118" i="3"/>
  <c r="O118" i="3"/>
  <c r="P118" i="3"/>
  <c r="Q118" i="3"/>
  <c r="R118" i="3"/>
  <c r="K119" i="3"/>
  <c r="L119" i="3"/>
  <c r="M119" i="3"/>
  <c r="N119" i="3"/>
  <c r="O119" i="3"/>
  <c r="P119" i="3"/>
  <c r="Q119" i="3"/>
  <c r="R119" i="3"/>
  <c r="K120" i="3"/>
  <c r="L120" i="3"/>
  <c r="M120" i="3"/>
  <c r="N120" i="3"/>
  <c r="O120" i="3"/>
  <c r="P120" i="3"/>
  <c r="Q120" i="3"/>
  <c r="R120" i="3"/>
  <c r="K121" i="3"/>
  <c r="L121" i="3"/>
  <c r="M121" i="3"/>
  <c r="N121" i="3"/>
  <c r="O121" i="3"/>
  <c r="P121" i="3"/>
  <c r="Q121" i="3"/>
  <c r="R121" i="3"/>
  <c r="K122" i="3"/>
  <c r="L122" i="3"/>
  <c r="M122" i="3"/>
  <c r="N122" i="3"/>
  <c r="O122" i="3"/>
  <c r="P122" i="3"/>
  <c r="Q122" i="3"/>
  <c r="R122" i="3"/>
  <c r="K123" i="3"/>
  <c r="L123" i="3"/>
  <c r="M123" i="3"/>
  <c r="N123" i="3"/>
  <c r="O123" i="3"/>
  <c r="P123" i="3"/>
  <c r="Q123" i="3"/>
  <c r="R123" i="3"/>
  <c r="K124" i="3"/>
  <c r="L124" i="3"/>
  <c r="M124" i="3"/>
  <c r="N124" i="3"/>
  <c r="O124" i="3"/>
  <c r="P124" i="3"/>
  <c r="Q124" i="3"/>
  <c r="R124" i="3"/>
  <c r="K125" i="3"/>
  <c r="L125" i="3"/>
  <c r="M125" i="3"/>
  <c r="N125" i="3"/>
  <c r="O125" i="3"/>
  <c r="P125" i="3"/>
  <c r="Q125" i="3"/>
  <c r="R125" i="3"/>
  <c r="K126" i="3"/>
  <c r="L126" i="3"/>
  <c r="M126" i="3"/>
  <c r="N126" i="3"/>
  <c r="O126" i="3"/>
  <c r="P126" i="3"/>
  <c r="Q126" i="3"/>
  <c r="R126" i="3"/>
  <c r="K127" i="3"/>
  <c r="L127" i="3"/>
  <c r="M127" i="3"/>
  <c r="N127" i="3"/>
  <c r="O127" i="3"/>
  <c r="P127" i="3"/>
  <c r="Q127" i="3"/>
  <c r="R127" i="3"/>
  <c r="K128" i="3"/>
  <c r="L128" i="3"/>
  <c r="M128" i="3"/>
  <c r="N128" i="3"/>
  <c r="O128" i="3"/>
  <c r="P128" i="3"/>
  <c r="Q128" i="3"/>
  <c r="R128" i="3"/>
  <c r="K129" i="3"/>
  <c r="L129" i="3"/>
  <c r="M129" i="3"/>
  <c r="N129" i="3"/>
  <c r="O129" i="3"/>
  <c r="P129" i="3"/>
  <c r="Q129" i="3"/>
  <c r="R129" i="3"/>
  <c r="K130" i="3"/>
  <c r="L130" i="3"/>
  <c r="M130" i="3"/>
  <c r="N130" i="3"/>
  <c r="O130" i="3"/>
  <c r="P130" i="3"/>
  <c r="Q130" i="3"/>
  <c r="R130" i="3"/>
  <c r="K131" i="3"/>
  <c r="L131" i="3"/>
  <c r="M131" i="3"/>
  <c r="N131" i="3"/>
  <c r="O131" i="3"/>
  <c r="P131" i="3"/>
  <c r="Q131" i="3"/>
  <c r="R131" i="3"/>
  <c r="K132" i="3"/>
  <c r="L132" i="3"/>
  <c r="M132" i="3"/>
  <c r="N132" i="3"/>
  <c r="O132" i="3"/>
  <c r="P132" i="3"/>
  <c r="Q132" i="3"/>
  <c r="R132" i="3"/>
  <c r="K133" i="3"/>
  <c r="L133" i="3"/>
  <c r="M133" i="3"/>
  <c r="N133" i="3"/>
  <c r="O133" i="3"/>
  <c r="P133" i="3"/>
  <c r="Q133" i="3"/>
  <c r="R133" i="3"/>
  <c r="K134" i="3"/>
  <c r="L134" i="3"/>
  <c r="M134" i="3"/>
  <c r="N134" i="3"/>
  <c r="O134" i="3"/>
  <c r="P134" i="3"/>
  <c r="Q134" i="3"/>
  <c r="R134" i="3"/>
  <c r="K135" i="3"/>
  <c r="L135" i="3"/>
  <c r="M135" i="3"/>
  <c r="N135" i="3"/>
  <c r="O135" i="3"/>
  <c r="P135" i="3"/>
  <c r="Q135" i="3"/>
  <c r="R135" i="3"/>
  <c r="K136" i="3"/>
  <c r="L136" i="3"/>
  <c r="M136" i="3"/>
  <c r="N136" i="3"/>
  <c r="O136" i="3"/>
  <c r="P136" i="3"/>
  <c r="Q136" i="3"/>
  <c r="R136" i="3"/>
  <c r="K137" i="3"/>
  <c r="L137" i="3"/>
  <c r="M137" i="3"/>
  <c r="N137" i="3"/>
  <c r="O137" i="3"/>
  <c r="P137" i="3"/>
  <c r="Q137" i="3"/>
  <c r="R137" i="3"/>
  <c r="K138" i="3"/>
  <c r="L138" i="3"/>
  <c r="M138" i="3"/>
  <c r="N138" i="3"/>
  <c r="O138" i="3"/>
  <c r="P138" i="3"/>
  <c r="Q138" i="3"/>
  <c r="R138" i="3"/>
  <c r="K139" i="3"/>
  <c r="L139" i="3"/>
  <c r="M139" i="3"/>
  <c r="N139" i="3"/>
  <c r="O139" i="3"/>
  <c r="P139" i="3"/>
  <c r="Q139" i="3"/>
  <c r="R139" i="3"/>
  <c r="K140" i="3"/>
  <c r="L140" i="3"/>
  <c r="M140" i="3"/>
  <c r="N140" i="3"/>
  <c r="O140" i="3"/>
  <c r="P140" i="3"/>
  <c r="Q140" i="3"/>
  <c r="R140" i="3"/>
  <c r="K141" i="3"/>
  <c r="L141" i="3"/>
  <c r="M141" i="3"/>
  <c r="N141" i="3"/>
  <c r="O141" i="3"/>
  <c r="P141" i="3"/>
  <c r="Q141" i="3"/>
  <c r="R141" i="3"/>
  <c r="K142" i="3"/>
  <c r="L142" i="3"/>
  <c r="M142" i="3"/>
  <c r="N142" i="3"/>
  <c r="O142" i="3"/>
  <c r="P142" i="3"/>
  <c r="Q142" i="3"/>
  <c r="R142" i="3"/>
  <c r="K143" i="3"/>
  <c r="L143" i="3"/>
  <c r="M143" i="3"/>
  <c r="N143" i="3"/>
  <c r="O143" i="3"/>
  <c r="P143" i="3"/>
  <c r="Q143" i="3"/>
  <c r="R143" i="3"/>
  <c r="K144" i="3"/>
  <c r="L144" i="3"/>
  <c r="M144" i="3"/>
  <c r="N144" i="3"/>
  <c r="O144" i="3"/>
  <c r="P144" i="3"/>
  <c r="Q144" i="3"/>
  <c r="R144" i="3"/>
  <c r="K145" i="3"/>
  <c r="L145" i="3"/>
  <c r="M145" i="3"/>
  <c r="N145" i="3"/>
  <c r="O145" i="3"/>
  <c r="P145" i="3"/>
  <c r="Q145" i="3"/>
  <c r="R145" i="3"/>
  <c r="K146" i="3"/>
  <c r="L146" i="3"/>
  <c r="M146" i="3"/>
  <c r="N146" i="3"/>
  <c r="O146" i="3"/>
  <c r="P146" i="3"/>
  <c r="Q146" i="3"/>
  <c r="R146" i="3"/>
  <c r="K147" i="3"/>
  <c r="L147" i="3"/>
  <c r="M147" i="3"/>
  <c r="N147" i="3"/>
  <c r="O147" i="3"/>
  <c r="P147" i="3"/>
  <c r="Q147" i="3"/>
  <c r="R147" i="3"/>
  <c r="K148" i="3"/>
  <c r="L148" i="3"/>
  <c r="M148" i="3"/>
  <c r="N148" i="3"/>
  <c r="O148" i="3"/>
  <c r="P148" i="3"/>
  <c r="Q148" i="3"/>
  <c r="R148" i="3"/>
  <c r="K149" i="3"/>
  <c r="L149" i="3"/>
  <c r="M149" i="3"/>
  <c r="N149" i="3"/>
  <c r="O149" i="3"/>
  <c r="P149" i="3"/>
  <c r="Q149" i="3"/>
  <c r="R149" i="3"/>
  <c r="K150" i="3"/>
  <c r="L150" i="3"/>
  <c r="M150" i="3"/>
  <c r="N150" i="3"/>
  <c r="O150" i="3"/>
  <c r="P150" i="3"/>
  <c r="Q150" i="3"/>
  <c r="R150" i="3"/>
  <c r="K151" i="3"/>
  <c r="L151" i="3"/>
  <c r="M151" i="3"/>
  <c r="N151" i="3"/>
  <c r="O151" i="3"/>
  <c r="P151" i="3"/>
  <c r="Q151" i="3"/>
  <c r="R151" i="3"/>
  <c r="K152" i="3"/>
  <c r="L152" i="3"/>
  <c r="M152" i="3"/>
  <c r="N152" i="3"/>
  <c r="O152" i="3"/>
  <c r="P152" i="3"/>
  <c r="Q152" i="3"/>
  <c r="R152" i="3"/>
  <c r="K153" i="3"/>
  <c r="L153" i="3"/>
  <c r="M153" i="3"/>
  <c r="N153" i="3"/>
  <c r="O153" i="3"/>
  <c r="P153" i="3"/>
  <c r="Q153" i="3"/>
  <c r="R153" i="3"/>
  <c r="K154" i="3"/>
  <c r="L154" i="3"/>
  <c r="M154" i="3"/>
  <c r="N154" i="3"/>
  <c r="O154" i="3"/>
  <c r="P154" i="3"/>
  <c r="Q154" i="3"/>
  <c r="R154" i="3"/>
  <c r="K155" i="3"/>
  <c r="L155" i="3"/>
  <c r="M155" i="3"/>
  <c r="N155" i="3"/>
  <c r="O155" i="3"/>
  <c r="P155" i="3"/>
  <c r="Q155" i="3"/>
  <c r="R155" i="3"/>
  <c r="K156" i="3"/>
  <c r="L156" i="3"/>
  <c r="M156" i="3"/>
  <c r="N156" i="3"/>
  <c r="O156" i="3"/>
  <c r="P156" i="3"/>
  <c r="Q156" i="3"/>
  <c r="R156" i="3"/>
  <c r="K157" i="3"/>
  <c r="L157" i="3"/>
  <c r="M157" i="3"/>
  <c r="N157" i="3"/>
  <c r="O157" i="3"/>
  <c r="P157" i="3"/>
  <c r="Q157" i="3"/>
  <c r="R157" i="3"/>
  <c r="K158" i="3"/>
  <c r="L158" i="3"/>
  <c r="M158" i="3"/>
  <c r="N158" i="3"/>
  <c r="O158" i="3"/>
  <c r="P158" i="3"/>
  <c r="Q158" i="3"/>
  <c r="R158" i="3"/>
  <c r="K159" i="3"/>
  <c r="L159" i="3"/>
  <c r="M159" i="3"/>
  <c r="N159" i="3"/>
  <c r="O159" i="3"/>
  <c r="P159" i="3"/>
  <c r="Q159" i="3"/>
  <c r="R159" i="3"/>
  <c r="K160" i="3"/>
  <c r="L160" i="3"/>
  <c r="M160" i="3"/>
  <c r="N160" i="3"/>
  <c r="O160" i="3"/>
  <c r="P160" i="3"/>
  <c r="Q160" i="3"/>
  <c r="R160" i="3"/>
  <c r="K161" i="3"/>
  <c r="L161" i="3"/>
  <c r="M161" i="3"/>
  <c r="N161" i="3"/>
  <c r="O161" i="3"/>
  <c r="P161" i="3"/>
  <c r="Q161" i="3"/>
  <c r="R161" i="3"/>
  <c r="K162" i="3"/>
  <c r="L162" i="3"/>
  <c r="M162" i="3"/>
  <c r="N162" i="3"/>
  <c r="O162" i="3"/>
  <c r="P162" i="3"/>
  <c r="Q162" i="3"/>
  <c r="R162" i="3"/>
  <c r="K163" i="3"/>
  <c r="L163" i="3"/>
  <c r="M163" i="3"/>
  <c r="N163" i="3"/>
  <c r="O163" i="3"/>
  <c r="P163" i="3"/>
  <c r="Q163" i="3"/>
  <c r="R163" i="3"/>
  <c r="K164" i="3"/>
  <c r="L164" i="3"/>
  <c r="M164" i="3"/>
  <c r="N164" i="3"/>
  <c r="O164" i="3"/>
  <c r="P164" i="3"/>
  <c r="Q164" i="3"/>
  <c r="R164" i="3"/>
  <c r="K165" i="3"/>
  <c r="L165" i="3"/>
  <c r="M165" i="3"/>
  <c r="N165" i="3"/>
  <c r="O165" i="3"/>
  <c r="P165" i="3"/>
  <c r="Q165" i="3"/>
  <c r="R165" i="3"/>
  <c r="K166" i="3"/>
  <c r="L166" i="3"/>
  <c r="M166" i="3"/>
  <c r="N166" i="3"/>
  <c r="O166" i="3"/>
  <c r="P166" i="3"/>
  <c r="Q166" i="3"/>
  <c r="R166" i="3"/>
  <c r="K167" i="3"/>
  <c r="L167" i="3"/>
  <c r="M167" i="3"/>
  <c r="N167" i="3"/>
  <c r="O167" i="3"/>
  <c r="P167" i="3"/>
  <c r="Q167" i="3"/>
  <c r="R167" i="3"/>
  <c r="K168" i="3"/>
  <c r="L168" i="3"/>
  <c r="M168" i="3"/>
  <c r="N168" i="3"/>
  <c r="O168" i="3"/>
  <c r="P168" i="3"/>
  <c r="Q168" i="3"/>
  <c r="R168" i="3"/>
  <c r="K169" i="3"/>
  <c r="L169" i="3"/>
  <c r="M169" i="3"/>
  <c r="N169" i="3"/>
  <c r="O169" i="3"/>
  <c r="P169" i="3"/>
  <c r="Q169" i="3"/>
  <c r="R169" i="3"/>
  <c r="K170" i="3"/>
  <c r="L170" i="3"/>
  <c r="M170" i="3"/>
  <c r="N170" i="3"/>
  <c r="O170" i="3"/>
  <c r="P170" i="3"/>
  <c r="Q170" i="3"/>
  <c r="R170" i="3"/>
  <c r="K171" i="3"/>
  <c r="L171" i="3"/>
  <c r="M171" i="3"/>
  <c r="N171" i="3"/>
  <c r="O171" i="3"/>
  <c r="P171" i="3"/>
  <c r="Q171" i="3"/>
  <c r="R171" i="3"/>
  <c r="K172" i="3"/>
  <c r="L172" i="3"/>
  <c r="M172" i="3"/>
  <c r="N172" i="3"/>
  <c r="O172" i="3"/>
  <c r="P172" i="3"/>
  <c r="Q172" i="3"/>
  <c r="R172" i="3"/>
  <c r="K173" i="3"/>
  <c r="L173" i="3"/>
  <c r="M173" i="3"/>
  <c r="N173" i="3"/>
  <c r="O173" i="3"/>
  <c r="P173" i="3"/>
  <c r="Q173" i="3"/>
  <c r="R173" i="3"/>
  <c r="K174" i="3"/>
  <c r="L174" i="3"/>
  <c r="M174" i="3"/>
  <c r="N174" i="3"/>
  <c r="O174" i="3"/>
  <c r="P174" i="3"/>
  <c r="Q174" i="3"/>
  <c r="R174" i="3"/>
  <c r="K175" i="3"/>
  <c r="L175" i="3"/>
  <c r="M175" i="3"/>
  <c r="N175" i="3"/>
  <c r="O175" i="3"/>
  <c r="P175" i="3"/>
  <c r="Q175" i="3"/>
  <c r="R175" i="3"/>
  <c r="K176" i="3"/>
  <c r="L176" i="3"/>
  <c r="M176" i="3"/>
  <c r="N176" i="3"/>
  <c r="O176" i="3"/>
  <c r="P176" i="3"/>
  <c r="Q176" i="3"/>
  <c r="R176" i="3"/>
  <c r="K177" i="3"/>
  <c r="L177" i="3"/>
  <c r="M177" i="3"/>
  <c r="N177" i="3"/>
  <c r="O177" i="3"/>
  <c r="P177" i="3"/>
  <c r="Q177" i="3"/>
  <c r="R177" i="3"/>
  <c r="K178" i="3"/>
  <c r="L178" i="3"/>
  <c r="M178" i="3"/>
  <c r="N178" i="3"/>
  <c r="O178" i="3"/>
  <c r="P178" i="3"/>
  <c r="Q178" i="3"/>
  <c r="R178" i="3"/>
  <c r="K179" i="3"/>
  <c r="L179" i="3"/>
  <c r="M179" i="3"/>
  <c r="N179" i="3"/>
  <c r="O179" i="3"/>
  <c r="P179" i="3"/>
  <c r="Q179" i="3"/>
  <c r="R179" i="3"/>
  <c r="K180" i="3"/>
  <c r="L180" i="3"/>
  <c r="M180" i="3"/>
  <c r="N180" i="3"/>
  <c r="O180" i="3"/>
  <c r="P180" i="3"/>
  <c r="Q180" i="3"/>
  <c r="R180" i="3"/>
  <c r="K181" i="3"/>
  <c r="L181" i="3"/>
  <c r="M181" i="3"/>
  <c r="N181" i="3"/>
  <c r="O181" i="3"/>
  <c r="P181" i="3"/>
  <c r="Q181" i="3"/>
  <c r="R181" i="3"/>
  <c r="K182" i="3"/>
  <c r="L182" i="3"/>
  <c r="M182" i="3"/>
  <c r="N182" i="3"/>
  <c r="O182" i="3"/>
  <c r="P182" i="3"/>
  <c r="Q182" i="3"/>
  <c r="R182" i="3"/>
  <c r="K183" i="3"/>
  <c r="L183" i="3"/>
  <c r="M183" i="3"/>
  <c r="N183" i="3"/>
  <c r="O183" i="3"/>
  <c r="P183" i="3"/>
  <c r="Q183" i="3"/>
  <c r="R183" i="3"/>
  <c r="K184" i="3"/>
  <c r="L184" i="3"/>
  <c r="M184" i="3"/>
  <c r="N184" i="3"/>
  <c r="O184" i="3"/>
  <c r="P184" i="3"/>
  <c r="Q184" i="3"/>
  <c r="R184" i="3"/>
  <c r="K185" i="3"/>
  <c r="L185" i="3"/>
  <c r="M185" i="3"/>
  <c r="N185" i="3"/>
  <c r="O185" i="3"/>
  <c r="P185" i="3"/>
  <c r="Q185" i="3"/>
  <c r="R185" i="3"/>
  <c r="K186" i="3"/>
  <c r="L186" i="3"/>
  <c r="M186" i="3"/>
  <c r="N186" i="3"/>
  <c r="O186" i="3"/>
  <c r="P186" i="3"/>
  <c r="Q186" i="3"/>
  <c r="R186" i="3"/>
  <c r="K187" i="3"/>
  <c r="L187" i="3"/>
  <c r="M187" i="3"/>
  <c r="N187" i="3"/>
  <c r="O187" i="3"/>
  <c r="P187" i="3"/>
  <c r="Q187" i="3"/>
  <c r="R187" i="3"/>
  <c r="K188" i="3"/>
  <c r="L188" i="3"/>
  <c r="M188" i="3"/>
  <c r="N188" i="3"/>
  <c r="O188" i="3"/>
  <c r="P188" i="3"/>
  <c r="Q188" i="3"/>
  <c r="R188" i="3"/>
  <c r="K189" i="3"/>
  <c r="L189" i="3"/>
  <c r="M189" i="3"/>
  <c r="N189" i="3"/>
  <c r="O189" i="3"/>
  <c r="P189" i="3"/>
  <c r="Q189" i="3"/>
  <c r="R189" i="3"/>
  <c r="K190" i="3"/>
  <c r="L190" i="3"/>
  <c r="M190" i="3"/>
  <c r="N190" i="3"/>
  <c r="O190" i="3"/>
  <c r="P190" i="3"/>
  <c r="Q190" i="3"/>
  <c r="R190" i="3"/>
  <c r="K191" i="3"/>
  <c r="L191" i="3"/>
  <c r="M191" i="3"/>
  <c r="N191" i="3"/>
  <c r="O191" i="3"/>
  <c r="P191" i="3"/>
  <c r="Q191" i="3"/>
  <c r="R191" i="3"/>
  <c r="K192" i="3"/>
  <c r="L192" i="3"/>
  <c r="M192" i="3"/>
  <c r="N192" i="3"/>
  <c r="O192" i="3"/>
  <c r="P192" i="3"/>
  <c r="Q192" i="3"/>
  <c r="R192" i="3"/>
  <c r="K193" i="3"/>
  <c r="L193" i="3"/>
  <c r="M193" i="3"/>
  <c r="N193" i="3"/>
  <c r="O193" i="3"/>
  <c r="P193" i="3"/>
  <c r="Q193" i="3"/>
  <c r="R193" i="3"/>
  <c r="K194" i="3"/>
  <c r="L194" i="3"/>
  <c r="M194" i="3"/>
  <c r="N194" i="3"/>
  <c r="O194" i="3"/>
  <c r="P194" i="3"/>
  <c r="Q194" i="3"/>
  <c r="R194" i="3"/>
  <c r="K195" i="3"/>
  <c r="L195" i="3"/>
  <c r="M195" i="3"/>
  <c r="N195" i="3"/>
  <c r="O195" i="3"/>
  <c r="P195" i="3"/>
  <c r="Q195" i="3"/>
  <c r="R195" i="3"/>
  <c r="K196" i="3"/>
  <c r="L196" i="3"/>
  <c r="M196" i="3"/>
  <c r="N196" i="3"/>
  <c r="O196" i="3"/>
  <c r="P196" i="3"/>
  <c r="Q196" i="3"/>
  <c r="R196" i="3"/>
  <c r="K197" i="3"/>
  <c r="L197" i="3"/>
  <c r="M197" i="3"/>
  <c r="N197" i="3"/>
  <c r="O197" i="3"/>
  <c r="P197" i="3"/>
  <c r="Q197" i="3"/>
  <c r="R197" i="3"/>
  <c r="K198" i="3"/>
  <c r="L198" i="3"/>
  <c r="M198" i="3"/>
  <c r="N198" i="3"/>
  <c r="O198" i="3"/>
  <c r="P198" i="3"/>
  <c r="Q198" i="3"/>
  <c r="R198" i="3"/>
  <c r="K199" i="3"/>
  <c r="L199" i="3"/>
  <c r="M199" i="3"/>
  <c r="N199" i="3"/>
  <c r="O199" i="3"/>
  <c r="P199" i="3"/>
  <c r="Q199" i="3"/>
  <c r="R199" i="3"/>
  <c r="K200" i="3"/>
  <c r="L200" i="3"/>
  <c r="M200" i="3"/>
  <c r="N200" i="3"/>
  <c r="O200" i="3"/>
  <c r="P200" i="3"/>
  <c r="Q200" i="3"/>
  <c r="R200" i="3"/>
  <c r="K201" i="3"/>
  <c r="L201" i="3"/>
  <c r="M201" i="3"/>
  <c r="N201" i="3"/>
  <c r="O201" i="3"/>
  <c r="P201" i="3"/>
  <c r="Q201" i="3"/>
  <c r="R201" i="3"/>
  <c r="K202" i="3"/>
  <c r="L202" i="3"/>
  <c r="M202" i="3"/>
  <c r="N202" i="3"/>
  <c r="O202" i="3"/>
  <c r="P202" i="3"/>
  <c r="Q202" i="3"/>
  <c r="R202" i="3"/>
  <c r="K203" i="3"/>
  <c r="L203" i="3"/>
  <c r="M203" i="3"/>
  <c r="N203" i="3"/>
  <c r="O203" i="3"/>
  <c r="P203" i="3"/>
  <c r="Q203" i="3"/>
  <c r="R203" i="3"/>
  <c r="K204" i="3"/>
  <c r="L204" i="3"/>
  <c r="M204" i="3"/>
  <c r="N204" i="3"/>
  <c r="O204" i="3"/>
  <c r="P204" i="3"/>
  <c r="Q204" i="3"/>
  <c r="R204" i="3"/>
  <c r="K205" i="3"/>
  <c r="L205" i="3"/>
  <c r="M205" i="3"/>
  <c r="N205" i="3"/>
  <c r="O205" i="3"/>
  <c r="P205" i="3"/>
  <c r="Q205" i="3"/>
  <c r="R205" i="3"/>
  <c r="K206" i="3"/>
  <c r="L206" i="3"/>
  <c r="M206" i="3"/>
  <c r="N206" i="3"/>
  <c r="O206" i="3"/>
  <c r="P206" i="3"/>
  <c r="Q206" i="3"/>
  <c r="R206" i="3"/>
  <c r="K207" i="3"/>
  <c r="L207" i="3"/>
  <c r="M207" i="3"/>
  <c r="N207" i="3"/>
  <c r="O207" i="3"/>
  <c r="P207" i="3"/>
  <c r="Q207" i="3"/>
  <c r="R207" i="3"/>
  <c r="K208" i="3"/>
  <c r="L208" i="3"/>
  <c r="M208" i="3"/>
  <c r="N208" i="3"/>
  <c r="O208" i="3"/>
  <c r="P208" i="3"/>
  <c r="Q208" i="3"/>
  <c r="R208" i="3"/>
  <c r="K209" i="3"/>
  <c r="L209" i="3"/>
  <c r="M209" i="3"/>
  <c r="N209" i="3"/>
  <c r="O209" i="3"/>
  <c r="P209" i="3"/>
  <c r="Q209" i="3"/>
  <c r="R209" i="3"/>
  <c r="K210" i="3"/>
  <c r="L210" i="3"/>
  <c r="M210" i="3"/>
  <c r="N210" i="3"/>
  <c r="O210" i="3"/>
  <c r="P210" i="3"/>
  <c r="Q210" i="3"/>
  <c r="R210" i="3"/>
  <c r="K211" i="3"/>
  <c r="L211" i="3"/>
  <c r="M211" i="3"/>
  <c r="N211" i="3"/>
  <c r="O211" i="3"/>
  <c r="P211" i="3"/>
  <c r="Q211" i="3"/>
  <c r="R211" i="3"/>
  <c r="K212" i="3"/>
  <c r="L212" i="3"/>
  <c r="M212" i="3"/>
  <c r="N212" i="3"/>
  <c r="O212" i="3"/>
  <c r="P212" i="3"/>
  <c r="Q212" i="3"/>
  <c r="R212" i="3"/>
  <c r="K213" i="3"/>
  <c r="L213" i="3"/>
  <c r="M213" i="3"/>
  <c r="N213" i="3"/>
  <c r="O213" i="3"/>
  <c r="P213" i="3"/>
  <c r="Q213" i="3"/>
  <c r="R213" i="3"/>
  <c r="K214" i="3"/>
  <c r="L214" i="3"/>
  <c r="M214" i="3"/>
  <c r="N214" i="3"/>
  <c r="O214" i="3"/>
  <c r="P214" i="3"/>
  <c r="Q214" i="3"/>
  <c r="R214" i="3"/>
  <c r="K215" i="3"/>
  <c r="L215" i="3"/>
  <c r="M215" i="3"/>
  <c r="N215" i="3"/>
  <c r="O215" i="3"/>
  <c r="P215" i="3"/>
  <c r="Q215" i="3"/>
  <c r="R215" i="3"/>
  <c r="K216" i="3"/>
  <c r="L216" i="3"/>
  <c r="M216" i="3"/>
  <c r="N216" i="3"/>
  <c r="O216" i="3"/>
  <c r="P216" i="3"/>
  <c r="Q216" i="3"/>
  <c r="R216" i="3"/>
  <c r="K217" i="3"/>
  <c r="L217" i="3"/>
  <c r="M217" i="3"/>
  <c r="N217" i="3"/>
  <c r="O217" i="3"/>
  <c r="P217" i="3"/>
  <c r="Q217" i="3"/>
  <c r="R217" i="3"/>
  <c r="K218" i="3"/>
  <c r="L218" i="3"/>
  <c r="M218" i="3"/>
  <c r="N218" i="3"/>
  <c r="O218" i="3"/>
  <c r="P218" i="3"/>
  <c r="Q218" i="3"/>
  <c r="R218" i="3"/>
  <c r="K219" i="3"/>
  <c r="L219" i="3"/>
  <c r="M219" i="3"/>
  <c r="N219" i="3"/>
  <c r="O219" i="3"/>
  <c r="P219" i="3"/>
  <c r="Q219" i="3"/>
  <c r="R219" i="3"/>
  <c r="K220" i="3"/>
  <c r="L220" i="3"/>
  <c r="M220" i="3"/>
  <c r="N220" i="3"/>
  <c r="O220" i="3"/>
  <c r="P220" i="3"/>
  <c r="Q220" i="3"/>
  <c r="R220" i="3"/>
  <c r="K221" i="3"/>
  <c r="L221" i="3"/>
  <c r="M221" i="3"/>
  <c r="N221" i="3"/>
  <c r="O221" i="3"/>
  <c r="P221" i="3"/>
  <c r="Q221" i="3"/>
  <c r="R221" i="3"/>
  <c r="K222" i="3"/>
  <c r="L222" i="3"/>
  <c r="M222" i="3"/>
  <c r="N222" i="3"/>
  <c r="O222" i="3"/>
  <c r="P222" i="3"/>
  <c r="Q222" i="3"/>
  <c r="R222" i="3"/>
  <c r="K223" i="3"/>
  <c r="L223" i="3"/>
  <c r="M223" i="3"/>
  <c r="N223" i="3"/>
  <c r="O223" i="3"/>
  <c r="P223" i="3"/>
  <c r="Q223" i="3"/>
  <c r="R223" i="3"/>
  <c r="K224" i="3"/>
  <c r="L224" i="3"/>
  <c r="M224" i="3"/>
  <c r="N224" i="3"/>
  <c r="O224" i="3"/>
  <c r="P224" i="3"/>
  <c r="Q224" i="3"/>
  <c r="R224" i="3"/>
  <c r="K225" i="3"/>
  <c r="L225" i="3"/>
  <c r="M225" i="3"/>
  <c r="N225" i="3"/>
  <c r="O225" i="3"/>
  <c r="P225" i="3"/>
  <c r="Q225" i="3"/>
  <c r="R225" i="3"/>
  <c r="K226" i="3"/>
  <c r="L226" i="3"/>
  <c r="M226" i="3"/>
  <c r="N226" i="3"/>
  <c r="O226" i="3"/>
  <c r="P226" i="3"/>
  <c r="Q226" i="3"/>
  <c r="R226" i="3"/>
  <c r="K227" i="3"/>
  <c r="L227" i="3"/>
  <c r="M227" i="3"/>
  <c r="N227" i="3"/>
  <c r="O227" i="3"/>
  <c r="P227" i="3"/>
  <c r="Q227" i="3"/>
  <c r="R227" i="3"/>
  <c r="K228" i="3"/>
  <c r="L228" i="3"/>
  <c r="M228" i="3"/>
  <c r="N228" i="3"/>
  <c r="O228" i="3"/>
  <c r="P228" i="3"/>
  <c r="Q228" i="3"/>
  <c r="R228" i="3"/>
  <c r="K229" i="3"/>
  <c r="L229" i="3"/>
  <c r="M229" i="3"/>
  <c r="N229" i="3"/>
  <c r="O229" i="3"/>
  <c r="P229" i="3"/>
  <c r="Q229" i="3"/>
  <c r="R229" i="3"/>
  <c r="K230" i="3"/>
  <c r="L230" i="3"/>
  <c r="M230" i="3"/>
  <c r="N230" i="3"/>
  <c r="O230" i="3"/>
  <c r="P230" i="3"/>
  <c r="Q230" i="3"/>
  <c r="R230" i="3"/>
  <c r="K231" i="3"/>
  <c r="L231" i="3"/>
  <c r="M231" i="3"/>
  <c r="N231" i="3"/>
  <c r="O231" i="3"/>
  <c r="P231" i="3"/>
  <c r="Q231" i="3"/>
  <c r="R231" i="3"/>
  <c r="K232" i="3"/>
  <c r="L232" i="3"/>
  <c r="M232" i="3"/>
  <c r="N232" i="3"/>
  <c r="O232" i="3"/>
  <c r="P232" i="3"/>
  <c r="Q232" i="3"/>
  <c r="R232" i="3"/>
  <c r="K233" i="3"/>
  <c r="L233" i="3"/>
  <c r="M233" i="3"/>
  <c r="N233" i="3"/>
  <c r="O233" i="3"/>
  <c r="P233" i="3"/>
  <c r="Q233" i="3"/>
  <c r="R233" i="3"/>
  <c r="K234" i="3"/>
  <c r="L234" i="3"/>
  <c r="M234" i="3"/>
  <c r="N234" i="3"/>
  <c r="O234" i="3"/>
  <c r="P234" i="3"/>
  <c r="Q234" i="3"/>
  <c r="R234" i="3"/>
  <c r="K235" i="3"/>
  <c r="L235" i="3"/>
  <c r="M235" i="3"/>
  <c r="N235" i="3"/>
  <c r="O235" i="3"/>
  <c r="P235" i="3"/>
  <c r="Q235" i="3"/>
  <c r="R235" i="3"/>
  <c r="K236" i="3"/>
  <c r="L236" i="3"/>
  <c r="M236" i="3"/>
  <c r="N236" i="3"/>
  <c r="O236" i="3"/>
  <c r="P236" i="3"/>
  <c r="Q236" i="3"/>
  <c r="R236" i="3"/>
  <c r="K237" i="3"/>
  <c r="L237" i="3"/>
  <c r="M237" i="3"/>
  <c r="N237" i="3"/>
  <c r="O237" i="3"/>
  <c r="P237" i="3"/>
  <c r="Q237" i="3"/>
  <c r="R237" i="3"/>
  <c r="K238" i="3"/>
  <c r="L238" i="3"/>
  <c r="M238" i="3"/>
  <c r="N238" i="3"/>
  <c r="O238" i="3"/>
  <c r="P238" i="3"/>
  <c r="Q238" i="3"/>
  <c r="R238" i="3"/>
  <c r="K239" i="3"/>
  <c r="L239" i="3"/>
  <c r="M239" i="3"/>
  <c r="N239" i="3"/>
  <c r="O239" i="3"/>
  <c r="P239" i="3"/>
  <c r="Q239" i="3"/>
  <c r="R239" i="3"/>
  <c r="K240" i="3"/>
  <c r="L240" i="3"/>
  <c r="M240" i="3"/>
  <c r="N240" i="3"/>
  <c r="O240" i="3"/>
  <c r="P240" i="3"/>
  <c r="Q240" i="3"/>
  <c r="R240" i="3"/>
  <c r="K241" i="3"/>
  <c r="L241" i="3"/>
  <c r="M241" i="3"/>
  <c r="N241" i="3"/>
  <c r="O241" i="3"/>
  <c r="P241" i="3"/>
  <c r="Q241" i="3"/>
  <c r="R241" i="3"/>
  <c r="K242" i="3"/>
  <c r="L242" i="3"/>
  <c r="M242" i="3"/>
  <c r="N242" i="3"/>
  <c r="O242" i="3"/>
  <c r="P242" i="3"/>
  <c r="Q242" i="3"/>
  <c r="R242" i="3"/>
  <c r="K243" i="3"/>
  <c r="L243" i="3"/>
  <c r="M243" i="3"/>
  <c r="N243" i="3"/>
  <c r="O243" i="3"/>
  <c r="P243" i="3"/>
  <c r="Q243" i="3"/>
  <c r="R243" i="3"/>
  <c r="K244" i="3"/>
  <c r="L244" i="3"/>
  <c r="M244" i="3"/>
  <c r="N244" i="3"/>
  <c r="O244" i="3"/>
  <c r="P244" i="3"/>
  <c r="Q244" i="3"/>
  <c r="R244" i="3"/>
  <c r="K245" i="3"/>
  <c r="L245" i="3"/>
  <c r="M245" i="3"/>
  <c r="N245" i="3"/>
  <c r="O245" i="3"/>
  <c r="P245" i="3"/>
  <c r="Q245" i="3"/>
  <c r="R245" i="3"/>
  <c r="K246" i="3"/>
  <c r="L246" i="3"/>
  <c r="M246" i="3"/>
  <c r="N246" i="3"/>
  <c r="O246" i="3"/>
  <c r="P246" i="3"/>
  <c r="Q246" i="3"/>
  <c r="R246" i="3"/>
  <c r="K247" i="3"/>
  <c r="L247" i="3"/>
  <c r="M247" i="3"/>
  <c r="N247" i="3"/>
  <c r="O247" i="3"/>
  <c r="P247" i="3"/>
  <c r="Q247" i="3"/>
  <c r="R247" i="3"/>
  <c r="K248" i="3"/>
  <c r="L248" i="3"/>
  <c r="M248" i="3"/>
  <c r="N248" i="3"/>
  <c r="O248" i="3"/>
  <c r="P248" i="3"/>
  <c r="Q248" i="3"/>
  <c r="R248" i="3"/>
  <c r="K249" i="3"/>
  <c r="L249" i="3"/>
  <c r="M249" i="3"/>
  <c r="N249" i="3"/>
  <c r="O249" i="3"/>
  <c r="P249" i="3"/>
  <c r="Q249" i="3"/>
  <c r="R249" i="3"/>
  <c r="K250" i="3"/>
  <c r="L250" i="3"/>
  <c r="M250" i="3"/>
  <c r="N250" i="3"/>
  <c r="O250" i="3"/>
  <c r="P250" i="3"/>
  <c r="Q250" i="3"/>
  <c r="R250" i="3"/>
  <c r="K251" i="3"/>
  <c r="L251" i="3"/>
  <c r="M251" i="3"/>
  <c r="N251" i="3"/>
  <c r="O251" i="3"/>
  <c r="P251" i="3"/>
  <c r="Q251" i="3"/>
  <c r="R251" i="3"/>
  <c r="K252" i="3"/>
  <c r="L252" i="3"/>
  <c r="M252" i="3"/>
  <c r="N252" i="3"/>
  <c r="O252" i="3"/>
  <c r="P252" i="3"/>
  <c r="Q252" i="3"/>
  <c r="R252" i="3"/>
  <c r="K253" i="3"/>
  <c r="L253" i="3"/>
  <c r="M253" i="3"/>
  <c r="N253" i="3"/>
  <c r="O253" i="3"/>
  <c r="P253" i="3"/>
  <c r="Q253" i="3"/>
  <c r="R253" i="3"/>
  <c r="K254" i="3"/>
  <c r="L254" i="3"/>
  <c r="M254" i="3"/>
  <c r="N254" i="3"/>
  <c r="O254" i="3"/>
  <c r="P254" i="3"/>
  <c r="Q254" i="3"/>
  <c r="R254" i="3"/>
  <c r="K255" i="3"/>
  <c r="L255" i="3"/>
  <c r="M255" i="3"/>
  <c r="N255" i="3"/>
  <c r="O255" i="3"/>
  <c r="P255" i="3"/>
  <c r="Q255" i="3"/>
  <c r="R255" i="3"/>
  <c r="K256" i="3"/>
  <c r="L256" i="3"/>
  <c r="M256" i="3"/>
  <c r="N256" i="3"/>
  <c r="O256" i="3"/>
  <c r="P256" i="3"/>
  <c r="Q256" i="3"/>
  <c r="R256" i="3"/>
  <c r="K257" i="3"/>
  <c r="L257" i="3"/>
  <c r="M257" i="3"/>
  <c r="N257" i="3"/>
  <c r="O257" i="3"/>
  <c r="P257" i="3"/>
  <c r="Q257" i="3"/>
  <c r="R257" i="3"/>
  <c r="K258" i="3"/>
  <c r="L258" i="3"/>
  <c r="M258" i="3"/>
  <c r="N258" i="3"/>
  <c r="O258" i="3"/>
  <c r="P258" i="3"/>
  <c r="Q258" i="3"/>
  <c r="R258" i="3"/>
  <c r="K259" i="3"/>
  <c r="L259" i="3"/>
  <c r="M259" i="3"/>
  <c r="N259" i="3"/>
  <c r="O259" i="3"/>
  <c r="P259" i="3"/>
  <c r="Q259" i="3"/>
  <c r="R259" i="3"/>
  <c r="K260" i="3"/>
  <c r="L260" i="3"/>
  <c r="M260" i="3"/>
  <c r="N260" i="3"/>
  <c r="O260" i="3"/>
  <c r="P260" i="3"/>
  <c r="Q260" i="3"/>
  <c r="R260" i="3"/>
  <c r="K261" i="3"/>
  <c r="L261" i="3"/>
  <c r="M261" i="3"/>
  <c r="N261" i="3"/>
  <c r="O261" i="3"/>
  <c r="P261" i="3"/>
  <c r="Q261" i="3"/>
  <c r="R261" i="3"/>
  <c r="K262" i="3"/>
  <c r="L262" i="3"/>
  <c r="M262" i="3"/>
  <c r="N262" i="3"/>
  <c r="O262" i="3"/>
  <c r="P262" i="3"/>
  <c r="Q262" i="3"/>
  <c r="R262" i="3"/>
  <c r="K263" i="3"/>
  <c r="L263" i="3"/>
  <c r="M263" i="3"/>
  <c r="N263" i="3"/>
  <c r="O263" i="3"/>
  <c r="P263" i="3"/>
  <c r="Q263" i="3"/>
  <c r="R263" i="3"/>
  <c r="K264" i="3"/>
  <c r="L264" i="3"/>
  <c r="M264" i="3"/>
  <c r="N264" i="3"/>
  <c r="O264" i="3"/>
  <c r="P264" i="3"/>
  <c r="Q264" i="3"/>
  <c r="R264" i="3"/>
  <c r="K265" i="3"/>
  <c r="L265" i="3"/>
  <c r="M265" i="3"/>
  <c r="N265" i="3"/>
  <c r="O265" i="3"/>
  <c r="P265" i="3"/>
  <c r="Q265" i="3"/>
  <c r="R265" i="3"/>
  <c r="K266" i="3"/>
  <c r="L266" i="3"/>
  <c r="M266" i="3"/>
  <c r="N266" i="3"/>
  <c r="O266" i="3"/>
  <c r="P266" i="3"/>
  <c r="Q266" i="3"/>
  <c r="R266" i="3"/>
  <c r="K267" i="3"/>
  <c r="L267" i="3"/>
  <c r="M267" i="3"/>
  <c r="N267" i="3"/>
  <c r="O267" i="3"/>
  <c r="P267" i="3"/>
  <c r="Q267" i="3"/>
  <c r="R267" i="3"/>
  <c r="K268" i="3"/>
  <c r="L268" i="3"/>
  <c r="M268" i="3"/>
  <c r="N268" i="3"/>
  <c r="O268" i="3"/>
  <c r="P268" i="3"/>
  <c r="Q268" i="3"/>
  <c r="R268" i="3"/>
  <c r="K269" i="3"/>
  <c r="L269" i="3"/>
  <c r="M269" i="3"/>
  <c r="N269" i="3"/>
  <c r="O269" i="3"/>
  <c r="P269" i="3"/>
  <c r="Q269" i="3"/>
  <c r="R269" i="3"/>
  <c r="K270" i="3"/>
  <c r="L270" i="3"/>
  <c r="M270" i="3"/>
  <c r="N270" i="3"/>
  <c r="O270" i="3"/>
  <c r="P270" i="3"/>
  <c r="Q270" i="3"/>
  <c r="R270" i="3"/>
  <c r="K271" i="3"/>
  <c r="L271" i="3"/>
  <c r="M271" i="3"/>
  <c r="N271" i="3"/>
  <c r="O271" i="3"/>
  <c r="P271" i="3"/>
  <c r="Q271" i="3"/>
  <c r="R271" i="3"/>
  <c r="K272" i="3"/>
  <c r="L272" i="3"/>
  <c r="M272" i="3"/>
  <c r="N272" i="3"/>
  <c r="O272" i="3"/>
  <c r="P272" i="3"/>
  <c r="Q272" i="3"/>
  <c r="R272" i="3"/>
  <c r="K273" i="3"/>
  <c r="L273" i="3"/>
  <c r="M273" i="3"/>
  <c r="N273" i="3"/>
  <c r="O273" i="3"/>
  <c r="P273" i="3"/>
  <c r="Q273" i="3"/>
  <c r="R273" i="3"/>
  <c r="K274" i="3"/>
  <c r="L274" i="3"/>
  <c r="M274" i="3"/>
  <c r="N274" i="3"/>
  <c r="O274" i="3"/>
  <c r="P274" i="3"/>
  <c r="Q274" i="3"/>
  <c r="R274" i="3"/>
  <c r="K275" i="3"/>
  <c r="L275" i="3"/>
  <c r="M275" i="3"/>
  <c r="N275" i="3"/>
  <c r="O275" i="3"/>
  <c r="P275" i="3"/>
  <c r="Q275" i="3"/>
  <c r="R275" i="3"/>
  <c r="K276" i="3"/>
  <c r="L276" i="3"/>
  <c r="M276" i="3"/>
  <c r="N276" i="3"/>
  <c r="O276" i="3"/>
  <c r="P276" i="3"/>
  <c r="Q276" i="3"/>
  <c r="R276" i="3"/>
  <c r="K277" i="3"/>
  <c r="L277" i="3"/>
  <c r="M277" i="3"/>
  <c r="N277" i="3"/>
  <c r="O277" i="3"/>
  <c r="P277" i="3"/>
  <c r="Q277" i="3"/>
  <c r="R277" i="3"/>
  <c r="K278" i="3"/>
  <c r="L278" i="3"/>
  <c r="M278" i="3"/>
  <c r="N278" i="3"/>
  <c r="O278" i="3"/>
  <c r="P278" i="3"/>
  <c r="Q278" i="3"/>
  <c r="R278" i="3"/>
  <c r="K279" i="3"/>
  <c r="L279" i="3"/>
  <c r="M279" i="3"/>
  <c r="N279" i="3"/>
  <c r="O279" i="3"/>
  <c r="P279" i="3"/>
  <c r="Q279" i="3"/>
  <c r="R279" i="3"/>
  <c r="K280" i="3"/>
  <c r="L280" i="3"/>
  <c r="M280" i="3"/>
  <c r="N280" i="3"/>
  <c r="O280" i="3"/>
  <c r="P280" i="3"/>
  <c r="Q280" i="3"/>
  <c r="R280" i="3"/>
  <c r="K281" i="3"/>
  <c r="L281" i="3"/>
  <c r="M281" i="3"/>
  <c r="N281" i="3"/>
  <c r="O281" i="3"/>
  <c r="P281" i="3"/>
  <c r="Q281" i="3"/>
  <c r="R281" i="3"/>
  <c r="K282" i="3"/>
  <c r="L282" i="3"/>
  <c r="M282" i="3"/>
  <c r="N282" i="3"/>
  <c r="O282" i="3"/>
  <c r="P282" i="3"/>
  <c r="Q282" i="3"/>
  <c r="R282" i="3"/>
  <c r="K283" i="3"/>
  <c r="L283" i="3"/>
  <c r="M283" i="3"/>
  <c r="N283" i="3"/>
  <c r="O283" i="3"/>
  <c r="P283" i="3"/>
  <c r="Q283" i="3"/>
  <c r="R283" i="3"/>
  <c r="K284" i="3"/>
  <c r="L284" i="3"/>
  <c r="M284" i="3"/>
  <c r="N284" i="3"/>
  <c r="O284" i="3"/>
  <c r="P284" i="3"/>
  <c r="Q284" i="3"/>
  <c r="R284" i="3"/>
  <c r="K285" i="3"/>
  <c r="L285" i="3"/>
  <c r="M285" i="3"/>
  <c r="N285" i="3"/>
  <c r="O285" i="3"/>
  <c r="P285" i="3"/>
  <c r="Q285" i="3"/>
  <c r="R285" i="3"/>
  <c r="K286" i="3"/>
  <c r="L286" i="3"/>
  <c r="M286" i="3"/>
  <c r="N286" i="3"/>
  <c r="O286" i="3"/>
  <c r="P286" i="3"/>
  <c r="Q286" i="3"/>
  <c r="R286" i="3"/>
  <c r="K287" i="3"/>
  <c r="L287" i="3"/>
  <c r="M287" i="3"/>
  <c r="N287" i="3"/>
  <c r="O287" i="3"/>
  <c r="P287" i="3"/>
  <c r="Q287" i="3"/>
  <c r="R287" i="3"/>
  <c r="K288" i="3"/>
  <c r="L288" i="3"/>
  <c r="M288" i="3"/>
  <c r="N288" i="3"/>
  <c r="O288" i="3"/>
  <c r="P288" i="3"/>
  <c r="Q288" i="3"/>
  <c r="R288" i="3"/>
  <c r="K289" i="3"/>
  <c r="L289" i="3"/>
  <c r="M289" i="3"/>
  <c r="N289" i="3"/>
  <c r="O289" i="3"/>
  <c r="P289" i="3"/>
  <c r="Q289" i="3"/>
  <c r="R289" i="3"/>
  <c r="K290" i="3"/>
  <c r="L290" i="3"/>
  <c r="M290" i="3"/>
  <c r="N290" i="3"/>
  <c r="O290" i="3"/>
  <c r="P290" i="3"/>
  <c r="Q290" i="3"/>
  <c r="R290" i="3"/>
  <c r="K291" i="3"/>
  <c r="L291" i="3"/>
  <c r="M291" i="3"/>
  <c r="N291" i="3"/>
  <c r="O291" i="3"/>
  <c r="P291" i="3"/>
  <c r="Q291" i="3"/>
  <c r="R291" i="3"/>
  <c r="K292" i="3"/>
  <c r="L292" i="3"/>
  <c r="M292" i="3"/>
  <c r="N292" i="3"/>
  <c r="O292" i="3"/>
  <c r="P292" i="3"/>
  <c r="Q292" i="3"/>
  <c r="R292" i="3"/>
  <c r="K293" i="3"/>
  <c r="L293" i="3"/>
  <c r="M293" i="3"/>
  <c r="N293" i="3"/>
  <c r="O293" i="3"/>
  <c r="P293" i="3"/>
  <c r="Q293" i="3"/>
  <c r="R293" i="3"/>
  <c r="K294" i="3"/>
  <c r="L294" i="3"/>
  <c r="M294" i="3"/>
  <c r="N294" i="3"/>
  <c r="O294" i="3"/>
  <c r="P294" i="3"/>
  <c r="Q294" i="3"/>
  <c r="R294" i="3"/>
  <c r="K295" i="3"/>
  <c r="L295" i="3"/>
  <c r="M295" i="3"/>
  <c r="N295" i="3"/>
  <c r="O295" i="3"/>
  <c r="P295" i="3"/>
  <c r="Q295" i="3"/>
  <c r="R295" i="3"/>
  <c r="K296" i="3"/>
  <c r="L296" i="3"/>
  <c r="M296" i="3"/>
  <c r="N296" i="3"/>
  <c r="O296" i="3"/>
  <c r="P296" i="3"/>
  <c r="Q296" i="3"/>
  <c r="R296" i="3"/>
  <c r="K297" i="3"/>
  <c r="L297" i="3"/>
  <c r="M297" i="3"/>
  <c r="N297" i="3"/>
  <c r="O297" i="3"/>
  <c r="P297" i="3"/>
  <c r="Q297" i="3"/>
  <c r="R297" i="3"/>
  <c r="K298" i="3"/>
  <c r="L298" i="3"/>
  <c r="M298" i="3"/>
  <c r="N298" i="3"/>
  <c r="O298" i="3"/>
  <c r="P298" i="3"/>
  <c r="Q298" i="3"/>
  <c r="R298" i="3"/>
  <c r="K299" i="3"/>
  <c r="L299" i="3"/>
  <c r="M299" i="3"/>
  <c r="N299" i="3"/>
  <c r="O299" i="3"/>
  <c r="P299" i="3"/>
  <c r="Q299" i="3"/>
  <c r="R299" i="3"/>
  <c r="K300" i="3"/>
  <c r="L300" i="3"/>
  <c r="M300" i="3"/>
  <c r="N300" i="3"/>
  <c r="O300" i="3"/>
  <c r="P300" i="3"/>
  <c r="Q300" i="3"/>
  <c r="R300" i="3"/>
  <c r="K301" i="3"/>
  <c r="L301" i="3"/>
  <c r="M301" i="3"/>
  <c r="N301" i="3"/>
  <c r="O301" i="3"/>
  <c r="P301" i="3"/>
  <c r="Q301" i="3"/>
  <c r="R301" i="3"/>
  <c r="K302" i="3"/>
  <c r="L302" i="3"/>
  <c r="M302" i="3"/>
  <c r="N302" i="3"/>
  <c r="O302" i="3"/>
  <c r="P302" i="3"/>
  <c r="Q302" i="3"/>
  <c r="R302" i="3"/>
  <c r="K303" i="3"/>
  <c r="L303" i="3"/>
  <c r="M303" i="3"/>
  <c r="N303" i="3"/>
  <c r="O303" i="3"/>
  <c r="P303" i="3"/>
  <c r="Q303" i="3"/>
  <c r="R303" i="3"/>
  <c r="K304" i="3"/>
  <c r="L304" i="3"/>
  <c r="M304" i="3"/>
  <c r="N304" i="3"/>
  <c r="O304" i="3"/>
  <c r="P304" i="3"/>
  <c r="Q304" i="3"/>
  <c r="R304" i="3"/>
  <c r="K305" i="3"/>
  <c r="L305" i="3"/>
  <c r="M305" i="3"/>
  <c r="N305" i="3"/>
  <c r="O305" i="3"/>
  <c r="P305" i="3"/>
  <c r="Q305" i="3"/>
  <c r="R305" i="3"/>
  <c r="K306" i="3"/>
  <c r="L306" i="3"/>
  <c r="M306" i="3"/>
  <c r="N306" i="3"/>
  <c r="O306" i="3"/>
  <c r="P306" i="3"/>
  <c r="Q306" i="3"/>
  <c r="R306" i="3"/>
  <c r="K307" i="3"/>
  <c r="L307" i="3"/>
  <c r="M307" i="3"/>
  <c r="N307" i="3"/>
  <c r="O307" i="3"/>
  <c r="P307" i="3"/>
  <c r="Q307" i="3"/>
  <c r="R307" i="3"/>
  <c r="K308" i="3"/>
  <c r="L308" i="3"/>
  <c r="M308" i="3"/>
  <c r="N308" i="3"/>
  <c r="O308" i="3"/>
  <c r="P308" i="3"/>
  <c r="Q308" i="3"/>
  <c r="R308" i="3"/>
  <c r="K309" i="3"/>
  <c r="L309" i="3"/>
  <c r="M309" i="3"/>
  <c r="N309" i="3"/>
  <c r="O309" i="3"/>
  <c r="P309" i="3"/>
  <c r="Q309" i="3"/>
  <c r="R309" i="3"/>
  <c r="K310" i="3"/>
  <c r="L310" i="3"/>
  <c r="M310" i="3"/>
  <c r="N310" i="3"/>
  <c r="O310" i="3"/>
  <c r="P310" i="3"/>
  <c r="Q310" i="3"/>
  <c r="R310" i="3"/>
  <c r="K311" i="3"/>
  <c r="L311" i="3"/>
  <c r="M311" i="3"/>
  <c r="N311" i="3"/>
  <c r="O311" i="3"/>
  <c r="P311" i="3"/>
  <c r="Q311" i="3"/>
  <c r="R311" i="3"/>
  <c r="K312" i="3"/>
  <c r="L312" i="3"/>
  <c r="M312" i="3"/>
  <c r="N312" i="3"/>
  <c r="O312" i="3"/>
  <c r="P312" i="3"/>
  <c r="Q312" i="3"/>
  <c r="R312" i="3"/>
  <c r="K313" i="3"/>
  <c r="L313" i="3"/>
  <c r="M313" i="3"/>
  <c r="N313" i="3"/>
  <c r="O313" i="3"/>
  <c r="P313" i="3"/>
  <c r="Q313" i="3"/>
  <c r="R313" i="3"/>
  <c r="K314" i="3"/>
  <c r="L314" i="3"/>
  <c r="M314" i="3"/>
  <c r="N314" i="3"/>
  <c r="O314" i="3"/>
  <c r="P314" i="3"/>
  <c r="Q314" i="3"/>
  <c r="R314" i="3"/>
  <c r="K315" i="3"/>
  <c r="L315" i="3"/>
  <c r="M315" i="3"/>
  <c r="N315" i="3"/>
  <c r="O315" i="3"/>
  <c r="P315" i="3"/>
  <c r="Q315" i="3"/>
  <c r="R315" i="3"/>
  <c r="K316" i="3"/>
  <c r="L316" i="3"/>
  <c r="M316" i="3"/>
  <c r="N316" i="3"/>
  <c r="O316" i="3"/>
  <c r="P316" i="3"/>
  <c r="Q316" i="3"/>
  <c r="R316" i="3"/>
  <c r="K317" i="3"/>
  <c r="L317" i="3"/>
  <c r="M317" i="3"/>
  <c r="N317" i="3"/>
  <c r="O317" i="3"/>
  <c r="P317" i="3"/>
  <c r="Q317" i="3"/>
  <c r="R317" i="3"/>
  <c r="K318" i="3"/>
  <c r="L318" i="3"/>
  <c r="M318" i="3"/>
  <c r="N318" i="3"/>
  <c r="O318" i="3"/>
  <c r="P318" i="3"/>
  <c r="Q318" i="3"/>
  <c r="R318" i="3"/>
  <c r="K319" i="3"/>
  <c r="L319" i="3"/>
  <c r="M319" i="3"/>
  <c r="N319" i="3"/>
  <c r="O319" i="3"/>
  <c r="P319" i="3"/>
  <c r="Q319" i="3"/>
  <c r="R319" i="3"/>
  <c r="K320" i="3"/>
  <c r="L320" i="3"/>
  <c r="M320" i="3"/>
  <c r="N320" i="3"/>
  <c r="O320" i="3"/>
  <c r="P320" i="3"/>
  <c r="Q320" i="3"/>
  <c r="R320" i="3"/>
  <c r="K321" i="3"/>
  <c r="L321" i="3"/>
  <c r="M321" i="3"/>
  <c r="N321" i="3"/>
  <c r="O321" i="3"/>
  <c r="P321" i="3"/>
  <c r="Q321" i="3"/>
  <c r="R321" i="3"/>
  <c r="K322" i="3"/>
  <c r="L322" i="3"/>
  <c r="M322" i="3"/>
  <c r="N322" i="3"/>
  <c r="O322" i="3"/>
  <c r="P322" i="3"/>
  <c r="Q322" i="3"/>
  <c r="R322" i="3"/>
  <c r="K323" i="3"/>
  <c r="L323" i="3"/>
  <c r="M323" i="3"/>
  <c r="N323" i="3"/>
  <c r="O323" i="3"/>
  <c r="P323" i="3"/>
  <c r="Q323" i="3"/>
  <c r="R323" i="3"/>
  <c r="K324" i="3"/>
  <c r="L324" i="3"/>
  <c r="M324" i="3"/>
  <c r="N324" i="3"/>
  <c r="O324" i="3"/>
  <c r="P324" i="3"/>
  <c r="Q324" i="3"/>
  <c r="R324" i="3"/>
  <c r="K325" i="3"/>
  <c r="L325" i="3"/>
  <c r="M325" i="3"/>
  <c r="N325" i="3"/>
  <c r="O325" i="3"/>
  <c r="P325" i="3"/>
  <c r="Q325" i="3"/>
  <c r="R325" i="3"/>
  <c r="K326" i="3"/>
  <c r="L326" i="3"/>
  <c r="M326" i="3"/>
  <c r="N326" i="3"/>
  <c r="O326" i="3"/>
  <c r="P326" i="3"/>
  <c r="Q326" i="3"/>
  <c r="R326" i="3"/>
  <c r="K327" i="3"/>
  <c r="L327" i="3"/>
  <c r="M327" i="3"/>
  <c r="N327" i="3"/>
  <c r="O327" i="3"/>
  <c r="P327" i="3"/>
  <c r="Q327" i="3"/>
  <c r="R327" i="3"/>
  <c r="K328" i="3"/>
  <c r="L328" i="3"/>
  <c r="M328" i="3"/>
  <c r="N328" i="3"/>
  <c r="O328" i="3"/>
  <c r="P328" i="3"/>
  <c r="Q328" i="3"/>
  <c r="R328" i="3"/>
  <c r="K329" i="3"/>
  <c r="L329" i="3"/>
  <c r="M329" i="3"/>
  <c r="N329" i="3"/>
  <c r="O329" i="3"/>
  <c r="P329" i="3"/>
  <c r="Q329" i="3"/>
  <c r="R329" i="3"/>
  <c r="K330" i="3"/>
  <c r="L330" i="3"/>
  <c r="M330" i="3"/>
  <c r="N330" i="3"/>
  <c r="O330" i="3"/>
  <c r="P330" i="3"/>
  <c r="Q330" i="3"/>
  <c r="R330" i="3"/>
  <c r="K331" i="3"/>
  <c r="L331" i="3"/>
  <c r="M331" i="3"/>
  <c r="N331" i="3"/>
  <c r="O331" i="3"/>
  <c r="P331" i="3"/>
  <c r="Q331" i="3"/>
  <c r="R331" i="3"/>
  <c r="K332" i="3"/>
  <c r="L332" i="3"/>
  <c r="M332" i="3"/>
  <c r="N332" i="3"/>
  <c r="O332" i="3"/>
  <c r="P332" i="3"/>
  <c r="Q332" i="3"/>
  <c r="R332" i="3"/>
  <c r="K333" i="3"/>
  <c r="L333" i="3"/>
  <c r="M333" i="3"/>
  <c r="N333" i="3"/>
  <c r="O333" i="3"/>
  <c r="P333" i="3"/>
  <c r="Q333" i="3"/>
  <c r="R333" i="3"/>
  <c r="K334" i="3"/>
  <c r="L334" i="3"/>
  <c r="M334" i="3"/>
  <c r="N334" i="3"/>
  <c r="O334" i="3"/>
  <c r="P334" i="3"/>
  <c r="Q334" i="3"/>
  <c r="R334" i="3"/>
  <c r="K335" i="3"/>
  <c r="L335" i="3"/>
  <c r="M335" i="3"/>
  <c r="N335" i="3"/>
  <c r="O335" i="3"/>
  <c r="P335" i="3"/>
  <c r="Q335" i="3"/>
  <c r="R335" i="3"/>
  <c r="K336" i="3"/>
  <c r="L336" i="3"/>
  <c r="M336" i="3"/>
  <c r="N336" i="3"/>
  <c r="O336" i="3"/>
  <c r="P336" i="3"/>
  <c r="Q336" i="3"/>
  <c r="R336" i="3"/>
  <c r="K337" i="3"/>
  <c r="L337" i="3"/>
  <c r="M337" i="3"/>
  <c r="N337" i="3"/>
  <c r="O337" i="3"/>
  <c r="P337" i="3"/>
  <c r="Q337" i="3"/>
  <c r="R337" i="3"/>
  <c r="K338" i="3"/>
  <c r="L338" i="3"/>
  <c r="M338" i="3"/>
  <c r="N338" i="3"/>
  <c r="O338" i="3"/>
  <c r="P338" i="3"/>
  <c r="Q338" i="3"/>
  <c r="R338" i="3"/>
  <c r="K339" i="3"/>
  <c r="L339" i="3"/>
  <c r="M339" i="3"/>
  <c r="N339" i="3"/>
  <c r="O339" i="3"/>
  <c r="P339" i="3"/>
  <c r="Q339" i="3"/>
  <c r="R339" i="3"/>
  <c r="K340" i="3"/>
  <c r="L340" i="3"/>
  <c r="M340" i="3"/>
  <c r="N340" i="3"/>
  <c r="O340" i="3"/>
  <c r="P340" i="3"/>
  <c r="Q340" i="3"/>
  <c r="R340" i="3"/>
  <c r="K341" i="3"/>
  <c r="L341" i="3"/>
  <c r="M341" i="3"/>
  <c r="N341" i="3"/>
  <c r="O341" i="3"/>
  <c r="P341" i="3"/>
  <c r="Q341" i="3"/>
  <c r="R341" i="3"/>
  <c r="K342" i="3"/>
  <c r="L342" i="3"/>
  <c r="M342" i="3"/>
  <c r="N342" i="3"/>
  <c r="O342" i="3"/>
  <c r="P342" i="3"/>
  <c r="Q342" i="3"/>
  <c r="R342" i="3"/>
  <c r="K343" i="3"/>
  <c r="L343" i="3"/>
  <c r="M343" i="3"/>
  <c r="N343" i="3"/>
  <c r="O343" i="3"/>
  <c r="P343" i="3"/>
  <c r="Q343" i="3"/>
  <c r="R343" i="3"/>
  <c r="K344" i="3"/>
  <c r="L344" i="3"/>
  <c r="M344" i="3"/>
  <c r="N344" i="3"/>
  <c r="O344" i="3"/>
  <c r="P344" i="3"/>
  <c r="Q344" i="3"/>
  <c r="R344" i="3"/>
  <c r="K345" i="3"/>
  <c r="L345" i="3"/>
  <c r="M345" i="3"/>
  <c r="N345" i="3"/>
  <c r="O345" i="3"/>
  <c r="P345" i="3"/>
  <c r="Q345" i="3"/>
  <c r="R345" i="3"/>
  <c r="K346" i="3"/>
  <c r="L346" i="3"/>
  <c r="M346" i="3"/>
  <c r="N346" i="3"/>
  <c r="O346" i="3"/>
  <c r="P346" i="3"/>
  <c r="Q346" i="3"/>
  <c r="R346" i="3"/>
  <c r="K347" i="3"/>
  <c r="L347" i="3"/>
  <c r="M347" i="3"/>
  <c r="N347" i="3"/>
  <c r="O347" i="3"/>
  <c r="P347" i="3"/>
  <c r="Q347" i="3"/>
  <c r="R347" i="3"/>
  <c r="K348" i="3"/>
  <c r="L348" i="3"/>
  <c r="M348" i="3"/>
  <c r="N348" i="3"/>
  <c r="O348" i="3"/>
  <c r="P348" i="3"/>
  <c r="Q348" i="3"/>
  <c r="R348" i="3"/>
  <c r="K349" i="3"/>
  <c r="L349" i="3"/>
  <c r="M349" i="3"/>
  <c r="N349" i="3"/>
  <c r="O349" i="3"/>
  <c r="P349" i="3"/>
  <c r="Q349" i="3"/>
  <c r="R349" i="3"/>
  <c r="K350" i="3"/>
  <c r="L350" i="3"/>
  <c r="M350" i="3"/>
  <c r="N350" i="3"/>
  <c r="O350" i="3"/>
  <c r="P350" i="3"/>
  <c r="Q350" i="3"/>
  <c r="R350" i="3"/>
  <c r="K351" i="3"/>
  <c r="L351" i="3"/>
  <c r="M351" i="3"/>
  <c r="N351" i="3"/>
  <c r="O351" i="3"/>
  <c r="P351" i="3"/>
  <c r="Q351" i="3"/>
  <c r="R351" i="3"/>
  <c r="K352" i="3"/>
  <c r="L352" i="3"/>
  <c r="M352" i="3"/>
  <c r="N352" i="3"/>
  <c r="O352" i="3"/>
  <c r="P352" i="3"/>
  <c r="Q352" i="3"/>
  <c r="R352" i="3"/>
  <c r="K353" i="3"/>
  <c r="L353" i="3"/>
  <c r="M353" i="3"/>
  <c r="N353" i="3"/>
  <c r="O353" i="3"/>
  <c r="P353" i="3"/>
  <c r="Q353" i="3"/>
  <c r="R353" i="3"/>
  <c r="K354" i="3"/>
  <c r="L354" i="3"/>
  <c r="M354" i="3"/>
  <c r="N354" i="3"/>
  <c r="O354" i="3"/>
  <c r="P354" i="3"/>
  <c r="Q354" i="3"/>
  <c r="R354" i="3"/>
  <c r="K355" i="3"/>
  <c r="L355" i="3"/>
  <c r="M355" i="3"/>
  <c r="N355" i="3"/>
  <c r="O355" i="3"/>
  <c r="P355" i="3"/>
  <c r="Q355" i="3"/>
  <c r="R355" i="3"/>
  <c r="K356" i="3"/>
  <c r="L356" i="3"/>
  <c r="M356" i="3"/>
  <c r="N356" i="3"/>
  <c r="O356" i="3"/>
  <c r="P356" i="3"/>
  <c r="Q356" i="3"/>
  <c r="R356" i="3"/>
  <c r="K357" i="3"/>
  <c r="L357" i="3"/>
  <c r="M357" i="3"/>
  <c r="N357" i="3"/>
  <c r="O357" i="3"/>
  <c r="P357" i="3"/>
  <c r="Q357" i="3"/>
  <c r="R357" i="3"/>
  <c r="K358" i="3"/>
  <c r="L358" i="3"/>
  <c r="M358" i="3"/>
  <c r="N358" i="3"/>
  <c r="O358" i="3"/>
  <c r="P358" i="3"/>
  <c r="Q358" i="3"/>
  <c r="R358" i="3"/>
  <c r="K359" i="3"/>
  <c r="L359" i="3"/>
  <c r="M359" i="3"/>
  <c r="N359" i="3"/>
  <c r="O359" i="3"/>
  <c r="P359" i="3"/>
  <c r="Q359" i="3"/>
  <c r="R359" i="3"/>
  <c r="K360" i="3"/>
  <c r="L360" i="3"/>
  <c r="M360" i="3"/>
  <c r="N360" i="3"/>
  <c r="O360" i="3"/>
  <c r="P360" i="3"/>
  <c r="Q360" i="3"/>
  <c r="R360" i="3"/>
  <c r="K361" i="3"/>
  <c r="L361" i="3"/>
  <c r="M361" i="3"/>
  <c r="N361" i="3"/>
  <c r="O361" i="3"/>
  <c r="P361" i="3"/>
  <c r="Q361" i="3"/>
  <c r="R361" i="3"/>
  <c r="K362" i="3"/>
  <c r="L362" i="3"/>
  <c r="M362" i="3"/>
  <c r="N362" i="3"/>
  <c r="O362" i="3"/>
  <c r="P362" i="3"/>
  <c r="Q362" i="3"/>
  <c r="R362" i="3"/>
  <c r="K363" i="3"/>
  <c r="L363" i="3"/>
  <c r="M363" i="3"/>
  <c r="N363" i="3"/>
  <c r="O363" i="3"/>
  <c r="P363" i="3"/>
  <c r="Q363" i="3"/>
  <c r="R363" i="3"/>
  <c r="K364" i="3"/>
  <c r="L364" i="3"/>
  <c r="M364" i="3"/>
  <c r="N364" i="3"/>
  <c r="O364" i="3"/>
  <c r="P364" i="3"/>
  <c r="Q364" i="3"/>
  <c r="R364" i="3"/>
  <c r="K365" i="3"/>
  <c r="L365" i="3"/>
  <c r="M365" i="3"/>
  <c r="N365" i="3"/>
  <c r="O365" i="3"/>
  <c r="P365" i="3"/>
  <c r="Q365" i="3"/>
  <c r="R365" i="3"/>
  <c r="K366" i="3"/>
  <c r="L366" i="3"/>
  <c r="M366" i="3"/>
  <c r="N366" i="3"/>
  <c r="O366" i="3"/>
  <c r="P366" i="3"/>
  <c r="Q366" i="3"/>
  <c r="R366" i="3"/>
  <c r="K367" i="3"/>
  <c r="L367" i="3"/>
  <c r="M367" i="3"/>
  <c r="N367" i="3"/>
  <c r="O367" i="3"/>
  <c r="P367" i="3"/>
  <c r="Q367" i="3"/>
  <c r="R367" i="3"/>
  <c r="K368" i="3"/>
  <c r="L368" i="3"/>
  <c r="M368" i="3"/>
  <c r="N368" i="3"/>
  <c r="O368" i="3"/>
  <c r="P368" i="3"/>
  <c r="Q368" i="3"/>
  <c r="R368" i="3"/>
  <c r="K369" i="3"/>
  <c r="L369" i="3"/>
  <c r="M369" i="3"/>
  <c r="N369" i="3"/>
  <c r="O369" i="3"/>
  <c r="P369" i="3"/>
  <c r="Q369" i="3"/>
  <c r="R369" i="3"/>
  <c r="K370" i="3"/>
  <c r="L370" i="3"/>
  <c r="M370" i="3"/>
  <c r="N370" i="3"/>
  <c r="O370" i="3"/>
  <c r="P370" i="3"/>
  <c r="Q370" i="3"/>
  <c r="R370" i="3"/>
  <c r="K371" i="3"/>
  <c r="L371" i="3"/>
  <c r="M371" i="3"/>
  <c r="N371" i="3"/>
  <c r="O371" i="3"/>
  <c r="P371" i="3"/>
  <c r="Q371" i="3"/>
  <c r="R371" i="3"/>
  <c r="K372" i="3"/>
  <c r="L372" i="3"/>
  <c r="M372" i="3"/>
  <c r="N372" i="3"/>
  <c r="O372" i="3"/>
  <c r="P372" i="3"/>
  <c r="Q372" i="3"/>
  <c r="R372" i="3"/>
  <c r="K373" i="3"/>
  <c r="L373" i="3"/>
  <c r="M373" i="3"/>
  <c r="N373" i="3"/>
  <c r="O373" i="3"/>
  <c r="P373" i="3"/>
  <c r="Q373" i="3"/>
  <c r="R373" i="3"/>
  <c r="K374" i="3"/>
  <c r="L374" i="3"/>
  <c r="M374" i="3"/>
  <c r="N374" i="3"/>
  <c r="O374" i="3"/>
  <c r="P374" i="3"/>
  <c r="Q374" i="3"/>
  <c r="R374" i="3"/>
  <c r="K375" i="3"/>
  <c r="L375" i="3"/>
  <c r="M375" i="3"/>
  <c r="N375" i="3"/>
  <c r="O375" i="3"/>
  <c r="P375" i="3"/>
  <c r="Q375" i="3"/>
  <c r="R375" i="3"/>
  <c r="K376" i="3"/>
  <c r="L376" i="3"/>
  <c r="M376" i="3"/>
  <c r="N376" i="3"/>
  <c r="O376" i="3"/>
  <c r="P376" i="3"/>
  <c r="Q376" i="3"/>
  <c r="R376" i="3"/>
  <c r="K377" i="3"/>
  <c r="L377" i="3"/>
  <c r="M377" i="3"/>
  <c r="N377" i="3"/>
  <c r="O377" i="3"/>
  <c r="P377" i="3"/>
  <c r="Q377" i="3"/>
  <c r="R377" i="3"/>
  <c r="K378" i="3"/>
  <c r="L378" i="3"/>
  <c r="M378" i="3"/>
  <c r="N378" i="3"/>
  <c r="O378" i="3"/>
  <c r="P378" i="3"/>
  <c r="Q378" i="3"/>
  <c r="R378" i="3"/>
  <c r="K379" i="3"/>
  <c r="L379" i="3"/>
  <c r="M379" i="3"/>
  <c r="N379" i="3"/>
  <c r="O379" i="3"/>
  <c r="P379" i="3"/>
  <c r="Q379" i="3"/>
  <c r="R379" i="3"/>
  <c r="K380" i="3"/>
  <c r="L380" i="3"/>
  <c r="M380" i="3"/>
  <c r="N380" i="3"/>
  <c r="O380" i="3"/>
  <c r="P380" i="3"/>
  <c r="Q380" i="3"/>
  <c r="R380" i="3"/>
  <c r="K381" i="3"/>
  <c r="L381" i="3"/>
  <c r="M381" i="3"/>
  <c r="N381" i="3"/>
  <c r="O381" i="3"/>
  <c r="P381" i="3"/>
  <c r="Q381" i="3"/>
  <c r="R381" i="3"/>
  <c r="K382" i="3"/>
  <c r="L382" i="3"/>
  <c r="M382" i="3"/>
  <c r="N382" i="3"/>
  <c r="O382" i="3"/>
  <c r="P382" i="3"/>
  <c r="Q382" i="3"/>
  <c r="R382" i="3"/>
  <c r="K383" i="3"/>
  <c r="L383" i="3"/>
  <c r="M383" i="3"/>
  <c r="N383" i="3"/>
  <c r="O383" i="3"/>
  <c r="P383" i="3"/>
  <c r="Q383" i="3"/>
  <c r="R383" i="3"/>
  <c r="K384" i="3"/>
  <c r="L384" i="3"/>
  <c r="M384" i="3"/>
  <c r="N384" i="3"/>
  <c r="O384" i="3"/>
  <c r="P384" i="3"/>
  <c r="Q384" i="3"/>
  <c r="R384" i="3"/>
  <c r="K385" i="3"/>
  <c r="L385" i="3"/>
  <c r="M385" i="3"/>
  <c r="N385" i="3"/>
  <c r="O385" i="3"/>
  <c r="P385" i="3"/>
  <c r="Q385" i="3"/>
  <c r="R385" i="3"/>
  <c r="K386" i="3"/>
  <c r="L386" i="3"/>
  <c r="M386" i="3"/>
  <c r="N386" i="3"/>
  <c r="O386" i="3"/>
  <c r="P386" i="3"/>
  <c r="Q386" i="3"/>
  <c r="R386" i="3"/>
  <c r="K387" i="3"/>
  <c r="L387" i="3"/>
  <c r="M387" i="3"/>
  <c r="N387" i="3"/>
  <c r="O387" i="3"/>
  <c r="P387" i="3"/>
  <c r="Q387" i="3"/>
  <c r="R387" i="3"/>
  <c r="K388" i="3"/>
  <c r="L388" i="3"/>
  <c r="M388" i="3"/>
  <c r="N388" i="3"/>
  <c r="O388" i="3"/>
  <c r="P388" i="3"/>
  <c r="Q388" i="3"/>
  <c r="R388" i="3"/>
  <c r="K389" i="3"/>
  <c r="L389" i="3"/>
  <c r="M389" i="3"/>
  <c r="N389" i="3"/>
  <c r="O389" i="3"/>
  <c r="P389" i="3"/>
  <c r="Q389" i="3"/>
  <c r="R389" i="3"/>
  <c r="K390" i="3"/>
  <c r="L390" i="3"/>
  <c r="M390" i="3"/>
  <c r="N390" i="3"/>
  <c r="O390" i="3"/>
  <c r="P390" i="3"/>
  <c r="Q390" i="3"/>
  <c r="R390" i="3"/>
  <c r="K391" i="3"/>
  <c r="L391" i="3"/>
  <c r="M391" i="3"/>
  <c r="N391" i="3"/>
  <c r="O391" i="3"/>
  <c r="P391" i="3"/>
  <c r="Q391" i="3"/>
  <c r="R391" i="3"/>
  <c r="K392" i="3"/>
  <c r="L392" i="3"/>
  <c r="M392" i="3"/>
  <c r="N392" i="3"/>
  <c r="O392" i="3"/>
  <c r="P392" i="3"/>
  <c r="Q392" i="3"/>
  <c r="R392" i="3"/>
  <c r="K393" i="3"/>
  <c r="L393" i="3"/>
  <c r="M393" i="3"/>
  <c r="N393" i="3"/>
  <c r="O393" i="3"/>
  <c r="P393" i="3"/>
  <c r="Q393" i="3"/>
  <c r="R393" i="3"/>
  <c r="K394" i="3"/>
  <c r="L394" i="3"/>
  <c r="M394" i="3"/>
  <c r="N394" i="3"/>
  <c r="O394" i="3"/>
  <c r="P394" i="3"/>
  <c r="Q394" i="3"/>
  <c r="R394" i="3"/>
  <c r="K395" i="3"/>
  <c r="L395" i="3"/>
  <c r="M395" i="3"/>
  <c r="N395" i="3"/>
  <c r="O395" i="3"/>
  <c r="P395" i="3"/>
  <c r="Q395" i="3"/>
  <c r="R395" i="3"/>
  <c r="K396" i="3"/>
  <c r="L396" i="3"/>
  <c r="M396" i="3"/>
  <c r="N396" i="3"/>
  <c r="O396" i="3"/>
  <c r="P396" i="3"/>
  <c r="Q396" i="3"/>
  <c r="R396" i="3"/>
  <c r="K397" i="3"/>
  <c r="L397" i="3"/>
  <c r="M397" i="3"/>
  <c r="N397" i="3"/>
  <c r="O397" i="3"/>
  <c r="P397" i="3"/>
  <c r="Q397" i="3"/>
  <c r="R397" i="3"/>
  <c r="K398" i="3"/>
  <c r="L398" i="3"/>
  <c r="M398" i="3"/>
  <c r="N398" i="3"/>
  <c r="O398" i="3"/>
  <c r="P398" i="3"/>
  <c r="Q398" i="3"/>
  <c r="R398" i="3"/>
  <c r="K399" i="3"/>
  <c r="L399" i="3"/>
  <c r="M399" i="3"/>
  <c r="N399" i="3"/>
  <c r="O399" i="3"/>
  <c r="P399" i="3"/>
  <c r="Q399" i="3"/>
  <c r="R399" i="3"/>
  <c r="K400" i="3"/>
  <c r="L400" i="3"/>
  <c r="M400" i="3"/>
  <c r="N400" i="3"/>
  <c r="O400" i="3"/>
  <c r="P400" i="3"/>
  <c r="Q400" i="3"/>
  <c r="R400" i="3"/>
  <c r="K401" i="3"/>
  <c r="L401" i="3"/>
  <c r="M401" i="3"/>
  <c r="N401" i="3"/>
  <c r="O401" i="3"/>
  <c r="P401" i="3"/>
  <c r="Q401" i="3"/>
  <c r="R401" i="3"/>
  <c r="K402" i="3"/>
  <c r="L402" i="3"/>
  <c r="M402" i="3"/>
  <c r="N402" i="3"/>
  <c r="O402" i="3"/>
  <c r="P402" i="3"/>
  <c r="Q402" i="3"/>
  <c r="R402" i="3"/>
  <c r="K403" i="3"/>
  <c r="L403" i="3"/>
  <c r="M403" i="3"/>
  <c r="N403" i="3"/>
  <c r="O403" i="3"/>
  <c r="P403" i="3"/>
  <c r="Q403" i="3"/>
  <c r="R403" i="3"/>
  <c r="K404" i="3"/>
  <c r="L404" i="3"/>
  <c r="M404" i="3"/>
  <c r="N404" i="3"/>
  <c r="O404" i="3"/>
  <c r="P404" i="3"/>
  <c r="Q404" i="3"/>
  <c r="R404" i="3"/>
  <c r="K405" i="3"/>
  <c r="L405" i="3"/>
  <c r="M405" i="3"/>
  <c r="N405" i="3"/>
  <c r="O405" i="3"/>
  <c r="P405" i="3"/>
  <c r="Q405" i="3"/>
  <c r="R405" i="3"/>
  <c r="K406" i="3"/>
  <c r="L406" i="3"/>
  <c r="M406" i="3"/>
  <c r="N406" i="3"/>
  <c r="O406" i="3"/>
  <c r="P406" i="3"/>
  <c r="Q406" i="3"/>
  <c r="R406" i="3"/>
  <c r="K407" i="3"/>
  <c r="L407" i="3"/>
  <c r="M407" i="3"/>
  <c r="N407" i="3"/>
  <c r="O407" i="3"/>
  <c r="P407" i="3"/>
  <c r="Q407" i="3"/>
  <c r="R407" i="3"/>
  <c r="K408" i="3"/>
  <c r="L408" i="3"/>
  <c r="M408" i="3"/>
  <c r="N408" i="3"/>
  <c r="O408" i="3"/>
  <c r="P408" i="3"/>
  <c r="Q408" i="3"/>
  <c r="R408" i="3"/>
  <c r="K409" i="3"/>
  <c r="L409" i="3"/>
  <c r="M409" i="3"/>
  <c r="N409" i="3"/>
  <c r="O409" i="3"/>
  <c r="P409" i="3"/>
  <c r="Q409" i="3"/>
  <c r="R409" i="3"/>
  <c r="K410" i="3"/>
  <c r="L410" i="3"/>
  <c r="M410" i="3"/>
  <c r="N410" i="3"/>
  <c r="O410" i="3"/>
  <c r="P410" i="3"/>
  <c r="Q410" i="3"/>
  <c r="R410" i="3"/>
  <c r="K411" i="3"/>
  <c r="L411" i="3"/>
  <c r="M411" i="3"/>
  <c r="N411" i="3"/>
  <c r="O411" i="3"/>
  <c r="P411" i="3"/>
  <c r="Q411" i="3"/>
  <c r="R411" i="3"/>
  <c r="K412" i="3"/>
  <c r="L412" i="3"/>
  <c r="M412" i="3"/>
  <c r="N412" i="3"/>
  <c r="O412" i="3"/>
  <c r="P412" i="3"/>
  <c r="Q412" i="3"/>
  <c r="R412" i="3"/>
  <c r="K413" i="3"/>
  <c r="L413" i="3"/>
  <c r="M413" i="3"/>
  <c r="N413" i="3"/>
  <c r="O413" i="3"/>
  <c r="P413" i="3"/>
  <c r="Q413" i="3"/>
  <c r="R413" i="3"/>
  <c r="K414" i="3"/>
  <c r="L414" i="3"/>
  <c r="M414" i="3"/>
  <c r="N414" i="3"/>
  <c r="O414" i="3"/>
  <c r="P414" i="3"/>
  <c r="Q414" i="3"/>
  <c r="R414" i="3"/>
  <c r="K415" i="3"/>
  <c r="L415" i="3"/>
  <c r="M415" i="3"/>
  <c r="N415" i="3"/>
  <c r="O415" i="3"/>
  <c r="P415" i="3"/>
  <c r="Q415" i="3"/>
  <c r="R415" i="3"/>
  <c r="K416" i="3"/>
  <c r="L416" i="3"/>
  <c r="M416" i="3"/>
  <c r="N416" i="3"/>
  <c r="O416" i="3"/>
  <c r="P416" i="3"/>
  <c r="Q416" i="3"/>
  <c r="R416" i="3"/>
  <c r="K417" i="3"/>
  <c r="L417" i="3"/>
  <c r="M417" i="3"/>
  <c r="N417" i="3"/>
  <c r="O417" i="3"/>
  <c r="P417" i="3"/>
  <c r="Q417" i="3"/>
  <c r="R417" i="3"/>
  <c r="K418" i="3"/>
  <c r="L418" i="3"/>
  <c r="M418" i="3"/>
  <c r="N418" i="3"/>
  <c r="O418" i="3"/>
  <c r="P418" i="3"/>
  <c r="Q418" i="3"/>
  <c r="R418" i="3"/>
  <c r="K419" i="3"/>
  <c r="L419" i="3"/>
  <c r="M419" i="3"/>
  <c r="N419" i="3"/>
  <c r="O419" i="3"/>
  <c r="P419" i="3"/>
  <c r="Q419" i="3"/>
  <c r="R419" i="3"/>
  <c r="K420" i="3"/>
  <c r="L420" i="3"/>
  <c r="M420" i="3"/>
  <c r="N420" i="3"/>
  <c r="O420" i="3"/>
  <c r="P420" i="3"/>
  <c r="Q420" i="3"/>
  <c r="R420" i="3"/>
  <c r="K421" i="3"/>
  <c r="L421" i="3"/>
  <c r="M421" i="3"/>
  <c r="N421" i="3"/>
  <c r="O421" i="3"/>
  <c r="P421" i="3"/>
  <c r="Q421" i="3"/>
  <c r="R421" i="3"/>
  <c r="K422" i="3"/>
  <c r="L422" i="3"/>
  <c r="M422" i="3"/>
  <c r="N422" i="3"/>
  <c r="O422" i="3"/>
  <c r="P422" i="3"/>
  <c r="Q422" i="3"/>
  <c r="R422" i="3"/>
  <c r="K423" i="3"/>
  <c r="L423" i="3"/>
  <c r="M423" i="3"/>
  <c r="N423" i="3"/>
  <c r="O423" i="3"/>
  <c r="P423" i="3"/>
  <c r="Q423" i="3"/>
  <c r="R423" i="3"/>
  <c r="K424" i="3"/>
  <c r="L424" i="3"/>
  <c r="M424" i="3"/>
  <c r="N424" i="3"/>
  <c r="O424" i="3"/>
  <c r="P424" i="3"/>
  <c r="Q424" i="3"/>
  <c r="R424" i="3"/>
  <c r="K425" i="3"/>
  <c r="L425" i="3"/>
  <c r="M425" i="3"/>
  <c r="N425" i="3"/>
  <c r="O425" i="3"/>
  <c r="P425" i="3"/>
  <c r="Q425" i="3"/>
  <c r="R425" i="3"/>
  <c r="K426" i="3"/>
  <c r="L426" i="3"/>
  <c r="M426" i="3"/>
  <c r="N426" i="3"/>
  <c r="O426" i="3"/>
  <c r="P426" i="3"/>
  <c r="Q426" i="3"/>
  <c r="R426" i="3"/>
  <c r="K427" i="3"/>
  <c r="L427" i="3"/>
  <c r="M427" i="3"/>
  <c r="N427" i="3"/>
  <c r="O427" i="3"/>
  <c r="P427" i="3"/>
  <c r="Q427" i="3"/>
  <c r="R427" i="3"/>
  <c r="K428" i="3"/>
  <c r="L428" i="3"/>
  <c r="M428" i="3"/>
  <c r="N428" i="3"/>
  <c r="O428" i="3"/>
  <c r="P428" i="3"/>
  <c r="Q428" i="3"/>
  <c r="R428" i="3"/>
  <c r="K429" i="3"/>
  <c r="L429" i="3"/>
  <c r="M429" i="3"/>
  <c r="N429" i="3"/>
  <c r="O429" i="3"/>
  <c r="P429" i="3"/>
  <c r="Q429" i="3"/>
  <c r="R429" i="3"/>
  <c r="K430" i="3"/>
  <c r="L430" i="3"/>
  <c r="M430" i="3"/>
  <c r="N430" i="3"/>
  <c r="O430" i="3"/>
  <c r="P430" i="3"/>
  <c r="Q430" i="3"/>
  <c r="R430" i="3"/>
  <c r="K431" i="3"/>
  <c r="L431" i="3"/>
  <c r="M431" i="3"/>
  <c r="N431" i="3"/>
  <c r="O431" i="3"/>
  <c r="P431" i="3"/>
  <c r="Q431" i="3"/>
  <c r="R431" i="3"/>
  <c r="K432" i="3"/>
  <c r="L432" i="3"/>
  <c r="M432" i="3"/>
  <c r="N432" i="3"/>
  <c r="O432" i="3"/>
  <c r="P432" i="3"/>
  <c r="Q432" i="3"/>
  <c r="R432" i="3"/>
  <c r="K433" i="3"/>
  <c r="L433" i="3"/>
  <c r="M433" i="3"/>
  <c r="N433" i="3"/>
  <c r="O433" i="3"/>
  <c r="P433" i="3"/>
  <c r="Q433" i="3"/>
  <c r="R433" i="3"/>
  <c r="K434" i="3"/>
  <c r="L434" i="3"/>
  <c r="M434" i="3"/>
  <c r="N434" i="3"/>
  <c r="O434" i="3"/>
  <c r="P434" i="3"/>
  <c r="Q434" i="3"/>
  <c r="R434" i="3"/>
  <c r="K435" i="3"/>
  <c r="L435" i="3"/>
  <c r="M435" i="3"/>
  <c r="N435" i="3"/>
  <c r="O435" i="3"/>
  <c r="P435" i="3"/>
  <c r="Q435" i="3"/>
  <c r="R435" i="3"/>
  <c r="K436" i="3"/>
  <c r="L436" i="3"/>
  <c r="M436" i="3"/>
  <c r="N436" i="3"/>
  <c r="O436" i="3"/>
  <c r="P436" i="3"/>
  <c r="Q436" i="3"/>
  <c r="R436" i="3"/>
  <c r="K437" i="3"/>
  <c r="L437" i="3"/>
  <c r="M437" i="3"/>
  <c r="N437" i="3"/>
  <c r="O437" i="3"/>
  <c r="P437" i="3"/>
  <c r="Q437" i="3"/>
  <c r="R437" i="3"/>
  <c r="K438" i="3"/>
  <c r="L438" i="3"/>
  <c r="M438" i="3"/>
  <c r="N438" i="3"/>
  <c r="O438" i="3"/>
  <c r="P438" i="3"/>
  <c r="Q438" i="3"/>
  <c r="R438" i="3"/>
  <c r="K439" i="3"/>
  <c r="L439" i="3"/>
  <c r="M439" i="3"/>
  <c r="N439" i="3"/>
  <c r="O439" i="3"/>
  <c r="P439" i="3"/>
  <c r="Q439" i="3"/>
  <c r="R439" i="3"/>
  <c r="K440" i="3"/>
  <c r="L440" i="3"/>
  <c r="M440" i="3"/>
  <c r="N440" i="3"/>
  <c r="O440" i="3"/>
  <c r="P440" i="3"/>
  <c r="Q440" i="3"/>
  <c r="R440" i="3"/>
  <c r="K441" i="3"/>
  <c r="L441" i="3"/>
  <c r="M441" i="3"/>
  <c r="N441" i="3"/>
  <c r="O441" i="3"/>
  <c r="P441" i="3"/>
  <c r="Q441" i="3"/>
  <c r="R441" i="3"/>
  <c r="K442" i="3"/>
  <c r="L442" i="3"/>
  <c r="M442" i="3"/>
  <c r="N442" i="3"/>
  <c r="O442" i="3"/>
  <c r="P442" i="3"/>
  <c r="Q442" i="3"/>
  <c r="R442" i="3"/>
  <c r="K443" i="3"/>
  <c r="L443" i="3"/>
  <c r="M443" i="3"/>
  <c r="N443" i="3"/>
  <c r="O443" i="3"/>
  <c r="P443" i="3"/>
  <c r="Q443" i="3"/>
  <c r="R443" i="3"/>
  <c r="K444" i="3"/>
  <c r="L444" i="3"/>
  <c r="M444" i="3"/>
  <c r="N444" i="3"/>
  <c r="O444" i="3"/>
  <c r="P444" i="3"/>
  <c r="Q444" i="3"/>
  <c r="R444" i="3"/>
  <c r="K445" i="3"/>
  <c r="L445" i="3"/>
  <c r="M445" i="3"/>
  <c r="N445" i="3"/>
  <c r="O445" i="3"/>
  <c r="P445" i="3"/>
  <c r="Q445" i="3"/>
  <c r="R445" i="3"/>
  <c r="K446" i="3"/>
  <c r="L446" i="3"/>
  <c r="M446" i="3"/>
  <c r="N446" i="3"/>
  <c r="O446" i="3"/>
  <c r="P446" i="3"/>
  <c r="Q446" i="3"/>
  <c r="R446" i="3"/>
  <c r="K447" i="3"/>
  <c r="L447" i="3"/>
  <c r="M447" i="3"/>
  <c r="N447" i="3"/>
  <c r="O447" i="3"/>
  <c r="P447" i="3"/>
  <c r="Q447" i="3"/>
  <c r="R447" i="3"/>
  <c r="K448" i="3"/>
  <c r="L448" i="3"/>
  <c r="M448" i="3"/>
  <c r="N448" i="3"/>
  <c r="O448" i="3"/>
  <c r="P448" i="3"/>
  <c r="Q448" i="3"/>
  <c r="R448" i="3"/>
  <c r="K449" i="3"/>
  <c r="L449" i="3"/>
  <c r="M449" i="3"/>
  <c r="N449" i="3"/>
  <c r="O449" i="3"/>
  <c r="P449" i="3"/>
  <c r="Q449" i="3"/>
  <c r="R449" i="3"/>
  <c r="K450" i="3"/>
  <c r="L450" i="3"/>
  <c r="M450" i="3"/>
  <c r="N450" i="3"/>
  <c r="O450" i="3"/>
  <c r="P450" i="3"/>
  <c r="Q450" i="3"/>
  <c r="R450" i="3"/>
  <c r="K451" i="3"/>
  <c r="L451" i="3"/>
  <c r="M451" i="3"/>
  <c r="N451" i="3"/>
  <c r="O451" i="3"/>
  <c r="P451" i="3"/>
  <c r="Q451" i="3"/>
  <c r="R451" i="3"/>
  <c r="K452" i="3"/>
  <c r="L452" i="3"/>
  <c r="M452" i="3"/>
  <c r="N452" i="3"/>
  <c r="O452" i="3"/>
  <c r="P452" i="3"/>
  <c r="Q452" i="3"/>
  <c r="R452" i="3"/>
  <c r="K453" i="3"/>
  <c r="L453" i="3"/>
  <c r="M453" i="3"/>
  <c r="N453" i="3"/>
  <c r="O453" i="3"/>
  <c r="P453" i="3"/>
  <c r="Q453" i="3"/>
  <c r="R453" i="3"/>
  <c r="K454" i="3"/>
  <c r="L454" i="3"/>
  <c r="M454" i="3"/>
  <c r="N454" i="3"/>
  <c r="O454" i="3"/>
  <c r="P454" i="3"/>
  <c r="Q454" i="3"/>
  <c r="R454" i="3"/>
  <c r="K455" i="3"/>
  <c r="L455" i="3"/>
  <c r="M455" i="3"/>
  <c r="N455" i="3"/>
  <c r="O455" i="3"/>
  <c r="P455" i="3"/>
  <c r="Q455" i="3"/>
  <c r="R455" i="3"/>
  <c r="K456" i="3"/>
  <c r="L456" i="3"/>
  <c r="M456" i="3"/>
  <c r="N456" i="3"/>
  <c r="O456" i="3"/>
  <c r="P456" i="3"/>
  <c r="Q456" i="3"/>
  <c r="R456" i="3"/>
  <c r="K457" i="3"/>
  <c r="L457" i="3"/>
  <c r="M457" i="3"/>
  <c r="N457" i="3"/>
  <c r="O457" i="3"/>
  <c r="P457" i="3"/>
  <c r="Q457" i="3"/>
  <c r="R457" i="3"/>
  <c r="K458" i="3"/>
  <c r="L458" i="3"/>
  <c r="M458" i="3"/>
  <c r="N458" i="3"/>
  <c r="O458" i="3"/>
  <c r="P458" i="3"/>
  <c r="Q458" i="3"/>
  <c r="R458" i="3"/>
  <c r="K459" i="3"/>
  <c r="L459" i="3"/>
  <c r="M459" i="3"/>
  <c r="N459" i="3"/>
  <c r="O459" i="3"/>
  <c r="P459" i="3"/>
  <c r="Q459" i="3"/>
  <c r="R459" i="3"/>
  <c r="K460" i="3"/>
  <c r="L460" i="3"/>
  <c r="M460" i="3"/>
  <c r="N460" i="3"/>
  <c r="O460" i="3"/>
  <c r="P460" i="3"/>
  <c r="Q460" i="3"/>
  <c r="R460" i="3"/>
  <c r="K461" i="3"/>
  <c r="L461" i="3"/>
  <c r="M461" i="3"/>
  <c r="N461" i="3"/>
  <c r="O461" i="3"/>
  <c r="P461" i="3"/>
  <c r="Q461" i="3"/>
  <c r="R461" i="3"/>
  <c r="K462" i="3"/>
  <c r="L462" i="3"/>
  <c r="M462" i="3"/>
  <c r="N462" i="3"/>
  <c r="O462" i="3"/>
  <c r="P462" i="3"/>
  <c r="Q462" i="3"/>
  <c r="R462" i="3"/>
  <c r="K463" i="3"/>
  <c r="L463" i="3"/>
  <c r="M463" i="3"/>
  <c r="N463" i="3"/>
  <c r="O463" i="3"/>
  <c r="P463" i="3"/>
  <c r="Q463" i="3"/>
  <c r="R463" i="3"/>
  <c r="K464" i="3"/>
  <c r="L464" i="3"/>
  <c r="M464" i="3"/>
  <c r="N464" i="3"/>
  <c r="O464" i="3"/>
  <c r="P464" i="3"/>
  <c r="Q464" i="3"/>
  <c r="R464" i="3"/>
  <c r="K465" i="3"/>
  <c r="L465" i="3"/>
  <c r="M465" i="3"/>
  <c r="N465" i="3"/>
  <c r="O465" i="3"/>
  <c r="P465" i="3"/>
  <c r="Q465" i="3"/>
  <c r="R465" i="3"/>
  <c r="K466" i="3"/>
  <c r="L466" i="3"/>
  <c r="M466" i="3"/>
  <c r="N466" i="3"/>
  <c r="O466" i="3"/>
  <c r="P466" i="3"/>
  <c r="Q466" i="3"/>
  <c r="R466" i="3"/>
  <c r="K467" i="3"/>
  <c r="L467" i="3"/>
  <c r="M467" i="3"/>
  <c r="N467" i="3"/>
  <c r="O467" i="3"/>
  <c r="P467" i="3"/>
  <c r="Q467" i="3"/>
  <c r="R467" i="3"/>
  <c r="K468" i="3"/>
  <c r="L468" i="3"/>
  <c r="M468" i="3"/>
  <c r="N468" i="3"/>
  <c r="O468" i="3"/>
  <c r="P468" i="3"/>
  <c r="Q468" i="3"/>
  <c r="R468" i="3"/>
  <c r="K469" i="3"/>
  <c r="L469" i="3"/>
  <c r="M469" i="3"/>
  <c r="N469" i="3"/>
  <c r="O469" i="3"/>
  <c r="P469" i="3"/>
  <c r="Q469" i="3"/>
  <c r="R469" i="3"/>
  <c r="K470" i="3"/>
  <c r="L470" i="3"/>
  <c r="M470" i="3"/>
  <c r="N470" i="3"/>
  <c r="O470" i="3"/>
  <c r="P470" i="3"/>
  <c r="Q470" i="3"/>
  <c r="R470" i="3"/>
  <c r="K471" i="3"/>
  <c r="L471" i="3"/>
  <c r="M471" i="3"/>
  <c r="N471" i="3"/>
  <c r="O471" i="3"/>
  <c r="P471" i="3"/>
  <c r="Q471" i="3"/>
  <c r="R471" i="3"/>
  <c r="K472" i="3"/>
  <c r="L472" i="3"/>
  <c r="M472" i="3"/>
  <c r="N472" i="3"/>
  <c r="O472" i="3"/>
  <c r="P472" i="3"/>
  <c r="Q472" i="3"/>
  <c r="R472" i="3"/>
  <c r="K473" i="3"/>
  <c r="L473" i="3"/>
  <c r="M473" i="3"/>
  <c r="N473" i="3"/>
  <c r="O473" i="3"/>
  <c r="P473" i="3"/>
  <c r="Q473" i="3"/>
  <c r="R473" i="3"/>
  <c r="K474" i="3"/>
  <c r="L474" i="3"/>
  <c r="M474" i="3"/>
  <c r="N474" i="3"/>
  <c r="O474" i="3"/>
  <c r="P474" i="3"/>
  <c r="Q474" i="3"/>
  <c r="R474" i="3"/>
  <c r="K475" i="3"/>
  <c r="L475" i="3"/>
  <c r="M475" i="3"/>
  <c r="N475" i="3"/>
  <c r="O475" i="3"/>
  <c r="P475" i="3"/>
  <c r="Q475" i="3"/>
  <c r="R475" i="3"/>
  <c r="K476" i="3"/>
  <c r="L476" i="3"/>
  <c r="M476" i="3"/>
  <c r="N476" i="3"/>
  <c r="O476" i="3"/>
  <c r="P476" i="3"/>
  <c r="Q476" i="3"/>
  <c r="R476" i="3"/>
  <c r="K477" i="3"/>
  <c r="L477" i="3"/>
  <c r="M477" i="3"/>
  <c r="N477" i="3"/>
  <c r="O477" i="3"/>
  <c r="P477" i="3"/>
  <c r="Q477" i="3"/>
  <c r="R477" i="3"/>
  <c r="K478" i="3"/>
  <c r="L478" i="3"/>
  <c r="M478" i="3"/>
  <c r="N478" i="3"/>
  <c r="O478" i="3"/>
  <c r="P478" i="3"/>
  <c r="Q478" i="3"/>
  <c r="R478" i="3"/>
  <c r="K479" i="3"/>
  <c r="L479" i="3"/>
  <c r="M479" i="3"/>
  <c r="N479" i="3"/>
  <c r="O479" i="3"/>
  <c r="P479" i="3"/>
  <c r="Q479" i="3"/>
  <c r="R479" i="3"/>
  <c r="K480" i="3"/>
  <c r="L480" i="3"/>
  <c r="M480" i="3"/>
  <c r="N480" i="3"/>
  <c r="O480" i="3"/>
  <c r="P480" i="3"/>
  <c r="Q480" i="3"/>
  <c r="R480" i="3"/>
  <c r="K481" i="3"/>
  <c r="L481" i="3"/>
  <c r="M481" i="3"/>
  <c r="N481" i="3"/>
  <c r="O481" i="3"/>
  <c r="P481" i="3"/>
  <c r="Q481" i="3"/>
  <c r="R481" i="3"/>
  <c r="K482" i="3"/>
  <c r="L482" i="3"/>
  <c r="M482" i="3"/>
  <c r="N482" i="3"/>
  <c r="O482" i="3"/>
  <c r="P482" i="3"/>
  <c r="Q482" i="3"/>
  <c r="R482" i="3"/>
  <c r="K483" i="3"/>
  <c r="L483" i="3"/>
  <c r="M483" i="3"/>
  <c r="N483" i="3"/>
  <c r="O483" i="3"/>
  <c r="P483" i="3"/>
  <c r="Q483" i="3"/>
  <c r="R483" i="3"/>
  <c r="K484" i="3"/>
  <c r="L484" i="3"/>
  <c r="M484" i="3"/>
  <c r="N484" i="3"/>
  <c r="O484" i="3"/>
  <c r="P484" i="3"/>
  <c r="Q484" i="3"/>
  <c r="R484" i="3"/>
  <c r="K485" i="3"/>
  <c r="L485" i="3"/>
  <c r="M485" i="3"/>
  <c r="N485" i="3"/>
  <c r="O485" i="3"/>
  <c r="P485" i="3"/>
  <c r="Q485" i="3"/>
  <c r="R485" i="3"/>
  <c r="K486" i="3"/>
  <c r="L486" i="3"/>
  <c r="M486" i="3"/>
  <c r="N486" i="3"/>
  <c r="O486" i="3"/>
  <c r="P486" i="3"/>
  <c r="Q486" i="3"/>
  <c r="R486" i="3"/>
  <c r="K487" i="3"/>
  <c r="L487" i="3"/>
  <c r="M487" i="3"/>
  <c r="N487" i="3"/>
  <c r="O487" i="3"/>
  <c r="P487" i="3"/>
  <c r="Q487" i="3"/>
  <c r="R487" i="3"/>
  <c r="K488" i="3"/>
  <c r="L488" i="3"/>
  <c r="M488" i="3"/>
  <c r="N488" i="3"/>
  <c r="O488" i="3"/>
  <c r="P488" i="3"/>
  <c r="Q488" i="3"/>
  <c r="R488" i="3"/>
  <c r="K489" i="3"/>
  <c r="L489" i="3"/>
  <c r="M489" i="3"/>
  <c r="N489" i="3"/>
  <c r="O489" i="3"/>
  <c r="P489" i="3"/>
  <c r="Q489" i="3"/>
  <c r="R489" i="3"/>
  <c r="K490" i="3"/>
  <c r="L490" i="3"/>
  <c r="M490" i="3"/>
  <c r="N490" i="3"/>
  <c r="O490" i="3"/>
  <c r="P490" i="3"/>
  <c r="Q490" i="3"/>
  <c r="R490" i="3"/>
  <c r="K491" i="3"/>
  <c r="L491" i="3"/>
  <c r="M491" i="3"/>
  <c r="N491" i="3"/>
  <c r="O491" i="3"/>
  <c r="P491" i="3"/>
  <c r="Q491" i="3"/>
  <c r="R491" i="3"/>
  <c r="K492" i="3"/>
  <c r="L492" i="3"/>
  <c r="M492" i="3"/>
  <c r="N492" i="3"/>
  <c r="O492" i="3"/>
  <c r="P492" i="3"/>
  <c r="Q492" i="3"/>
  <c r="R492" i="3"/>
  <c r="K493" i="3"/>
  <c r="L493" i="3"/>
  <c r="M493" i="3"/>
  <c r="N493" i="3"/>
  <c r="O493" i="3"/>
  <c r="P493" i="3"/>
  <c r="Q493" i="3"/>
  <c r="R493" i="3"/>
  <c r="K494" i="3"/>
  <c r="L494" i="3"/>
  <c r="M494" i="3"/>
  <c r="N494" i="3"/>
  <c r="O494" i="3"/>
  <c r="P494" i="3"/>
  <c r="Q494" i="3"/>
  <c r="R494" i="3"/>
  <c r="K495" i="3"/>
  <c r="L495" i="3"/>
  <c r="M495" i="3"/>
  <c r="N495" i="3"/>
  <c r="O495" i="3"/>
  <c r="P495" i="3"/>
  <c r="Q495" i="3"/>
  <c r="R495" i="3"/>
  <c r="K496" i="3"/>
  <c r="L496" i="3"/>
  <c r="M496" i="3"/>
  <c r="N496" i="3"/>
  <c r="O496" i="3"/>
  <c r="P496" i="3"/>
  <c r="Q496" i="3"/>
  <c r="R496" i="3"/>
  <c r="K497" i="3"/>
  <c r="L497" i="3"/>
  <c r="M497" i="3"/>
  <c r="N497" i="3"/>
  <c r="O497" i="3"/>
  <c r="P497" i="3"/>
  <c r="Q497" i="3"/>
  <c r="R497" i="3"/>
  <c r="K498" i="3"/>
  <c r="L498" i="3"/>
  <c r="M498" i="3"/>
  <c r="N498" i="3"/>
  <c r="O498" i="3"/>
  <c r="P498" i="3"/>
  <c r="Q498" i="3"/>
  <c r="R498" i="3"/>
  <c r="K499" i="3"/>
  <c r="L499" i="3"/>
  <c r="M499" i="3"/>
  <c r="N499" i="3"/>
  <c r="O499" i="3"/>
  <c r="P499" i="3"/>
  <c r="Q499" i="3"/>
  <c r="R499" i="3"/>
  <c r="K500" i="3"/>
  <c r="L500" i="3"/>
  <c r="M500" i="3"/>
  <c r="N500" i="3"/>
  <c r="O500" i="3"/>
  <c r="P500" i="3"/>
  <c r="Q500" i="3"/>
  <c r="R500" i="3"/>
  <c r="K501" i="3"/>
  <c r="L501" i="3"/>
  <c r="M501" i="3"/>
  <c r="N501" i="3"/>
  <c r="O501" i="3"/>
  <c r="P501" i="3"/>
  <c r="Q501" i="3"/>
  <c r="R501" i="3"/>
  <c r="K502" i="3"/>
  <c r="L502" i="3"/>
  <c r="M502" i="3"/>
  <c r="N502" i="3"/>
  <c r="O502" i="3"/>
  <c r="P502" i="3"/>
  <c r="Q502" i="3"/>
  <c r="R502" i="3"/>
  <c r="K503" i="3"/>
  <c r="L503" i="3"/>
  <c r="M503" i="3"/>
  <c r="N503" i="3"/>
  <c r="O503" i="3"/>
  <c r="P503" i="3"/>
  <c r="Q503" i="3"/>
  <c r="R503" i="3"/>
  <c r="K504" i="3"/>
  <c r="L504" i="3"/>
  <c r="M504" i="3"/>
  <c r="N504" i="3"/>
  <c r="O504" i="3"/>
  <c r="P504" i="3"/>
  <c r="Q504" i="3"/>
  <c r="R504" i="3"/>
  <c r="K505" i="3"/>
  <c r="L505" i="3"/>
  <c r="M505" i="3"/>
  <c r="N505" i="3"/>
  <c r="O505" i="3"/>
  <c r="P505" i="3"/>
  <c r="Q505" i="3"/>
  <c r="R505" i="3"/>
  <c r="K506" i="3"/>
  <c r="L506" i="3"/>
  <c r="M506" i="3"/>
  <c r="N506" i="3"/>
  <c r="O506" i="3"/>
  <c r="P506" i="3"/>
  <c r="Q506" i="3"/>
  <c r="R506" i="3"/>
  <c r="K507" i="3"/>
  <c r="L507" i="3"/>
  <c r="M507" i="3"/>
  <c r="N507" i="3"/>
  <c r="O507" i="3"/>
  <c r="P507" i="3"/>
  <c r="Q507" i="3"/>
  <c r="R507" i="3"/>
  <c r="K508" i="3"/>
  <c r="L508" i="3"/>
  <c r="M508" i="3"/>
  <c r="N508" i="3"/>
  <c r="O508" i="3"/>
  <c r="P508" i="3"/>
  <c r="Q508" i="3"/>
  <c r="R508" i="3"/>
  <c r="K509" i="3"/>
  <c r="L509" i="3"/>
  <c r="M509" i="3"/>
  <c r="N509" i="3"/>
  <c r="O509" i="3"/>
  <c r="P509" i="3"/>
  <c r="Q509" i="3"/>
  <c r="R509" i="3"/>
  <c r="K510" i="3"/>
  <c r="L510" i="3"/>
  <c r="M510" i="3"/>
  <c r="N510" i="3"/>
  <c r="O510" i="3"/>
  <c r="P510" i="3"/>
  <c r="Q510" i="3"/>
  <c r="R510" i="3"/>
  <c r="K511" i="3"/>
  <c r="L511" i="3"/>
  <c r="M511" i="3"/>
  <c r="N511" i="3"/>
  <c r="O511" i="3"/>
  <c r="P511" i="3"/>
  <c r="Q511" i="3"/>
  <c r="R511" i="3"/>
  <c r="K512" i="3"/>
  <c r="L512" i="3"/>
  <c r="M512" i="3"/>
  <c r="N512" i="3"/>
  <c r="O512" i="3"/>
  <c r="P512" i="3"/>
  <c r="Q512" i="3"/>
  <c r="R512" i="3"/>
  <c r="K513" i="3"/>
  <c r="L513" i="3"/>
  <c r="M513" i="3"/>
  <c r="N513" i="3"/>
  <c r="O513" i="3"/>
  <c r="P513" i="3"/>
  <c r="Q513" i="3"/>
  <c r="R513" i="3"/>
  <c r="K514" i="3"/>
  <c r="L514" i="3"/>
  <c r="M514" i="3"/>
  <c r="N514" i="3"/>
  <c r="O514" i="3"/>
  <c r="P514" i="3"/>
  <c r="Q514" i="3"/>
  <c r="R514" i="3"/>
  <c r="K515" i="3"/>
  <c r="L515" i="3"/>
  <c r="M515" i="3"/>
  <c r="N515" i="3"/>
  <c r="O515" i="3"/>
  <c r="P515" i="3"/>
  <c r="Q515" i="3"/>
  <c r="R515" i="3"/>
  <c r="K516" i="3"/>
  <c r="L516" i="3"/>
  <c r="M516" i="3"/>
  <c r="N516" i="3"/>
  <c r="O516" i="3"/>
  <c r="P516" i="3"/>
  <c r="Q516" i="3"/>
  <c r="R516" i="3"/>
  <c r="K517" i="3"/>
  <c r="L517" i="3"/>
  <c r="M517" i="3"/>
  <c r="N517" i="3"/>
  <c r="O517" i="3"/>
  <c r="P517" i="3"/>
  <c r="Q517" i="3"/>
  <c r="R517" i="3"/>
  <c r="K518" i="3"/>
  <c r="L518" i="3"/>
  <c r="M518" i="3"/>
  <c r="N518" i="3"/>
  <c r="O518" i="3"/>
  <c r="P518" i="3"/>
  <c r="Q518" i="3"/>
  <c r="R518" i="3"/>
  <c r="K519" i="3"/>
  <c r="L519" i="3"/>
  <c r="M519" i="3"/>
  <c r="N519" i="3"/>
  <c r="O519" i="3"/>
  <c r="P519" i="3"/>
  <c r="Q519" i="3"/>
  <c r="R519" i="3"/>
  <c r="K520" i="3"/>
  <c r="L520" i="3"/>
  <c r="M520" i="3"/>
  <c r="N520" i="3"/>
  <c r="O520" i="3"/>
  <c r="P520" i="3"/>
  <c r="Q520" i="3"/>
  <c r="R520" i="3"/>
  <c r="K521" i="3"/>
  <c r="L521" i="3"/>
  <c r="M521" i="3"/>
  <c r="N521" i="3"/>
  <c r="O521" i="3"/>
  <c r="P521" i="3"/>
  <c r="Q521" i="3"/>
  <c r="R521" i="3"/>
  <c r="K522" i="3"/>
  <c r="L522" i="3"/>
  <c r="M522" i="3"/>
  <c r="N522" i="3"/>
  <c r="O522" i="3"/>
  <c r="P522" i="3"/>
  <c r="Q522" i="3"/>
  <c r="R522" i="3"/>
  <c r="K523" i="3"/>
  <c r="L523" i="3"/>
  <c r="M523" i="3"/>
  <c r="N523" i="3"/>
  <c r="O523" i="3"/>
  <c r="P523" i="3"/>
  <c r="Q523" i="3"/>
  <c r="R523" i="3"/>
  <c r="K524" i="3"/>
  <c r="L524" i="3"/>
  <c r="M524" i="3"/>
  <c r="N524" i="3"/>
  <c r="O524" i="3"/>
  <c r="P524" i="3"/>
  <c r="Q524" i="3"/>
  <c r="R524" i="3"/>
  <c r="K525" i="3"/>
  <c r="L525" i="3"/>
  <c r="M525" i="3"/>
  <c r="N525" i="3"/>
  <c r="O525" i="3"/>
  <c r="P525" i="3"/>
  <c r="Q525" i="3"/>
  <c r="R525" i="3"/>
  <c r="K526" i="3"/>
  <c r="L526" i="3"/>
  <c r="M526" i="3"/>
  <c r="N526" i="3"/>
  <c r="O526" i="3"/>
  <c r="P526" i="3"/>
  <c r="Q526" i="3"/>
  <c r="R526" i="3"/>
  <c r="K527" i="3"/>
  <c r="L527" i="3"/>
  <c r="M527" i="3"/>
  <c r="N527" i="3"/>
  <c r="O527" i="3"/>
  <c r="P527" i="3"/>
  <c r="Q527" i="3"/>
  <c r="R527" i="3"/>
  <c r="K528" i="3"/>
  <c r="L528" i="3"/>
  <c r="M528" i="3"/>
  <c r="N528" i="3"/>
  <c r="O528" i="3"/>
  <c r="P528" i="3"/>
  <c r="Q528" i="3"/>
  <c r="R528" i="3"/>
  <c r="K529" i="3"/>
  <c r="L529" i="3"/>
  <c r="M529" i="3"/>
  <c r="N529" i="3"/>
  <c r="O529" i="3"/>
  <c r="P529" i="3"/>
  <c r="Q529" i="3"/>
  <c r="R529" i="3"/>
  <c r="K530" i="3"/>
  <c r="L530" i="3"/>
  <c r="M530" i="3"/>
  <c r="N530" i="3"/>
  <c r="O530" i="3"/>
  <c r="P530" i="3"/>
  <c r="Q530" i="3"/>
  <c r="R530" i="3"/>
  <c r="K531" i="3"/>
  <c r="L531" i="3"/>
  <c r="M531" i="3"/>
  <c r="N531" i="3"/>
  <c r="O531" i="3"/>
  <c r="P531" i="3"/>
  <c r="Q531" i="3"/>
  <c r="R531" i="3"/>
  <c r="K532" i="3"/>
  <c r="L532" i="3"/>
  <c r="M532" i="3"/>
  <c r="N532" i="3"/>
  <c r="O532" i="3"/>
  <c r="P532" i="3"/>
  <c r="Q532" i="3"/>
  <c r="R532" i="3"/>
  <c r="K533" i="3"/>
  <c r="L533" i="3"/>
  <c r="M533" i="3"/>
  <c r="N533" i="3"/>
  <c r="O533" i="3"/>
  <c r="P533" i="3"/>
  <c r="Q533" i="3"/>
  <c r="R533" i="3"/>
  <c r="K534" i="3"/>
  <c r="L534" i="3"/>
  <c r="M534" i="3"/>
  <c r="N534" i="3"/>
  <c r="O534" i="3"/>
  <c r="P534" i="3"/>
  <c r="Q534" i="3"/>
  <c r="R534" i="3"/>
  <c r="K535" i="3"/>
  <c r="L535" i="3"/>
  <c r="M535" i="3"/>
  <c r="N535" i="3"/>
  <c r="O535" i="3"/>
  <c r="P535" i="3"/>
  <c r="Q535" i="3"/>
  <c r="R535" i="3"/>
  <c r="K536" i="3"/>
  <c r="L536" i="3"/>
  <c r="M536" i="3"/>
  <c r="N536" i="3"/>
  <c r="O536" i="3"/>
  <c r="P536" i="3"/>
  <c r="Q536" i="3"/>
  <c r="R536" i="3"/>
  <c r="K537" i="3"/>
  <c r="L537" i="3"/>
  <c r="M537" i="3"/>
  <c r="N537" i="3"/>
  <c r="O537" i="3"/>
  <c r="P537" i="3"/>
  <c r="Q537" i="3"/>
  <c r="R537" i="3"/>
  <c r="K538" i="3"/>
  <c r="L538" i="3"/>
  <c r="M538" i="3"/>
  <c r="N538" i="3"/>
  <c r="O538" i="3"/>
  <c r="P538" i="3"/>
  <c r="Q538" i="3"/>
  <c r="R538" i="3"/>
  <c r="K539" i="3"/>
  <c r="L539" i="3"/>
  <c r="M539" i="3"/>
  <c r="N539" i="3"/>
  <c r="O539" i="3"/>
  <c r="P539" i="3"/>
  <c r="Q539" i="3"/>
  <c r="R539" i="3"/>
  <c r="K540" i="3"/>
  <c r="L540" i="3"/>
  <c r="M540" i="3"/>
  <c r="N540" i="3"/>
  <c r="O540" i="3"/>
  <c r="P540" i="3"/>
  <c r="Q540" i="3"/>
  <c r="R540" i="3"/>
  <c r="K541" i="3"/>
  <c r="L541" i="3"/>
  <c r="M541" i="3"/>
  <c r="N541" i="3"/>
  <c r="O541" i="3"/>
  <c r="P541" i="3"/>
  <c r="Q541" i="3"/>
  <c r="R541" i="3"/>
  <c r="K542" i="3"/>
  <c r="L542" i="3"/>
  <c r="M542" i="3"/>
  <c r="N542" i="3"/>
  <c r="O542" i="3"/>
  <c r="P542" i="3"/>
  <c r="Q542" i="3"/>
  <c r="R542" i="3"/>
  <c r="K543" i="3"/>
  <c r="L543" i="3"/>
  <c r="M543" i="3"/>
  <c r="N543" i="3"/>
  <c r="O543" i="3"/>
  <c r="P543" i="3"/>
  <c r="Q543" i="3"/>
  <c r="R543" i="3"/>
  <c r="K544" i="3"/>
  <c r="L544" i="3"/>
  <c r="M544" i="3"/>
  <c r="N544" i="3"/>
  <c r="O544" i="3"/>
  <c r="P544" i="3"/>
  <c r="Q544" i="3"/>
  <c r="R544" i="3"/>
  <c r="K545" i="3"/>
  <c r="L545" i="3"/>
  <c r="M545" i="3"/>
  <c r="N545" i="3"/>
  <c r="O545" i="3"/>
  <c r="P545" i="3"/>
  <c r="Q545" i="3"/>
  <c r="R545" i="3"/>
  <c r="K546" i="3"/>
  <c r="L546" i="3"/>
  <c r="M546" i="3"/>
  <c r="N546" i="3"/>
  <c r="O546" i="3"/>
  <c r="P546" i="3"/>
  <c r="Q546" i="3"/>
  <c r="R546" i="3"/>
  <c r="K547" i="3"/>
  <c r="L547" i="3"/>
  <c r="M547" i="3"/>
  <c r="N547" i="3"/>
  <c r="O547" i="3"/>
  <c r="P547" i="3"/>
  <c r="Q547" i="3"/>
  <c r="R547" i="3"/>
  <c r="K548" i="3"/>
  <c r="L548" i="3"/>
  <c r="M548" i="3"/>
  <c r="N548" i="3"/>
  <c r="O548" i="3"/>
  <c r="P548" i="3"/>
  <c r="Q548" i="3"/>
  <c r="R548" i="3"/>
  <c r="K549" i="3"/>
  <c r="L549" i="3"/>
  <c r="M549" i="3"/>
  <c r="N549" i="3"/>
  <c r="O549" i="3"/>
  <c r="P549" i="3"/>
  <c r="Q549" i="3"/>
  <c r="R549" i="3"/>
  <c r="K550" i="3"/>
  <c r="L550" i="3"/>
  <c r="M550" i="3"/>
  <c r="N550" i="3"/>
  <c r="O550" i="3"/>
  <c r="P550" i="3"/>
  <c r="Q550" i="3"/>
  <c r="R550" i="3"/>
  <c r="K551" i="3"/>
  <c r="L551" i="3"/>
  <c r="M551" i="3"/>
  <c r="N551" i="3"/>
  <c r="O551" i="3"/>
  <c r="P551" i="3"/>
  <c r="Q551" i="3"/>
  <c r="R551" i="3"/>
  <c r="K552" i="3"/>
  <c r="L552" i="3"/>
  <c r="M552" i="3"/>
  <c r="N552" i="3"/>
  <c r="O552" i="3"/>
  <c r="P552" i="3"/>
  <c r="Q552" i="3"/>
  <c r="R552" i="3"/>
  <c r="K553" i="3"/>
  <c r="L553" i="3"/>
  <c r="M553" i="3"/>
  <c r="N553" i="3"/>
  <c r="O553" i="3"/>
  <c r="P553" i="3"/>
  <c r="Q553" i="3"/>
  <c r="R553" i="3"/>
  <c r="K554" i="3"/>
  <c r="L554" i="3"/>
  <c r="M554" i="3"/>
  <c r="N554" i="3"/>
  <c r="O554" i="3"/>
  <c r="P554" i="3"/>
  <c r="Q554" i="3"/>
  <c r="R554" i="3"/>
  <c r="K555" i="3"/>
  <c r="L555" i="3"/>
  <c r="M555" i="3"/>
  <c r="N555" i="3"/>
  <c r="O555" i="3"/>
  <c r="P555" i="3"/>
  <c r="Q555" i="3"/>
  <c r="R555" i="3"/>
  <c r="K556" i="3"/>
  <c r="L556" i="3"/>
  <c r="M556" i="3"/>
  <c r="N556" i="3"/>
  <c r="O556" i="3"/>
  <c r="P556" i="3"/>
  <c r="Q556" i="3"/>
  <c r="R556" i="3"/>
  <c r="K557" i="3"/>
  <c r="L557" i="3"/>
  <c r="M557" i="3"/>
  <c r="N557" i="3"/>
  <c r="O557" i="3"/>
  <c r="P557" i="3"/>
  <c r="Q557" i="3"/>
  <c r="R557" i="3"/>
  <c r="K558" i="3"/>
  <c r="L558" i="3"/>
  <c r="M558" i="3"/>
  <c r="N558" i="3"/>
  <c r="O558" i="3"/>
  <c r="P558" i="3"/>
  <c r="Q558" i="3"/>
  <c r="R558" i="3"/>
  <c r="K559" i="3"/>
  <c r="L559" i="3"/>
  <c r="M559" i="3"/>
  <c r="N559" i="3"/>
  <c r="O559" i="3"/>
  <c r="P559" i="3"/>
  <c r="Q559" i="3"/>
  <c r="R559" i="3"/>
  <c r="K560" i="3"/>
  <c r="L560" i="3"/>
  <c r="M560" i="3"/>
  <c r="N560" i="3"/>
  <c r="O560" i="3"/>
  <c r="P560" i="3"/>
  <c r="Q560" i="3"/>
  <c r="R560" i="3"/>
  <c r="K561" i="3"/>
  <c r="L561" i="3"/>
  <c r="M561" i="3"/>
  <c r="N561" i="3"/>
  <c r="O561" i="3"/>
  <c r="P561" i="3"/>
  <c r="Q561" i="3"/>
  <c r="R561" i="3"/>
  <c r="K562" i="3"/>
  <c r="L562" i="3"/>
  <c r="M562" i="3"/>
  <c r="N562" i="3"/>
  <c r="O562" i="3"/>
  <c r="P562" i="3"/>
  <c r="Q562" i="3"/>
  <c r="R562" i="3"/>
  <c r="K563" i="3"/>
  <c r="L563" i="3"/>
  <c r="M563" i="3"/>
  <c r="N563" i="3"/>
  <c r="O563" i="3"/>
  <c r="P563" i="3"/>
  <c r="Q563" i="3"/>
  <c r="R563" i="3"/>
  <c r="K564" i="3"/>
  <c r="L564" i="3"/>
  <c r="M564" i="3"/>
  <c r="N564" i="3"/>
  <c r="O564" i="3"/>
  <c r="P564" i="3"/>
  <c r="Q564" i="3"/>
  <c r="R564" i="3"/>
  <c r="K565" i="3"/>
  <c r="L565" i="3"/>
  <c r="M565" i="3"/>
  <c r="N565" i="3"/>
  <c r="O565" i="3"/>
  <c r="P565" i="3"/>
  <c r="Q565" i="3"/>
  <c r="R565" i="3"/>
  <c r="K566" i="3"/>
  <c r="L566" i="3"/>
  <c r="M566" i="3"/>
  <c r="N566" i="3"/>
  <c r="O566" i="3"/>
  <c r="P566" i="3"/>
  <c r="Q566" i="3"/>
  <c r="R566" i="3"/>
  <c r="K567" i="3"/>
  <c r="L567" i="3"/>
  <c r="M567" i="3"/>
  <c r="N567" i="3"/>
  <c r="O567" i="3"/>
  <c r="P567" i="3"/>
  <c r="Q567" i="3"/>
  <c r="R567" i="3"/>
  <c r="K568" i="3"/>
  <c r="L568" i="3"/>
  <c r="M568" i="3"/>
  <c r="N568" i="3"/>
  <c r="O568" i="3"/>
  <c r="P568" i="3"/>
  <c r="Q568" i="3"/>
  <c r="R568" i="3"/>
  <c r="K569" i="3"/>
  <c r="L569" i="3"/>
  <c r="M569" i="3"/>
  <c r="N569" i="3"/>
  <c r="O569" i="3"/>
  <c r="P569" i="3"/>
  <c r="Q569" i="3"/>
  <c r="R569" i="3"/>
  <c r="K570" i="3"/>
  <c r="L570" i="3"/>
  <c r="M570" i="3"/>
  <c r="N570" i="3"/>
  <c r="O570" i="3"/>
  <c r="P570" i="3"/>
  <c r="Q570" i="3"/>
  <c r="R570" i="3"/>
  <c r="K571" i="3"/>
  <c r="L571" i="3"/>
  <c r="M571" i="3"/>
  <c r="N571" i="3"/>
  <c r="O571" i="3"/>
  <c r="P571" i="3"/>
  <c r="Q571" i="3"/>
  <c r="R571" i="3"/>
  <c r="K572" i="3"/>
  <c r="L572" i="3"/>
  <c r="M572" i="3"/>
  <c r="N572" i="3"/>
  <c r="O572" i="3"/>
  <c r="P572" i="3"/>
  <c r="Q572" i="3"/>
  <c r="R572" i="3"/>
  <c r="K573" i="3"/>
  <c r="L573" i="3"/>
  <c r="M573" i="3"/>
  <c r="N573" i="3"/>
  <c r="O573" i="3"/>
  <c r="P573" i="3"/>
  <c r="Q573" i="3"/>
  <c r="R573" i="3"/>
  <c r="K574" i="3"/>
  <c r="L574" i="3"/>
  <c r="M574" i="3"/>
  <c r="N574" i="3"/>
  <c r="O574" i="3"/>
  <c r="P574" i="3"/>
  <c r="Q574" i="3"/>
  <c r="R574" i="3"/>
  <c r="K575" i="3"/>
  <c r="L575" i="3"/>
  <c r="M575" i="3"/>
  <c r="N575" i="3"/>
  <c r="O575" i="3"/>
  <c r="P575" i="3"/>
  <c r="Q575" i="3"/>
  <c r="R575" i="3"/>
  <c r="K576" i="3"/>
  <c r="L576" i="3"/>
  <c r="M576" i="3"/>
  <c r="N576" i="3"/>
  <c r="O576" i="3"/>
  <c r="P576" i="3"/>
  <c r="Q576" i="3"/>
  <c r="R576" i="3"/>
  <c r="K577" i="3"/>
  <c r="L577" i="3"/>
  <c r="M577" i="3"/>
  <c r="N577" i="3"/>
  <c r="O577" i="3"/>
  <c r="P577" i="3"/>
  <c r="Q577" i="3"/>
  <c r="R577" i="3"/>
  <c r="K578" i="3"/>
  <c r="L578" i="3"/>
  <c r="M578" i="3"/>
  <c r="N578" i="3"/>
  <c r="O578" i="3"/>
  <c r="P578" i="3"/>
  <c r="Q578" i="3"/>
  <c r="R578" i="3"/>
  <c r="K579" i="3"/>
  <c r="L579" i="3"/>
  <c r="M579" i="3"/>
  <c r="N579" i="3"/>
  <c r="O579" i="3"/>
  <c r="P579" i="3"/>
  <c r="Q579" i="3"/>
  <c r="R579" i="3"/>
  <c r="K580" i="3"/>
  <c r="L580" i="3"/>
  <c r="M580" i="3"/>
  <c r="N580" i="3"/>
  <c r="O580" i="3"/>
  <c r="P580" i="3"/>
  <c r="Q580" i="3"/>
  <c r="R580" i="3"/>
  <c r="K581" i="3"/>
  <c r="L581" i="3"/>
  <c r="M581" i="3"/>
  <c r="N581" i="3"/>
  <c r="O581" i="3"/>
  <c r="P581" i="3"/>
  <c r="Q581" i="3"/>
  <c r="R581" i="3"/>
  <c r="K582" i="3"/>
  <c r="L582" i="3"/>
  <c r="M582" i="3"/>
  <c r="N582" i="3"/>
  <c r="O582" i="3"/>
  <c r="P582" i="3"/>
  <c r="Q582" i="3"/>
  <c r="R582" i="3"/>
  <c r="K583" i="3"/>
  <c r="L583" i="3"/>
  <c r="M583" i="3"/>
  <c r="N583" i="3"/>
  <c r="O583" i="3"/>
  <c r="P583" i="3"/>
  <c r="Q583" i="3"/>
  <c r="R583" i="3"/>
  <c r="K584" i="3"/>
  <c r="L584" i="3"/>
  <c r="M584" i="3"/>
  <c r="N584" i="3"/>
  <c r="O584" i="3"/>
  <c r="P584" i="3"/>
  <c r="Q584" i="3"/>
  <c r="R584" i="3"/>
  <c r="K585" i="3"/>
  <c r="L585" i="3"/>
  <c r="M585" i="3"/>
  <c r="N585" i="3"/>
  <c r="O585" i="3"/>
  <c r="P585" i="3"/>
  <c r="Q585" i="3"/>
  <c r="R585" i="3"/>
  <c r="K586" i="3"/>
  <c r="L586" i="3"/>
  <c r="M586" i="3"/>
  <c r="N586" i="3"/>
  <c r="O586" i="3"/>
  <c r="P586" i="3"/>
  <c r="Q586" i="3"/>
  <c r="R586" i="3"/>
  <c r="K587" i="3"/>
  <c r="L587" i="3"/>
  <c r="M587" i="3"/>
  <c r="N587" i="3"/>
  <c r="O587" i="3"/>
  <c r="P587" i="3"/>
  <c r="Q587" i="3"/>
  <c r="R587" i="3"/>
  <c r="K588" i="3"/>
  <c r="L588" i="3"/>
  <c r="M588" i="3"/>
  <c r="N588" i="3"/>
  <c r="O588" i="3"/>
  <c r="P588" i="3"/>
  <c r="Q588" i="3"/>
  <c r="R588" i="3"/>
  <c r="K589" i="3"/>
  <c r="L589" i="3"/>
  <c r="M589" i="3"/>
  <c r="N589" i="3"/>
  <c r="O589" i="3"/>
  <c r="P589" i="3"/>
  <c r="Q589" i="3"/>
  <c r="R589" i="3"/>
  <c r="K590" i="3"/>
  <c r="L590" i="3"/>
  <c r="M590" i="3"/>
  <c r="N590" i="3"/>
  <c r="O590" i="3"/>
  <c r="P590" i="3"/>
  <c r="Q590" i="3"/>
  <c r="R590" i="3"/>
  <c r="K591" i="3"/>
  <c r="L591" i="3"/>
  <c r="M591" i="3"/>
  <c r="N591" i="3"/>
  <c r="O591" i="3"/>
  <c r="P591" i="3"/>
  <c r="Q591" i="3"/>
  <c r="R591" i="3"/>
  <c r="K592" i="3"/>
  <c r="L592" i="3"/>
  <c r="M592" i="3"/>
  <c r="N592" i="3"/>
  <c r="O592" i="3"/>
  <c r="P592" i="3"/>
  <c r="Q592" i="3"/>
  <c r="R592" i="3"/>
  <c r="K593" i="3"/>
  <c r="L593" i="3"/>
  <c r="M593" i="3"/>
  <c r="N593" i="3"/>
  <c r="O593" i="3"/>
  <c r="P593" i="3"/>
  <c r="Q593" i="3"/>
  <c r="R593" i="3"/>
  <c r="K594" i="3"/>
  <c r="L594" i="3"/>
  <c r="M594" i="3"/>
  <c r="N594" i="3"/>
  <c r="O594" i="3"/>
  <c r="P594" i="3"/>
  <c r="Q594" i="3"/>
  <c r="R594" i="3"/>
  <c r="K595" i="3"/>
  <c r="L595" i="3"/>
  <c r="M595" i="3"/>
  <c r="N595" i="3"/>
  <c r="O595" i="3"/>
  <c r="P595" i="3"/>
  <c r="Q595" i="3"/>
  <c r="R595" i="3"/>
  <c r="K596" i="3"/>
  <c r="L596" i="3"/>
  <c r="M596" i="3"/>
  <c r="N596" i="3"/>
  <c r="O596" i="3"/>
  <c r="P596" i="3"/>
  <c r="Q596" i="3"/>
  <c r="R596" i="3"/>
  <c r="K597" i="3"/>
  <c r="L597" i="3"/>
  <c r="M597" i="3"/>
  <c r="N597" i="3"/>
  <c r="O597" i="3"/>
  <c r="P597" i="3"/>
  <c r="Q597" i="3"/>
  <c r="R597" i="3"/>
  <c r="K598" i="3"/>
  <c r="L598" i="3"/>
  <c r="M598" i="3"/>
  <c r="N598" i="3"/>
  <c r="O598" i="3"/>
  <c r="P598" i="3"/>
  <c r="Q598" i="3"/>
  <c r="R598" i="3"/>
  <c r="K599" i="3"/>
  <c r="L599" i="3"/>
  <c r="M599" i="3"/>
  <c r="N599" i="3"/>
  <c r="O599" i="3"/>
  <c r="P599" i="3"/>
  <c r="Q599" i="3"/>
  <c r="R599" i="3"/>
  <c r="K600" i="3"/>
  <c r="L600" i="3"/>
  <c r="M600" i="3"/>
  <c r="N600" i="3"/>
  <c r="O600" i="3"/>
  <c r="P600" i="3"/>
  <c r="Q600" i="3"/>
  <c r="R600" i="3"/>
  <c r="K601" i="3"/>
  <c r="L601" i="3"/>
  <c r="M601" i="3"/>
  <c r="N601" i="3"/>
  <c r="O601" i="3"/>
  <c r="P601" i="3"/>
  <c r="Q601" i="3"/>
  <c r="R601" i="3"/>
  <c r="K602" i="3"/>
  <c r="L602" i="3"/>
  <c r="M602" i="3"/>
  <c r="N602" i="3"/>
  <c r="O602" i="3"/>
  <c r="P602" i="3"/>
  <c r="Q602" i="3"/>
  <c r="R602" i="3"/>
  <c r="K603" i="3"/>
  <c r="L603" i="3"/>
  <c r="M603" i="3"/>
  <c r="N603" i="3"/>
  <c r="O603" i="3"/>
  <c r="P603" i="3"/>
  <c r="Q603" i="3"/>
  <c r="R603" i="3"/>
  <c r="K604" i="3"/>
  <c r="L604" i="3"/>
  <c r="M604" i="3"/>
  <c r="N604" i="3"/>
  <c r="O604" i="3"/>
  <c r="P604" i="3"/>
  <c r="Q604" i="3"/>
  <c r="R604" i="3"/>
  <c r="K605" i="3"/>
  <c r="L605" i="3"/>
  <c r="M605" i="3"/>
  <c r="N605" i="3"/>
  <c r="O605" i="3"/>
  <c r="P605" i="3"/>
  <c r="Q605" i="3"/>
  <c r="R605" i="3"/>
  <c r="K606" i="3"/>
  <c r="L606" i="3"/>
  <c r="M606" i="3"/>
  <c r="N606" i="3"/>
  <c r="O606" i="3"/>
  <c r="P606" i="3"/>
  <c r="Q606" i="3"/>
  <c r="R606" i="3"/>
  <c r="K607" i="3"/>
  <c r="L607" i="3"/>
  <c r="M607" i="3"/>
  <c r="N607" i="3"/>
  <c r="O607" i="3"/>
  <c r="P607" i="3"/>
  <c r="Q607" i="3"/>
  <c r="R607" i="3"/>
  <c r="K608" i="3"/>
  <c r="L608" i="3"/>
  <c r="M608" i="3"/>
  <c r="N608" i="3"/>
  <c r="O608" i="3"/>
  <c r="P608" i="3"/>
  <c r="Q608" i="3"/>
  <c r="R608" i="3"/>
  <c r="K609" i="3"/>
  <c r="L609" i="3"/>
  <c r="M609" i="3"/>
  <c r="N609" i="3"/>
  <c r="O609" i="3"/>
  <c r="P609" i="3"/>
  <c r="Q609" i="3"/>
  <c r="R609" i="3"/>
  <c r="K610" i="3"/>
  <c r="L610" i="3"/>
  <c r="M610" i="3"/>
  <c r="N610" i="3"/>
  <c r="O610" i="3"/>
  <c r="P610" i="3"/>
  <c r="Q610" i="3"/>
  <c r="R610" i="3"/>
  <c r="K611" i="3"/>
  <c r="L611" i="3"/>
  <c r="M611" i="3"/>
  <c r="N611" i="3"/>
  <c r="O611" i="3"/>
  <c r="P611" i="3"/>
  <c r="Q611" i="3"/>
  <c r="R611" i="3"/>
  <c r="K612" i="3"/>
  <c r="L612" i="3"/>
  <c r="M612" i="3"/>
  <c r="N612" i="3"/>
  <c r="O612" i="3"/>
  <c r="P612" i="3"/>
  <c r="Q612" i="3"/>
  <c r="R612" i="3"/>
  <c r="K613" i="3"/>
  <c r="L613" i="3"/>
  <c r="M613" i="3"/>
  <c r="N613" i="3"/>
  <c r="O613" i="3"/>
  <c r="P613" i="3"/>
  <c r="Q613" i="3"/>
  <c r="R613" i="3"/>
  <c r="K614" i="3"/>
  <c r="L614" i="3"/>
  <c r="M614" i="3"/>
  <c r="N614" i="3"/>
  <c r="O614" i="3"/>
  <c r="P614" i="3"/>
  <c r="Q614" i="3"/>
  <c r="R614" i="3"/>
  <c r="K615" i="3"/>
  <c r="L615" i="3"/>
  <c r="M615" i="3"/>
  <c r="N615" i="3"/>
  <c r="O615" i="3"/>
  <c r="P615" i="3"/>
  <c r="Q615" i="3"/>
  <c r="R615" i="3"/>
  <c r="K616" i="3"/>
  <c r="L616" i="3"/>
  <c r="M616" i="3"/>
  <c r="N616" i="3"/>
  <c r="O616" i="3"/>
  <c r="P616" i="3"/>
  <c r="Q616" i="3"/>
  <c r="R616" i="3"/>
  <c r="R2" i="3"/>
  <c r="Q2" i="3"/>
  <c r="P2" i="3"/>
  <c r="O2" i="3"/>
  <c r="N2" i="3"/>
  <c r="M2" i="3"/>
  <c r="L2" i="3"/>
  <c r="K2" i="3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R2" i="2"/>
  <c r="Q2" i="2"/>
  <c r="P2" i="2"/>
  <c r="O2" i="2"/>
  <c r="N2" i="2"/>
  <c r="M2" i="2"/>
  <c r="L2" i="2"/>
  <c r="K2" i="2"/>
  <c r="V2" i="2" l="1"/>
  <c r="Z12" i="2"/>
  <c r="T136" i="2" a="1"/>
  <c r="T136" i="2" s="1"/>
  <c r="T124" i="2" a="1"/>
  <c r="T124" i="2" s="1"/>
  <c r="T144" i="2" a="1"/>
  <c r="T144" i="2" s="1"/>
  <c r="T140" i="2" a="1"/>
  <c r="T140" i="2" s="1"/>
  <c r="U2" i="2"/>
  <c r="T114" i="2" a="1"/>
  <c r="T114" i="2" s="1"/>
  <c r="V114" i="2" s="1"/>
  <c r="T3" i="2" a="1"/>
  <c r="T3" i="2" s="1"/>
  <c r="T141" i="2" a="1"/>
  <c r="T141" i="2" s="1"/>
  <c r="T149" i="2" a="1"/>
  <c r="T149" i="2" s="1"/>
  <c r="T137" i="2" a="1"/>
  <c r="T137" i="2" s="1"/>
  <c r="T125" i="2" a="1"/>
  <c r="T125" i="2" s="1"/>
  <c r="T4" i="2" a="1"/>
  <c r="T4" i="2" s="1"/>
  <c r="T134" i="2" a="1"/>
  <c r="T134" i="2" s="1"/>
  <c r="V134" i="2" s="1"/>
  <c r="T106" i="2" a="1"/>
  <c r="T106" i="2" s="1"/>
  <c r="V106" i="2" s="1"/>
  <c r="T154" i="2" a="1"/>
  <c r="T154" i="2" s="1"/>
  <c r="V154" i="2" s="1"/>
  <c r="T19" i="2" a="1"/>
  <c r="T19" i="2" s="1"/>
  <c r="V19" i="2" s="1"/>
  <c r="T131" i="2" a="1"/>
  <c r="T131" i="2" s="1"/>
  <c r="V131" i="2" s="1"/>
  <c r="T122" i="2" a="1"/>
  <c r="T122" i="2" s="1"/>
  <c r="V122" i="2" s="1"/>
  <c r="T113" i="2" a="1"/>
  <c r="T113" i="2" s="1"/>
  <c r="V113" i="2" s="1"/>
  <c r="T104" i="2" a="1"/>
  <c r="T104" i="2" s="1"/>
  <c r="V104" i="2" s="1"/>
  <c r="T95" i="2" a="1"/>
  <c r="T95" i="2" s="1"/>
  <c r="V95" i="2" s="1"/>
  <c r="T86" i="2" a="1"/>
  <c r="T86" i="2" s="1"/>
  <c r="V86" i="2" s="1"/>
  <c r="T69" i="2" a="1"/>
  <c r="T69" i="2" s="1"/>
  <c r="V69" i="2" s="1"/>
  <c r="T51" i="2" a="1"/>
  <c r="T51" i="2" s="1"/>
  <c r="V51" i="2" s="1"/>
  <c r="T43" i="2" a="1"/>
  <c r="T43" i="2" s="1"/>
  <c r="V43" i="2" s="1"/>
  <c r="T27" i="2" a="1"/>
  <c r="T27" i="2" s="1"/>
  <c r="V27" i="2" s="1"/>
  <c r="T10" i="2" a="1"/>
  <c r="T10" i="2" s="1"/>
  <c r="V10" i="2" s="1"/>
  <c r="T139" i="2" a="1"/>
  <c r="T139" i="2" s="1"/>
  <c r="V139" i="2" s="1"/>
  <c r="T121" i="2" a="1"/>
  <c r="T121" i="2" s="1"/>
  <c r="V121" i="2" s="1"/>
  <c r="T103" i="2" a="1"/>
  <c r="T103" i="2" s="1"/>
  <c r="V103" i="2" s="1"/>
  <c r="T85" i="2" a="1"/>
  <c r="T85" i="2" s="1"/>
  <c r="V85" i="2" s="1"/>
  <c r="T77" i="2" a="1"/>
  <c r="T77" i="2" s="1"/>
  <c r="V77" i="2" s="1"/>
  <c r="T68" i="2" a="1"/>
  <c r="T68" i="2" s="1"/>
  <c r="V68" i="2" s="1"/>
  <c r="T59" i="2" a="1"/>
  <c r="T59" i="2" s="1"/>
  <c r="V59" i="2" s="1"/>
  <c r="T50" i="2" a="1"/>
  <c r="T50" i="2" s="1"/>
  <c r="V50" i="2" s="1"/>
  <c r="T35" i="2" a="1"/>
  <c r="T35" i="2" s="1"/>
  <c r="V35" i="2" s="1"/>
  <c r="T26" i="2" a="1"/>
  <c r="T26" i="2" s="1"/>
  <c r="V26" i="2" s="1"/>
  <c r="T17" i="2" a="1"/>
  <c r="T17" i="2" s="1"/>
  <c r="V17" i="2" s="1"/>
  <c r="T9" i="2" a="1"/>
  <c r="T9" i="2" s="1"/>
  <c r="V9" i="2" s="1"/>
  <c r="T147" i="2" a="1"/>
  <c r="T147" i="2" s="1"/>
  <c r="V147" i="2" s="1"/>
  <c r="T138" i="2" a="1"/>
  <c r="T138" i="2" s="1"/>
  <c r="V138" i="2" s="1"/>
  <c r="T130" i="2" a="1"/>
  <c r="T130" i="2" s="1"/>
  <c r="V130" i="2" s="1"/>
  <c r="T120" i="2" a="1"/>
  <c r="T120" i="2" s="1"/>
  <c r="V120" i="2" s="1"/>
  <c r="T112" i="2" a="1"/>
  <c r="T112" i="2" s="1"/>
  <c r="V112" i="2" s="1"/>
  <c r="T102" i="2" a="1"/>
  <c r="T102" i="2" s="1"/>
  <c r="V102" i="2" s="1"/>
  <c r="T94" i="2" a="1"/>
  <c r="T94" i="2" s="1"/>
  <c r="V94" i="2" s="1"/>
  <c r="T84" i="2" a="1"/>
  <c r="T84" i="2" s="1"/>
  <c r="V84" i="2" s="1"/>
  <c r="T67" i="2" a="1"/>
  <c r="T67" i="2" s="1"/>
  <c r="V67" i="2" s="1"/>
  <c r="T42" i="2" a="1"/>
  <c r="T42" i="2" s="1"/>
  <c r="V42" i="2" s="1"/>
  <c r="T25" i="2" a="1"/>
  <c r="T25" i="2" s="1"/>
  <c r="V25" i="2" s="1"/>
  <c r="T8" i="2" a="1"/>
  <c r="T8" i="2" s="1"/>
  <c r="V8" i="2" s="1"/>
  <c r="T96" i="2" a="1"/>
  <c r="T96" i="2" s="1"/>
  <c r="V96" i="2" s="1"/>
  <c r="T79" i="2" a="1"/>
  <c r="T79" i="2" s="1"/>
  <c r="V79" i="2" s="1"/>
  <c r="T146" i="2" a="1"/>
  <c r="T146" i="2" s="1"/>
  <c r="V146" i="2" s="1"/>
  <c r="T129" i="2" a="1"/>
  <c r="T129" i="2" s="1"/>
  <c r="V129" i="2" s="1"/>
  <c r="T111" i="2" a="1"/>
  <c r="T111" i="2" s="1"/>
  <c r="V111" i="2" s="1"/>
  <c r="T93" i="2" a="1"/>
  <c r="T93" i="2" s="1"/>
  <c r="V93" i="2" s="1"/>
  <c r="T76" i="2" a="1"/>
  <c r="T76" i="2" s="1"/>
  <c r="V76" i="2" s="1"/>
  <c r="T66" i="2" a="1"/>
  <c r="T66" i="2" s="1"/>
  <c r="V66" i="2" s="1"/>
  <c r="T58" i="2" a="1"/>
  <c r="T58" i="2" s="1"/>
  <c r="V58" i="2" s="1"/>
  <c r="T49" i="2" a="1"/>
  <c r="T49" i="2" s="1"/>
  <c r="V49" i="2" s="1"/>
  <c r="T34" i="2" a="1"/>
  <c r="T34" i="2" s="1"/>
  <c r="V34" i="2" s="1"/>
  <c r="T24" i="2" a="1"/>
  <c r="T24" i="2" s="1"/>
  <c r="V24" i="2" s="1"/>
  <c r="T16" i="2" a="1"/>
  <c r="T16" i="2" s="1"/>
  <c r="V16" i="2" s="1"/>
  <c r="T148" i="2" a="1"/>
  <c r="T148" i="2" s="1"/>
  <c r="V148" i="2" s="1"/>
  <c r="T128" i="2" a="1"/>
  <c r="T128" i="2" s="1"/>
  <c r="V128" i="2" s="1"/>
  <c r="T119" i="2" a="1"/>
  <c r="T119" i="2" s="1"/>
  <c r="V119" i="2" s="1"/>
  <c r="T110" i="2" a="1"/>
  <c r="T110" i="2" s="1"/>
  <c r="V110" i="2" s="1"/>
  <c r="T101" i="2" a="1"/>
  <c r="T101" i="2" s="1"/>
  <c r="V101" i="2" s="1"/>
  <c r="T92" i="2" a="1"/>
  <c r="T92" i="2" s="1"/>
  <c r="V92" i="2" s="1"/>
  <c r="T83" i="2" a="1"/>
  <c r="T83" i="2" s="1"/>
  <c r="V83" i="2" s="1"/>
  <c r="T75" i="2" a="1"/>
  <c r="T75" i="2" s="1"/>
  <c r="V75" i="2" s="1"/>
  <c r="T57" i="2" a="1"/>
  <c r="T57" i="2" s="1"/>
  <c r="V57" i="2" s="1"/>
  <c r="T48" i="2" a="1"/>
  <c r="T48" i="2" s="1"/>
  <c r="V48" i="2" s="1"/>
  <c r="T41" i="2" a="1"/>
  <c r="T41" i="2" s="1"/>
  <c r="V41" i="2" s="1"/>
  <c r="T33" i="2" a="1"/>
  <c r="T33" i="2" s="1"/>
  <c r="V33" i="2" s="1"/>
  <c r="T15" i="2" a="1"/>
  <c r="T15" i="2" s="1"/>
  <c r="V15" i="2" s="1"/>
  <c r="T7" i="2" a="1"/>
  <c r="T7" i="2" s="1"/>
  <c r="V7" i="2" s="1"/>
  <c r="T44" i="2" a="1"/>
  <c r="T44" i="2" s="1"/>
  <c r="V44" i="2" s="1"/>
  <c r="T153" i="2" a="1"/>
  <c r="T153" i="2" s="1"/>
  <c r="V153" i="2" s="1"/>
  <c r="T145" i="2" a="1"/>
  <c r="T145" i="2" s="1"/>
  <c r="V145" i="2" s="1"/>
  <c r="T127" i="2" a="1"/>
  <c r="T127" i="2" s="1"/>
  <c r="V127" i="2" s="1"/>
  <c r="T109" i="2" a="1"/>
  <c r="T109" i="2" s="1"/>
  <c r="V109" i="2" s="1"/>
  <c r="T91" i="2" a="1"/>
  <c r="T91" i="2" s="1"/>
  <c r="V91" i="2" s="1"/>
  <c r="T74" i="2" a="1"/>
  <c r="T74" i="2" s="1"/>
  <c r="V74" i="2" s="1"/>
  <c r="T65" i="2" a="1"/>
  <c r="T65" i="2" s="1"/>
  <c r="V65" i="2" s="1"/>
  <c r="T56" i="2" a="1"/>
  <c r="T56" i="2" s="1"/>
  <c r="V56" i="2" s="1"/>
  <c r="T32" i="2" a="1"/>
  <c r="T32" i="2" s="1"/>
  <c r="V32" i="2" s="1"/>
  <c r="T23" i="2" a="1"/>
  <c r="T23" i="2" s="1"/>
  <c r="V23" i="2" s="1"/>
  <c r="T14" i="2" a="1"/>
  <c r="T14" i="2" s="1"/>
  <c r="V14" i="2" s="1"/>
  <c r="T61" i="2" a="1"/>
  <c r="T61" i="2" s="1"/>
  <c r="V61" i="2" s="1"/>
  <c r="T152" i="2" a="1"/>
  <c r="T152" i="2" s="1"/>
  <c r="V152" i="2" s="1"/>
  <c r="T126" i="2" a="1"/>
  <c r="T126" i="2" s="1"/>
  <c r="V126" i="2" s="1"/>
  <c r="T118" i="2" a="1"/>
  <c r="T118" i="2" s="1"/>
  <c r="V118" i="2" s="1"/>
  <c r="T108" i="2" a="1"/>
  <c r="T108" i="2" s="1"/>
  <c r="V108" i="2" s="1"/>
  <c r="T100" i="2" a="1"/>
  <c r="T100" i="2" s="1"/>
  <c r="V100" i="2" s="1"/>
  <c r="T90" i="2" a="1"/>
  <c r="T90" i="2" s="1"/>
  <c r="V90" i="2" s="1"/>
  <c r="T82" i="2" a="1"/>
  <c r="T82" i="2" s="1"/>
  <c r="V82" i="2" s="1"/>
  <c r="T73" i="2" a="1"/>
  <c r="T73" i="2" s="1"/>
  <c r="V73" i="2" s="1"/>
  <c r="T55" i="2" a="1"/>
  <c r="T55" i="2" s="1"/>
  <c r="V55" i="2" s="1"/>
  <c r="T47" i="2" a="1"/>
  <c r="T47" i="2" s="1"/>
  <c r="V47" i="2" s="1"/>
  <c r="T40" i="2" a="1"/>
  <c r="T40" i="2" s="1"/>
  <c r="V40" i="2" s="1"/>
  <c r="T31" i="2" a="1"/>
  <c r="T31" i="2" s="1"/>
  <c r="V31" i="2" s="1"/>
  <c r="T6" i="2" a="1"/>
  <c r="T6" i="2" s="1"/>
  <c r="V6" i="2" s="1"/>
  <c r="T132" i="2" a="1"/>
  <c r="T132" i="2" s="1"/>
  <c r="V132" i="2" s="1"/>
  <c r="T151" i="2" a="1"/>
  <c r="T151" i="2" s="1"/>
  <c r="V151" i="2" s="1"/>
  <c r="T135" i="2" a="1"/>
  <c r="T135" i="2" s="1"/>
  <c r="V135" i="2" s="1"/>
  <c r="T117" i="2" a="1"/>
  <c r="T117" i="2" s="1"/>
  <c r="V117" i="2" s="1"/>
  <c r="T99" i="2" a="1"/>
  <c r="T99" i="2" s="1"/>
  <c r="V99" i="2" s="1"/>
  <c r="T81" i="2" a="1"/>
  <c r="T81" i="2" s="1"/>
  <c r="V81" i="2" s="1"/>
  <c r="T72" i="2" a="1"/>
  <c r="T72" i="2" s="1"/>
  <c r="V72" i="2" s="1"/>
  <c r="T64" i="2" a="1"/>
  <c r="T64" i="2" s="1"/>
  <c r="V64" i="2" s="1"/>
  <c r="T54" i="2" a="1"/>
  <c r="T54" i="2" s="1"/>
  <c r="V54" i="2" s="1"/>
  <c r="T39" i="2" a="1"/>
  <c r="T39" i="2" s="1"/>
  <c r="V39" i="2" s="1"/>
  <c r="T30" i="2" a="1"/>
  <c r="T30" i="2" s="1"/>
  <c r="V30" i="2" s="1"/>
  <c r="T22" i="2" a="1"/>
  <c r="T22" i="2" s="1"/>
  <c r="V22" i="2" s="1"/>
  <c r="T13" i="2" a="1"/>
  <c r="T13" i="2" s="1"/>
  <c r="V13" i="2" s="1"/>
  <c r="T88" i="2" a="1"/>
  <c r="T88" i="2" s="1"/>
  <c r="V88" i="2" s="1"/>
  <c r="T116" i="2" a="1"/>
  <c r="T116" i="2" s="1"/>
  <c r="V116" i="2" s="1"/>
  <c r="T107" i="2" a="1"/>
  <c r="T107" i="2" s="1"/>
  <c r="V107" i="2" s="1"/>
  <c r="T98" i="2" a="1"/>
  <c r="T98" i="2" s="1"/>
  <c r="V98" i="2" s="1"/>
  <c r="T89" i="2" a="1"/>
  <c r="T89" i="2" s="1"/>
  <c r="V89" i="2" s="1"/>
  <c r="T80" i="2" a="1"/>
  <c r="T80" i="2" s="1"/>
  <c r="V80" i="2" s="1"/>
  <c r="T63" i="2" a="1"/>
  <c r="T63" i="2" s="1"/>
  <c r="V63" i="2" s="1"/>
  <c r="T46" i="2" a="1"/>
  <c r="T46" i="2" s="1"/>
  <c r="V46" i="2" s="1"/>
  <c r="T38" i="2" a="1"/>
  <c r="T38" i="2" s="1"/>
  <c r="V38" i="2" s="1"/>
  <c r="T21" i="2" a="1"/>
  <c r="T21" i="2" s="1"/>
  <c r="V21" i="2" s="1"/>
  <c r="T12" i="2" a="1"/>
  <c r="T12" i="2" s="1"/>
  <c r="V12" i="2" s="1"/>
  <c r="T5" i="2" a="1"/>
  <c r="T5" i="2" s="1"/>
  <c r="V5" i="2" s="1"/>
  <c r="T142" i="2" a="1"/>
  <c r="T142" i="2" s="1"/>
  <c r="V142" i="2" s="1"/>
  <c r="T143" i="2" a="1"/>
  <c r="T143" i="2" s="1"/>
  <c r="V143" i="2" s="1"/>
  <c r="T150" i="2" a="1"/>
  <c r="T150" i="2" s="1"/>
  <c r="V150" i="2" s="1"/>
  <c r="T133" i="2" a="1"/>
  <c r="T133" i="2" s="1"/>
  <c r="V133" i="2" s="1"/>
  <c r="T115" i="2" a="1"/>
  <c r="T115" i="2" s="1"/>
  <c r="V115" i="2" s="1"/>
  <c r="T97" i="2" a="1"/>
  <c r="T97" i="2" s="1"/>
  <c r="V97" i="2" s="1"/>
  <c r="T71" i="2" a="1"/>
  <c r="T71" i="2" s="1"/>
  <c r="V71" i="2" s="1"/>
  <c r="T62" i="2" a="1"/>
  <c r="T62" i="2" s="1"/>
  <c r="V62" i="2" s="1"/>
  <c r="T53" i="2" a="1"/>
  <c r="T53" i="2" s="1"/>
  <c r="V53" i="2" s="1"/>
  <c r="T45" i="2" a="1"/>
  <c r="T45" i="2" s="1"/>
  <c r="V45" i="2" s="1"/>
  <c r="T37" i="2" a="1"/>
  <c r="T37" i="2" s="1"/>
  <c r="V37" i="2" s="1"/>
  <c r="T29" i="2" a="1"/>
  <c r="T29" i="2" s="1"/>
  <c r="V29" i="2" s="1"/>
  <c r="T20" i="2" a="1"/>
  <c r="T20" i="2" s="1"/>
  <c r="V20" i="2" s="1"/>
  <c r="T11" i="2" a="1"/>
  <c r="T11" i="2" s="1"/>
  <c r="V11" i="2" s="1"/>
  <c r="T123" i="2" a="1"/>
  <c r="T123" i="2" s="1"/>
  <c r="V123" i="2" s="1"/>
  <c r="T105" i="2" a="1"/>
  <c r="T105" i="2" s="1"/>
  <c r="V105" i="2" s="1"/>
  <c r="T87" i="2" a="1"/>
  <c r="T87" i="2" s="1"/>
  <c r="V87" i="2" s="1"/>
  <c r="T78" i="2" a="1"/>
  <c r="T78" i="2" s="1"/>
  <c r="V78" i="2" s="1"/>
  <c r="T70" i="2" a="1"/>
  <c r="T70" i="2" s="1"/>
  <c r="V70" i="2" s="1"/>
  <c r="T60" i="2" a="1"/>
  <c r="T60" i="2" s="1"/>
  <c r="V60" i="2" s="1"/>
  <c r="T52" i="2" a="1"/>
  <c r="T52" i="2" s="1"/>
  <c r="V52" i="2" s="1"/>
  <c r="T36" i="2" a="1"/>
  <c r="T36" i="2" s="1"/>
  <c r="V36" i="2" s="1"/>
  <c r="T28" i="2" a="1"/>
  <c r="T28" i="2" s="1"/>
  <c r="V28" i="2" s="1"/>
  <c r="T18" i="2" a="1"/>
  <c r="T18" i="2" s="1"/>
  <c r="V18" i="2" s="1"/>
  <c r="U4" i="2" l="1"/>
  <c r="V4" i="2"/>
  <c r="U125" i="2"/>
  <c r="V125" i="2"/>
  <c r="U140" i="2"/>
  <c r="V140" i="2"/>
  <c r="U144" i="2"/>
  <c r="V144" i="2"/>
  <c r="U137" i="2"/>
  <c r="V137" i="2"/>
  <c r="U141" i="2"/>
  <c r="V141" i="2"/>
  <c r="U3" i="2"/>
  <c r="V3" i="2"/>
  <c r="U124" i="2"/>
  <c r="V124" i="2"/>
  <c r="U149" i="2"/>
  <c r="V149" i="2"/>
  <c r="U114" i="2"/>
  <c r="U136" i="2"/>
  <c r="V136" i="2"/>
  <c r="U116" i="2"/>
  <c r="U69" i="2"/>
  <c r="U94" i="2"/>
  <c r="U145" i="2"/>
  <c r="U12" i="2"/>
  <c r="U22" i="2"/>
  <c r="U6" i="2"/>
  <c r="U152" i="2"/>
  <c r="U153" i="2"/>
  <c r="U110" i="2"/>
  <c r="U111" i="2"/>
  <c r="U112" i="2"/>
  <c r="U77" i="2"/>
  <c r="U104" i="2"/>
  <c r="U143" i="2"/>
  <c r="U83" i="2"/>
  <c r="U20" i="2"/>
  <c r="U118" i="2"/>
  <c r="U59" i="2"/>
  <c r="U5" i="2"/>
  <c r="U101" i="2"/>
  <c r="U68" i="2"/>
  <c r="U45" i="2"/>
  <c r="U61" i="2"/>
  <c r="U120" i="2"/>
  <c r="U53" i="2"/>
  <c r="U14" i="2"/>
  <c r="U130" i="2"/>
  <c r="U62" i="2"/>
  <c r="U23" i="2"/>
  <c r="U138" i="2"/>
  <c r="U121" i="2"/>
  <c r="U131" i="2"/>
  <c r="U106" i="2"/>
  <c r="U70" i="2"/>
  <c r="U71" i="2"/>
  <c r="U63" i="2"/>
  <c r="U64" i="2"/>
  <c r="U55" i="2"/>
  <c r="U32" i="2"/>
  <c r="U33" i="2"/>
  <c r="U16" i="2"/>
  <c r="U96" i="2"/>
  <c r="U147" i="2"/>
  <c r="U139" i="2"/>
  <c r="U19" i="2"/>
  <c r="U134" i="2"/>
  <c r="U11" i="2"/>
  <c r="U109" i="2"/>
  <c r="U50" i="2"/>
  <c r="U151" i="2"/>
  <c r="U76" i="2"/>
  <c r="U29" i="2"/>
  <c r="U126" i="2"/>
  <c r="U95" i="2"/>
  <c r="U36" i="2"/>
  <c r="U31" i="2"/>
  <c r="U129" i="2"/>
  <c r="U154" i="2"/>
  <c r="U40" i="2"/>
  <c r="U146" i="2"/>
  <c r="U60" i="2"/>
  <c r="U47" i="2"/>
  <c r="U79" i="2"/>
  <c r="U80" i="2"/>
  <c r="U56" i="2"/>
  <c r="U8" i="2"/>
  <c r="U87" i="2"/>
  <c r="U81" i="2"/>
  <c r="U65" i="2"/>
  <c r="U48" i="2"/>
  <c r="U34" i="2"/>
  <c r="U25" i="2"/>
  <c r="U17" i="2"/>
  <c r="U27" i="2"/>
  <c r="U135" i="2"/>
  <c r="U66" i="2"/>
  <c r="U142" i="2"/>
  <c r="U127" i="2"/>
  <c r="U86" i="2"/>
  <c r="U13" i="2"/>
  <c r="U93" i="2"/>
  <c r="U28" i="2"/>
  <c r="U21" i="2"/>
  <c r="U44" i="2"/>
  <c r="U85" i="2"/>
  <c r="U52" i="2"/>
  <c r="U39" i="2"/>
  <c r="U128" i="2"/>
  <c r="U122" i="2"/>
  <c r="U54" i="2"/>
  <c r="U148" i="2"/>
  <c r="U97" i="2"/>
  <c r="U73" i="2"/>
  <c r="U24" i="2"/>
  <c r="U10" i="2"/>
  <c r="U89" i="2"/>
  <c r="U105" i="2"/>
  <c r="U133" i="2"/>
  <c r="U98" i="2"/>
  <c r="U99" i="2"/>
  <c r="U90" i="2"/>
  <c r="U74" i="2"/>
  <c r="U57" i="2"/>
  <c r="U49" i="2"/>
  <c r="U42" i="2"/>
  <c r="U26" i="2"/>
  <c r="U43" i="2"/>
  <c r="U108" i="2"/>
  <c r="U84" i="2"/>
  <c r="U88" i="2"/>
  <c r="U92" i="2"/>
  <c r="U18" i="2"/>
  <c r="U132" i="2"/>
  <c r="U102" i="2"/>
  <c r="U37" i="2"/>
  <c r="U30" i="2"/>
  <c r="U119" i="2"/>
  <c r="U113" i="2"/>
  <c r="U38" i="2"/>
  <c r="U7" i="2"/>
  <c r="U103" i="2"/>
  <c r="U46" i="2"/>
  <c r="U15" i="2"/>
  <c r="U78" i="2"/>
  <c r="U72" i="2"/>
  <c r="U41" i="2"/>
  <c r="U9" i="2"/>
  <c r="U115" i="2"/>
  <c r="U82" i="2"/>
  <c r="U123" i="2"/>
  <c r="U150" i="2"/>
  <c r="U107" i="2"/>
  <c r="U117" i="2"/>
  <c r="U100" i="2"/>
  <c r="U91" i="2"/>
  <c r="U75" i="2"/>
  <c r="U58" i="2"/>
  <c r="U67" i="2"/>
  <c r="U35" i="2"/>
  <c r="U5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<sst xmlns="http://schemas.openxmlformats.org/spreadsheetml/2006/main" count="47" uniqueCount="21">
  <si>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</si>
  <si>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</si>
  <si>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</si>
  <si>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</si>
  <si>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</si>
  <si>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</si>
  <si>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</si>
  <si>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</si>
  <si>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</si>
  <si>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NORMALISASI</t>
  </si>
  <si>
    <t>HASILNYAAA</t>
  </si>
  <si>
    <t>PREDICTED</t>
  </si>
  <si>
    <t>CM</t>
  </si>
  <si>
    <t>TP=</t>
  </si>
  <si>
    <t>TN=</t>
  </si>
  <si>
    <t>FP=</t>
  </si>
  <si>
    <t>FN=</t>
  </si>
  <si>
    <t>ACCURACY</t>
  </si>
  <si>
    <t>PRECISSION</t>
  </si>
  <si>
    <t>RECAL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</si>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</sst>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16" fillId="0" borderId="11" xfId="0" applyFont="1" applyBorder="1" applyAlignment="1">
      <alignment horizontal="left" vertical="center"/>
    </xf>
    <xf numFmtId="0" fontId="0" fillId="0" borderId="12" xfId="0" applyFont="1" applyBorder="1" applyAlignment="1">
      <alignment horizontal="center" vertical="center"/>
    </xf>
    <xf numFmtId="0" fontId="0" fillId="33" borderId="10" xfId="0" applyFill="1" applyBorder="1"/>
    <xf numFmtId="10" fontId="0" fillId="33" borderId="10" xfId="0" applyNumberFormat="1" applyFill="1" applyBorder="1"/>
    <xf numFmtId="0" fontId="0" fillId="33" borderId="10" xfId="0" applyFont="1" applyFill="1" applyBorder="1" applyAlignment="1">
      <alignment vertical="center"/>
    </xf>
    <xf numFmtId="0" fontId="0" fillId="33" borderId="10" xfId="0" applyFont="1" applyFill="1" applyBorder="1"/>
    <xf numFmtId="0" fontId="18" fillId="0" borderId="0" xfId="0" applyFont="1" applyAlignment="1">
      <alignment horizontal="center" vertical="top" textRotation="90"/>
    </xf>
    <xf numFmtId="0" fontId="19" fillId="0" borderId="0" xfId="0" applyFont="1" applyAlignment="1">
      <alignment horizontal="center" vertical="top" textRotation="9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9"/>
  <sheetViews>
    <sheetView topLeftCell="A767" workbookViewId="0">
      <selection activeCell="A155" sqref="A155:I769"/>
    </sheetView>
  </sheetViews>
  <sheetFormatPr defaultRowHeight="14.4" x14ac:dyDescent="0.3"/>
  <cols>
    <col min="1" max="1" width="10.6640625" bestFit="1" customWidth="1"/>
    <col min="2" max="2" width="7.44140625" bestFit="1" customWidth="1"/>
    <col min="3" max="3" width="12.6640625" bestFit="1" customWidth="1"/>
    <col min="4" max="4" width="12" bestFit="1" customWidth="1"/>
    <col min="7" max="7" width="22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54"/>
  <sheetViews>
    <sheetView tabSelected="1" topLeftCell="L1" zoomScale="94" workbookViewId="0">
      <selection activeCell="R15" sqref="R15"/>
    </sheetView>
  </sheetViews>
  <sheetFormatPr defaultRowHeight="14.4" x14ac:dyDescent="0.3"/>
  <cols>
    <col min="1" max="1" width="11.21875" bestFit="1" customWidth="1"/>
    <col min="3" max="3" width="13.5546875" bestFit="1" customWidth="1"/>
    <col min="4" max="4" width="13" bestFit="1" customWidth="1"/>
    <col min="7" max="7" width="23.77734375" bestFit="1" customWidth="1"/>
    <col min="11" max="11" width="13.33203125" bestFit="1" customWidth="1"/>
    <col min="12" max="12" width="12.6640625" bestFit="1" customWidth="1"/>
    <col min="13" max="13" width="15.33203125" bestFit="1" customWidth="1"/>
    <col min="14" max="14" width="14.88671875" bestFit="1" customWidth="1"/>
    <col min="15" max="16" width="12.6640625" bestFit="1" customWidth="1"/>
    <col min="17" max="17" width="25.44140625" bestFit="1" customWidth="1"/>
    <col min="18" max="18" width="12.6640625" bestFit="1" customWidth="1"/>
    <col min="20" max="20" width="10.33203125" style="3" bestFit="1" customWidth="1"/>
    <col min="22" max="22" width="8.88671875" style="7"/>
    <col min="25" max="25" width="12.44140625" customWidth="1"/>
  </cols>
  <sheetData>
    <row r="1" spans="1:30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3" t="s">
        <v>10</v>
      </c>
      <c r="T1" s="2" t="s">
        <v>11</v>
      </c>
      <c r="V1" s="6" t="s">
        <v>12</v>
      </c>
      <c r="W1" s="4"/>
      <c r="X1" s="4"/>
      <c r="Y1" s="4"/>
      <c r="Z1" s="4"/>
      <c r="AA1" s="4"/>
      <c r="AB1" s="4"/>
      <c r="AC1" s="4"/>
      <c r="AD1" s="4"/>
    </row>
    <row r="2" spans="1:30" ht="14.4" customHeight="1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  <c r="J2" s="12"/>
      <c r="K2">
        <f>(A2-0)/(17-0)</f>
        <v>0.35294117647058826</v>
      </c>
      <c r="L2">
        <f>(B2-0)/(199-0)</f>
        <v>0.74371859296482412</v>
      </c>
      <c r="M2">
        <f>(C2-0)/(122-0)</f>
        <v>0.5901639344262295</v>
      </c>
      <c r="N2">
        <f>(D2-0)/(99-0)</f>
        <v>0.35353535353535354</v>
      </c>
      <c r="O2">
        <f>(E2-0)/(846-0)</f>
        <v>0</v>
      </c>
      <c r="P2">
        <f>(F2-0)/(67.1-0)</f>
        <v>0.50074515648286144</v>
      </c>
      <c r="Q2">
        <f>(G2-0.078)/(2.42-0.078)</f>
        <v>0.23441502988898377</v>
      </c>
      <c r="R2">
        <f>(H2-21)/(81-21)</f>
        <v>0.48333333333333334</v>
      </c>
      <c r="S2" s="13"/>
      <c r="T2" s="3" cm="1">
        <f t="array" ref="T2">_xlfn.LET(
    _xlpm.dist, SQRT(MMULT((Training!$K$2:$R$616 - K2:R2)^2, _xlfn.SEQUENCE(8,1,1,0))),
    _xlpm.sorted, _xlfn.SORTBY(Training!$I$2:$I$616, _xlpm.dist, 1),
    _xlfn.MODE.SNGL(INDEX(_xlpm.sorted, {1,2,3}))
)</f>
        <v>1</v>
      </c>
      <c r="U2" t="str">
        <f>IF(T2=I2, "COCOK", "TIDAK")</f>
        <v>COCOK</v>
      </c>
      <c r="V2" s="7" t="str">
        <f>IF(AND(T2=1,I2=1),"TP",IF(AND(T2=0,I2=0),"TN",IF(AND(T2=1,I2=0),"FP","FN")))</f>
        <v>TP</v>
      </c>
      <c r="W2" s="5"/>
      <c r="X2" s="5"/>
      <c r="Y2" s="5"/>
      <c r="Z2" s="4"/>
      <c r="AA2" s="4"/>
      <c r="AB2" s="4"/>
      <c r="AC2" s="4"/>
      <c r="AD2" s="4"/>
    </row>
    <row r="3" spans="1:30" ht="14.4" customHeight="1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  <c r="J3" s="12"/>
      <c r="K3">
        <f t="shared" ref="K3:K66" si="0">(A3-0)/(17-0)</f>
        <v>5.8823529411764705E-2</v>
      </c>
      <c r="L3">
        <f t="shared" ref="L3:L66" si="1">(B3-0)/(199-0)</f>
        <v>0.42713567839195982</v>
      </c>
      <c r="M3">
        <f t="shared" ref="M3:M66" si="2">(C3-0)/(122-0)</f>
        <v>0.54098360655737709</v>
      </c>
      <c r="N3">
        <f t="shared" ref="N3:N66" si="3">(D3-0)/(99-0)</f>
        <v>0.29292929292929293</v>
      </c>
      <c r="O3">
        <f t="shared" ref="O3:O66" si="4">(E3-0)/(846-0)</f>
        <v>0</v>
      </c>
      <c r="P3">
        <f t="shared" ref="P3:P66" si="5">(F3-0)/(67.1-0)</f>
        <v>0.39642324888226532</v>
      </c>
      <c r="Q3">
        <f t="shared" ref="Q3:Q66" si="6">(G3-0.078)/(2.42-0.078)</f>
        <v>0.11656703672075147</v>
      </c>
      <c r="R3">
        <f t="shared" ref="R3:R66" si="7">(H3-21)/(81-21)</f>
        <v>0.16666666666666666</v>
      </c>
      <c r="S3" s="13"/>
      <c r="T3" s="3" cm="1">
        <f t="array" ref="T3">_xlfn.LET(
    _xlpm.dist, SQRT(MMULT((Training!$K$2:$R$616 - K3:R3)^2, _xlfn.SEQUENCE(8,1,1,0))),
    _xlpm.sorted, _xlfn.SORTBY(Training!$I$2:$I$616, _xlpm.dist, 1),
    _xlfn.MODE.SNGL(INDEX(_xlpm.sorted, {1,2,3}))
)</f>
        <v>0</v>
      </c>
      <c r="U3" t="str">
        <f t="shared" ref="U3:U66" si="8">IF(T3=I3, "COCOK", "TIDAK")</f>
        <v>COCOK</v>
      </c>
      <c r="V3" s="7" t="str">
        <f t="shared" ref="V3:V66" si="9">IF(AND(T3=1,I3=1),"TP",IF(AND(T3=0,I3=0),"TN",IF(AND(T3=1,I3=0),"FP","FN")))</f>
        <v>TN</v>
      </c>
      <c r="W3" s="5"/>
      <c r="X3" s="5"/>
      <c r="Y3" s="10" t="s">
        <v>13</v>
      </c>
      <c r="Z3" s="11">
        <v>32</v>
      </c>
      <c r="AA3" s="4"/>
      <c r="AB3" s="4"/>
      <c r="AC3" s="4"/>
      <c r="AD3" s="4"/>
    </row>
    <row r="4" spans="1:30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  <c r="J4" s="12"/>
      <c r="K4">
        <f t="shared" si="0"/>
        <v>0.47058823529411764</v>
      </c>
      <c r="L4">
        <f t="shared" si="1"/>
        <v>0.91959798994974873</v>
      </c>
      <c r="M4">
        <f t="shared" si="2"/>
        <v>0.52459016393442626</v>
      </c>
      <c r="N4">
        <f t="shared" si="3"/>
        <v>0</v>
      </c>
      <c r="O4">
        <f t="shared" si="4"/>
        <v>0</v>
      </c>
      <c r="P4">
        <f t="shared" si="5"/>
        <v>0.34724292101341286</v>
      </c>
      <c r="Q4">
        <f t="shared" si="6"/>
        <v>0.25362937660119561</v>
      </c>
      <c r="R4">
        <f t="shared" si="7"/>
        <v>0.18333333333333332</v>
      </c>
      <c r="S4" s="13"/>
      <c r="T4" s="3" cm="1">
        <f t="array" ref="T4">_xlfn.LET(
    _xlpm.dist, SQRT(MMULT((Training!$K$2:$R$616 - K4:R4)^2, _xlfn.SEQUENCE(8,1,1,0))),
    _xlpm.sorted, _xlfn.SORTBY(Training!$I$2:$I$616, _xlpm.dist, 1),
    _xlfn.MODE.SNGL(INDEX(_xlpm.sorted, {1,2,3}))
)</f>
        <v>1</v>
      </c>
      <c r="U4" t="str">
        <f t="shared" si="8"/>
        <v>COCOK</v>
      </c>
      <c r="V4" s="7" t="str">
        <f t="shared" si="9"/>
        <v>TP</v>
      </c>
      <c r="W4" s="4"/>
      <c r="X4" s="4"/>
      <c r="Y4" s="11" t="s">
        <v>14</v>
      </c>
      <c r="Z4" s="11">
        <v>84</v>
      </c>
      <c r="AA4" s="4"/>
      <c r="AB4" s="4"/>
      <c r="AC4" s="4"/>
      <c r="AD4" s="4"/>
    </row>
    <row r="5" spans="1:30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  <c r="J5" s="12"/>
      <c r="K5">
        <f t="shared" si="0"/>
        <v>5.8823529411764705E-2</v>
      </c>
      <c r="L5">
        <f t="shared" si="1"/>
        <v>0.44723618090452261</v>
      </c>
      <c r="M5">
        <f t="shared" si="2"/>
        <v>0.54098360655737709</v>
      </c>
      <c r="N5">
        <f t="shared" si="3"/>
        <v>0.23232323232323232</v>
      </c>
      <c r="O5">
        <f t="shared" si="4"/>
        <v>0.1111111111111111</v>
      </c>
      <c r="P5">
        <f t="shared" si="5"/>
        <v>0.41877794336810736</v>
      </c>
      <c r="Q5">
        <f t="shared" si="6"/>
        <v>3.8001707941929974E-2</v>
      </c>
      <c r="R5">
        <f t="shared" si="7"/>
        <v>0</v>
      </c>
      <c r="S5" s="13"/>
      <c r="T5" s="3" cm="1">
        <f t="array" ref="T5">_xlfn.LET(
    _xlpm.dist, SQRT(MMULT((Training!$K$2:$R$616 - K5:R5)^2, _xlfn.SEQUENCE(8,1,1,0))),
    _xlpm.sorted, _xlfn.SORTBY(Training!$I$2:$I$616, _xlpm.dist, 1),
    _xlfn.MODE.SNGL(INDEX(_xlpm.sorted, {1,2,3}))
)</f>
        <v>0</v>
      </c>
      <c r="U5" t="str">
        <f t="shared" si="8"/>
        <v>COCOK</v>
      </c>
      <c r="V5" s="7" t="str">
        <f t="shared" si="9"/>
        <v>TN</v>
      </c>
      <c r="Y5" s="8" t="s">
        <v>15</v>
      </c>
      <c r="Z5" s="8">
        <v>15</v>
      </c>
    </row>
    <row r="6" spans="1:30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  <c r="J6" s="12"/>
      <c r="K6">
        <f t="shared" si="0"/>
        <v>0</v>
      </c>
      <c r="L6">
        <f t="shared" si="1"/>
        <v>0.68844221105527637</v>
      </c>
      <c r="M6">
        <f t="shared" si="2"/>
        <v>0.32786885245901637</v>
      </c>
      <c r="N6">
        <f t="shared" si="3"/>
        <v>0.35353535353535354</v>
      </c>
      <c r="O6">
        <f t="shared" si="4"/>
        <v>0.19858156028368795</v>
      </c>
      <c r="P6">
        <f t="shared" si="5"/>
        <v>0.64232488822652767</v>
      </c>
      <c r="Q6">
        <f t="shared" si="6"/>
        <v>0.94363791631084537</v>
      </c>
      <c r="R6">
        <f t="shared" si="7"/>
        <v>0.2</v>
      </c>
      <c r="S6" s="13"/>
      <c r="T6" s="3" cm="1">
        <f t="array" ref="T6">_xlfn.LET(
    _xlpm.dist, SQRT(MMULT((Training!$K$2:$R$616 - K6:R6)^2, _xlfn.SEQUENCE(8,1,1,0))),
    _xlpm.sorted, _xlfn.SORTBY(Training!$I$2:$I$616, _xlpm.dist, 1),
    _xlfn.MODE.SNGL(INDEX(_xlpm.sorted, {1,2,3}))
)</f>
        <v>0</v>
      </c>
      <c r="U6" t="str">
        <f t="shared" si="8"/>
        <v>TIDAK</v>
      </c>
      <c r="V6" s="7" t="str">
        <f t="shared" si="9"/>
        <v>FN</v>
      </c>
      <c r="Y6" s="8" t="s">
        <v>16</v>
      </c>
      <c r="Z6" s="8">
        <v>22</v>
      </c>
    </row>
    <row r="7" spans="1:30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  <c r="J7" s="12"/>
      <c r="K7">
        <f t="shared" si="0"/>
        <v>0.29411764705882354</v>
      </c>
      <c r="L7">
        <f t="shared" si="1"/>
        <v>0.58291457286432158</v>
      </c>
      <c r="M7">
        <f t="shared" si="2"/>
        <v>0.60655737704918034</v>
      </c>
      <c r="N7">
        <f t="shared" si="3"/>
        <v>0</v>
      </c>
      <c r="O7">
        <f t="shared" si="4"/>
        <v>0</v>
      </c>
      <c r="P7">
        <f t="shared" si="5"/>
        <v>0.38152011922503731</v>
      </c>
      <c r="Q7">
        <f t="shared" si="6"/>
        <v>5.2519214346712216E-2</v>
      </c>
      <c r="R7">
        <f t="shared" si="7"/>
        <v>0.15</v>
      </c>
      <c r="S7" s="13"/>
      <c r="T7" s="3" cm="1">
        <f t="array" ref="T7">_xlfn.LET(
    _xlpm.dist, SQRT(MMULT((Training!$K$2:$R$616 - K7:R7)^2, _xlfn.SEQUENCE(8,1,1,0))),
    _xlpm.sorted, _xlfn.SORTBY(Training!$I$2:$I$616, _xlpm.dist, 1),
    _xlfn.MODE.SNGL(INDEX(_xlpm.sorted, {1,2,3}))
)</f>
        <v>0</v>
      </c>
      <c r="U7" t="str">
        <f t="shared" si="8"/>
        <v>COCOK</v>
      </c>
      <c r="V7" s="7" t="str">
        <f t="shared" si="9"/>
        <v>TN</v>
      </c>
      <c r="Z7">
        <f>Z3+Z4+Z5+Z6</f>
        <v>153</v>
      </c>
    </row>
    <row r="8" spans="1:30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  <c r="J8" s="12"/>
      <c r="K8">
        <f t="shared" si="0"/>
        <v>0.17647058823529413</v>
      </c>
      <c r="L8">
        <f t="shared" si="1"/>
        <v>0.39195979899497485</v>
      </c>
      <c r="M8">
        <f t="shared" si="2"/>
        <v>0.4098360655737705</v>
      </c>
      <c r="N8">
        <f t="shared" si="3"/>
        <v>0.32323232323232326</v>
      </c>
      <c r="O8">
        <f t="shared" si="4"/>
        <v>0.10401891252955082</v>
      </c>
      <c r="P8">
        <f t="shared" si="5"/>
        <v>0.46199701937406862</v>
      </c>
      <c r="Q8">
        <f t="shared" si="6"/>
        <v>7.2587532023911175E-2</v>
      </c>
      <c r="R8">
        <f t="shared" si="7"/>
        <v>8.3333333333333329E-2</v>
      </c>
      <c r="S8" s="13"/>
      <c r="T8" s="3" cm="1">
        <f t="array" ref="T8">_xlfn.LET(
    _xlpm.dist, SQRT(MMULT((Training!$K$2:$R$616 - K8:R8)^2, _xlfn.SEQUENCE(8,1,1,0))),
    _xlpm.sorted, _xlfn.SORTBY(Training!$I$2:$I$616, _xlpm.dist, 1),
    _xlfn.MODE.SNGL(INDEX(_xlpm.sorted, {1,2,3}))
)</f>
        <v>0</v>
      </c>
      <c r="U8" t="str">
        <f t="shared" si="8"/>
        <v>TIDAK</v>
      </c>
      <c r="V8" s="7" t="str">
        <f t="shared" si="9"/>
        <v>FN</v>
      </c>
    </row>
    <row r="9" spans="1:30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  <c r="J9" s="12"/>
      <c r="K9">
        <f t="shared" si="0"/>
        <v>0.58823529411764708</v>
      </c>
      <c r="L9">
        <f t="shared" si="1"/>
        <v>0.57788944723618085</v>
      </c>
      <c r="M9">
        <f t="shared" si="2"/>
        <v>0</v>
      </c>
      <c r="N9">
        <f t="shared" si="3"/>
        <v>0</v>
      </c>
      <c r="O9">
        <f t="shared" si="4"/>
        <v>0</v>
      </c>
      <c r="P9">
        <f t="shared" si="5"/>
        <v>0.52608047690014903</v>
      </c>
      <c r="Q9">
        <f t="shared" si="6"/>
        <v>2.3911187019641334E-2</v>
      </c>
      <c r="R9">
        <f t="shared" si="7"/>
        <v>0.13333333333333333</v>
      </c>
      <c r="S9" s="13"/>
      <c r="T9" s="3" cm="1">
        <f t="array" ref="T9">_xlfn.LET(
    _xlpm.dist, SQRT(MMULT((Training!$K$2:$R$616 - K9:R9)^2, _xlfn.SEQUENCE(8,1,1,0))),
    _xlpm.sorted, _xlfn.SORTBY(Training!$I$2:$I$616, _xlpm.dist, 1),
    _xlfn.MODE.SNGL(INDEX(_xlpm.sorted, {1,2,3}))
)</f>
        <v>0</v>
      </c>
      <c r="U9" t="str">
        <f t="shared" si="8"/>
        <v>COCOK</v>
      </c>
      <c r="V9" s="7" t="str">
        <f t="shared" si="9"/>
        <v>TN</v>
      </c>
      <c r="Y9" s="8" t="s">
        <v>17</v>
      </c>
      <c r="Z9" s="9">
        <f>((Z3+Z4)/(Z3+Z4+Z5+Z6))</f>
        <v>0.75816993464052285</v>
      </c>
    </row>
    <row r="10" spans="1:30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  <c r="J10" s="12"/>
      <c r="K10">
        <f t="shared" si="0"/>
        <v>0.11764705882352941</v>
      </c>
      <c r="L10">
        <f t="shared" si="1"/>
        <v>0.98994974874371855</v>
      </c>
      <c r="M10">
        <f t="shared" si="2"/>
        <v>0.57377049180327866</v>
      </c>
      <c r="N10">
        <f t="shared" si="3"/>
        <v>0.45454545454545453</v>
      </c>
      <c r="O10">
        <f t="shared" si="4"/>
        <v>0.64184397163120566</v>
      </c>
      <c r="P10">
        <f t="shared" si="5"/>
        <v>0.45454545454545459</v>
      </c>
      <c r="Q10">
        <f t="shared" si="6"/>
        <v>3.4158838599487616E-2</v>
      </c>
      <c r="R10">
        <f t="shared" si="7"/>
        <v>0.53333333333333333</v>
      </c>
      <c r="S10" s="13"/>
      <c r="T10" s="3" cm="1">
        <f t="array" ref="T10">_xlfn.LET(
    _xlpm.dist, SQRT(MMULT((Training!$K$2:$R$616 - K10:R10)^2, _xlfn.SEQUENCE(8,1,1,0))),
    _xlpm.sorted, _xlfn.SORTBY(Training!$I$2:$I$616, _xlpm.dist, 1),
    _xlfn.MODE.SNGL(INDEX(_xlpm.sorted, {1,2,3}))
)</f>
        <v>1</v>
      </c>
      <c r="U10" t="str">
        <f t="shared" si="8"/>
        <v>COCOK</v>
      </c>
      <c r="V10" s="7" t="str">
        <f t="shared" si="9"/>
        <v>TP</v>
      </c>
      <c r="Y10" s="8" t="s">
        <v>18</v>
      </c>
      <c r="Z10" s="9">
        <f>(Z3/(Z3+Z5))</f>
        <v>0.68085106382978722</v>
      </c>
    </row>
    <row r="11" spans="1:30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  <c r="J11" s="12"/>
      <c r="K11">
        <f t="shared" si="0"/>
        <v>0.47058823529411764</v>
      </c>
      <c r="L11">
        <f t="shared" si="1"/>
        <v>0.62814070351758799</v>
      </c>
      <c r="M11">
        <f t="shared" si="2"/>
        <v>0.78688524590163933</v>
      </c>
      <c r="N11">
        <f t="shared" si="3"/>
        <v>0</v>
      </c>
      <c r="O11">
        <f t="shared" si="4"/>
        <v>0</v>
      </c>
      <c r="P11">
        <f t="shared" si="5"/>
        <v>0</v>
      </c>
      <c r="Q11">
        <f t="shared" si="6"/>
        <v>6.575576430401367E-2</v>
      </c>
      <c r="R11">
        <f t="shared" si="7"/>
        <v>0.55000000000000004</v>
      </c>
      <c r="S11" s="13"/>
      <c r="T11" s="3" cm="1">
        <f t="array" ref="T11">_xlfn.LET(
    _xlpm.dist, SQRT(MMULT((Training!$K$2:$R$616 - K11:R11)^2, _xlfn.SEQUENCE(8,1,1,0))),
    _xlpm.sorted, _xlfn.SORTBY(Training!$I$2:$I$616, _xlpm.dist, 1),
    _xlfn.MODE.SNGL(INDEX(_xlpm.sorted, {1,2,3}))
)</f>
        <v>0</v>
      </c>
      <c r="U11" t="str">
        <f t="shared" si="8"/>
        <v>TIDAK</v>
      </c>
      <c r="V11" s="7" t="str">
        <f t="shared" si="9"/>
        <v>FN</v>
      </c>
      <c r="Y11" s="8" t="s">
        <v>19</v>
      </c>
      <c r="Z11" s="9">
        <f>(Z3/(Z3+Z6))</f>
        <v>0.59259259259259256</v>
      </c>
    </row>
    <row r="12" spans="1:30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  <c r="J12" s="12"/>
      <c r="K12">
        <f t="shared" si="0"/>
        <v>0.23529411764705882</v>
      </c>
      <c r="L12">
        <f t="shared" si="1"/>
        <v>0.55276381909547734</v>
      </c>
      <c r="M12">
        <f t="shared" si="2"/>
        <v>0.75409836065573765</v>
      </c>
      <c r="N12">
        <f t="shared" si="3"/>
        <v>0</v>
      </c>
      <c r="O12">
        <f t="shared" si="4"/>
        <v>0</v>
      </c>
      <c r="P12">
        <f t="shared" si="5"/>
        <v>0.56035767511177359</v>
      </c>
      <c r="Q12">
        <f t="shared" si="6"/>
        <v>4.824935952177626E-2</v>
      </c>
      <c r="R12">
        <f t="shared" si="7"/>
        <v>0.15</v>
      </c>
      <c r="S12" s="13"/>
      <c r="T12" s="3" cm="1">
        <f t="array" ref="T12">_xlfn.LET(
    _xlpm.dist, SQRT(MMULT((Training!$K$2:$R$616 - K12:R12)^2, _xlfn.SEQUENCE(8,1,1,0))),
    _xlpm.sorted, _xlfn.SORTBY(Training!$I$2:$I$616, _xlpm.dist, 1),
    _xlfn.MODE.SNGL(INDEX(_xlpm.sorted, {1,2,3}))
)</f>
        <v>0</v>
      </c>
      <c r="U12" t="str">
        <f t="shared" si="8"/>
        <v>COCOK</v>
      </c>
      <c r="V12" s="7" t="str">
        <f t="shared" si="9"/>
        <v>TN</v>
      </c>
      <c r="Y12" s="8" t="s">
        <v>20</v>
      </c>
      <c r="Z12" s="9">
        <f>(2*(Z10*Z11)/(Z10+Z11))</f>
        <v>0.63366336633663356</v>
      </c>
    </row>
    <row r="13" spans="1:30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  <c r="J13" s="12"/>
      <c r="K13">
        <f t="shared" si="0"/>
        <v>0.58823529411764708</v>
      </c>
      <c r="L13">
        <f t="shared" si="1"/>
        <v>0.84422110552763818</v>
      </c>
      <c r="M13">
        <f t="shared" si="2"/>
        <v>0.60655737704918034</v>
      </c>
      <c r="N13">
        <f t="shared" si="3"/>
        <v>0</v>
      </c>
      <c r="O13">
        <f t="shared" si="4"/>
        <v>0</v>
      </c>
      <c r="P13">
        <f t="shared" si="5"/>
        <v>0.56631892697466468</v>
      </c>
      <c r="Q13">
        <f t="shared" si="6"/>
        <v>0.19598633646456021</v>
      </c>
      <c r="R13">
        <f t="shared" si="7"/>
        <v>0.21666666666666667</v>
      </c>
      <c r="S13" s="13"/>
      <c r="T13" s="3" cm="1">
        <f t="array" ref="T13">_xlfn.LET(
    _xlpm.dist, SQRT(MMULT((Training!$K$2:$R$616 - K13:R13)^2, _xlfn.SEQUENCE(8,1,1,0))),
    _xlpm.sorted, _xlfn.SORTBY(Training!$I$2:$I$616, _xlpm.dist, 1),
    _xlfn.MODE.SNGL(INDEX(_xlpm.sorted, {1,2,3}))
)</f>
        <v>1</v>
      </c>
      <c r="U13" t="str">
        <f t="shared" si="8"/>
        <v>COCOK</v>
      </c>
      <c r="V13" s="7" t="str">
        <f t="shared" si="9"/>
        <v>TP</v>
      </c>
    </row>
    <row r="14" spans="1:30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  <c r="J14" s="12"/>
      <c r="K14">
        <f t="shared" si="0"/>
        <v>0.58823529411764708</v>
      </c>
      <c r="L14">
        <f t="shared" si="1"/>
        <v>0.69849246231155782</v>
      </c>
      <c r="M14">
        <f t="shared" si="2"/>
        <v>0.65573770491803274</v>
      </c>
      <c r="N14">
        <f t="shared" si="3"/>
        <v>0</v>
      </c>
      <c r="O14">
        <f t="shared" si="4"/>
        <v>0</v>
      </c>
      <c r="P14">
        <f t="shared" si="5"/>
        <v>0.40387481371087935</v>
      </c>
      <c r="Q14">
        <f t="shared" si="6"/>
        <v>0.58198121263877023</v>
      </c>
      <c r="R14">
        <f t="shared" si="7"/>
        <v>0.6</v>
      </c>
      <c r="S14" s="13"/>
      <c r="T14" s="3" cm="1">
        <f t="array" ref="T14">_xlfn.LET(
    _xlpm.dist, SQRT(MMULT((Training!$K$2:$R$616 - K14:R14)^2, _xlfn.SEQUENCE(8,1,1,0))),
    _xlpm.sorted, _xlfn.SORTBY(Training!$I$2:$I$616, _xlpm.dist, 1),
    _xlfn.MODE.SNGL(INDEX(_xlpm.sorted, {1,2,3}))
)</f>
        <v>0</v>
      </c>
      <c r="U14" t="str">
        <f t="shared" si="8"/>
        <v>COCOK</v>
      </c>
      <c r="V14" s="7" t="str">
        <f t="shared" si="9"/>
        <v>TN</v>
      </c>
    </row>
    <row r="15" spans="1:30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  <c r="J15" s="12"/>
      <c r="K15">
        <f t="shared" si="0"/>
        <v>5.8823529411764705E-2</v>
      </c>
      <c r="L15">
        <f t="shared" si="1"/>
        <v>0.94974874371859297</v>
      </c>
      <c r="M15">
        <f t="shared" si="2"/>
        <v>0.49180327868852458</v>
      </c>
      <c r="N15">
        <f t="shared" si="3"/>
        <v>0.23232323232323232</v>
      </c>
      <c r="O15">
        <f t="shared" si="4"/>
        <v>1</v>
      </c>
      <c r="P15">
        <f t="shared" si="5"/>
        <v>0.44858420268256338</v>
      </c>
      <c r="Q15">
        <f t="shared" si="6"/>
        <v>0.13663535439795046</v>
      </c>
      <c r="R15">
        <f t="shared" si="7"/>
        <v>0.6333333333333333</v>
      </c>
      <c r="S15" s="13"/>
      <c r="T15" s="3" cm="1">
        <f t="array" ref="T15">_xlfn.LET(
    _xlpm.dist, SQRT(MMULT((Training!$K$2:$R$616 - K15:R15)^2, _xlfn.SEQUENCE(8,1,1,0))),
    _xlpm.sorted, _xlfn.SORTBY(Training!$I$2:$I$616, _xlpm.dist, 1),
    _xlfn.MODE.SNGL(INDEX(_xlpm.sorted, {1,2,3}))
)</f>
        <v>1</v>
      </c>
      <c r="U15" t="str">
        <f t="shared" si="8"/>
        <v>COCOK</v>
      </c>
      <c r="V15" s="7" t="str">
        <f t="shared" si="9"/>
        <v>TP</v>
      </c>
    </row>
    <row r="16" spans="1:30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  <c r="J16" s="12"/>
      <c r="K16">
        <f t="shared" si="0"/>
        <v>0.29411764705882354</v>
      </c>
      <c r="L16">
        <f t="shared" si="1"/>
        <v>0.83417085427135673</v>
      </c>
      <c r="M16">
        <f t="shared" si="2"/>
        <v>0.5901639344262295</v>
      </c>
      <c r="N16">
        <f t="shared" si="3"/>
        <v>0.19191919191919191</v>
      </c>
      <c r="O16">
        <f t="shared" si="4"/>
        <v>0.20685579196217493</v>
      </c>
      <c r="P16">
        <f t="shared" si="5"/>
        <v>0.38450074515648291</v>
      </c>
      <c r="Q16">
        <f t="shared" si="6"/>
        <v>0.21733561058923997</v>
      </c>
      <c r="R16">
        <f t="shared" si="7"/>
        <v>0.5</v>
      </c>
      <c r="S16" s="13"/>
      <c r="T16" s="3" cm="1">
        <f t="array" ref="T16">_xlfn.LET(
    _xlpm.dist, SQRT(MMULT((Training!$K$2:$R$616 - K16:R16)^2, _xlfn.SEQUENCE(8,1,1,0))),
    _xlpm.sorted, _xlfn.SORTBY(Training!$I$2:$I$616, _xlpm.dist, 1),
    _xlfn.MODE.SNGL(INDEX(_xlpm.sorted, {1,2,3}))
)</f>
        <v>0</v>
      </c>
      <c r="U16" t="str">
        <f t="shared" si="8"/>
        <v>TIDAK</v>
      </c>
      <c r="V16" s="7" t="str">
        <f t="shared" si="9"/>
        <v>FN</v>
      </c>
    </row>
    <row r="17" spans="1:22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  <c r="J17" s="12"/>
      <c r="K17">
        <f t="shared" si="0"/>
        <v>0.41176470588235292</v>
      </c>
      <c r="L17">
        <f t="shared" si="1"/>
        <v>0.50251256281407031</v>
      </c>
      <c r="M17">
        <f t="shared" si="2"/>
        <v>0</v>
      </c>
      <c r="N17">
        <f t="shared" si="3"/>
        <v>0</v>
      </c>
      <c r="O17">
        <f t="shared" si="4"/>
        <v>0</v>
      </c>
      <c r="P17">
        <f t="shared" si="5"/>
        <v>0.44709388971684055</v>
      </c>
      <c r="Q17">
        <f t="shared" si="6"/>
        <v>0.17335610589239964</v>
      </c>
      <c r="R17">
        <f t="shared" si="7"/>
        <v>0.18333333333333332</v>
      </c>
      <c r="S17" s="13"/>
      <c r="T17" s="3" cm="1">
        <f t="array" ref="T17">_xlfn.LET(
    _xlpm.dist, SQRT(MMULT((Training!$K$2:$R$616 - K17:R17)^2, _xlfn.SEQUENCE(8,1,1,0))),
    _xlpm.sorted, _xlfn.SORTBY(Training!$I$2:$I$616, _xlpm.dist, 1),
    _xlfn.MODE.SNGL(INDEX(_xlpm.sorted, {1,2,3}))
)</f>
        <v>0</v>
      </c>
      <c r="U17" t="str">
        <f t="shared" si="8"/>
        <v>TIDAK</v>
      </c>
      <c r="V17" s="7" t="str">
        <f t="shared" si="9"/>
        <v>FN</v>
      </c>
    </row>
    <row r="18" spans="1:22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  <c r="J18" s="12"/>
      <c r="K18">
        <f t="shared" si="0"/>
        <v>0</v>
      </c>
      <c r="L18">
        <f t="shared" si="1"/>
        <v>0.59296482412060303</v>
      </c>
      <c r="M18">
        <f t="shared" si="2"/>
        <v>0.68852459016393441</v>
      </c>
      <c r="N18">
        <f t="shared" si="3"/>
        <v>0.47474747474747475</v>
      </c>
      <c r="O18">
        <f t="shared" si="4"/>
        <v>0.27186761229314421</v>
      </c>
      <c r="P18">
        <f t="shared" si="5"/>
        <v>0.68256333830104321</v>
      </c>
      <c r="Q18">
        <f t="shared" si="6"/>
        <v>0.20196413321947054</v>
      </c>
      <c r="R18">
        <f t="shared" si="7"/>
        <v>0.16666666666666666</v>
      </c>
      <c r="S18" s="13"/>
      <c r="T18" s="3" cm="1">
        <f t="array" ref="T18">_xlfn.LET(
    _xlpm.dist, SQRT(MMULT((Training!$K$2:$R$616 - K18:R18)^2, _xlfn.SEQUENCE(8,1,1,0))),
    _xlpm.sorted, _xlfn.SORTBY(Training!$I$2:$I$616, _xlpm.dist, 1),
    _xlfn.MODE.SNGL(INDEX(_xlpm.sorted, {1,2,3}))
)</f>
        <v>0</v>
      </c>
      <c r="U18" t="str">
        <f t="shared" si="8"/>
        <v>TIDAK</v>
      </c>
      <c r="V18" s="7" t="str">
        <f t="shared" si="9"/>
        <v>FN</v>
      </c>
    </row>
    <row r="19" spans="1:22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  <c r="J19" s="12"/>
      <c r="K19">
        <f t="shared" si="0"/>
        <v>0.41176470588235292</v>
      </c>
      <c r="L19">
        <f t="shared" si="1"/>
        <v>0.53768844221105527</v>
      </c>
      <c r="M19">
        <f t="shared" si="2"/>
        <v>0.60655737704918034</v>
      </c>
      <c r="N19">
        <f t="shared" si="3"/>
        <v>0</v>
      </c>
      <c r="O19">
        <f t="shared" si="4"/>
        <v>0</v>
      </c>
      <c r="P19">
        <f t="shared" si="5"/>
        <v>0.44113263785394941</v>
      </c>
      <c r="Q19">
        <f t="shared" si="6"/>
        <v>7.5149444918872751E-2</v>
      </c>
      <c r="R19">
        <f t="shared" si="7"/>
        <v>0.16666666666666666</v>
      </c>
      <c r="S19" s="13"/>
      <c r="T19" s="3" cm="1">
        <f t="array" ref="T19">_xlfn.LET(
    _xlpm.dist, SQRT(MMULT((Training!$K$2:$R$616 - K19:R19)^2, _xlfn.SEQUENCE(8,1,1,0))),
    _xlpm.sorted, _xlfn.SORTBY(Training!$I$2:$I$616, _xlpm.dist, 1),
    _xlfn.MODE.SNGL(INDEX(_xlpm.sorted, {1,2,3}))
)</f>
        <v>1</v>
      </c>
      <c r="U19" t="str">
        <f t="shared" si="8"/>
        <v>COCOK</v>
      </c>
      <c r="V19" s="7" t="str">
        <f t="shared" si="9"/>
        <v>TP</v>
      </c>
    </row>
    <row r="20" spans="1:22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  <c r="J20" s="12"/>
      <c r="K20">
        <f t="shared" si="0"/>
        <v>5.8823529411764705E-2</v>
      </c>
      <c r="L20">
        <f t="shared" si="1"/>
        <v>0.51758793969849248</v>
      </c>
      <c r="M20">
        <f t="shared" si="2"/>
        <v>0.24590163934426229</v>
      </c>
      <c r="N20">
        <f t="shared" si="3"/>
        <v>0.38383838383838381</v>
      </c>
      <c r="O20">
        <f t="shared" si="4"/>
        <v>9.8108747044917261E-2</v>
      </c>
      <c r="P20">
        <f t="shared" si="5"/>
        <v>0.64530551415797321</v>
      </c>
      <c r="Q20">
        <f t="shared" si="6"/>
        <v>4.4833475661827493E-2</v>
      </c>
      <c r="R20">
        <f t="shared" si="7"/>
        <v>0.2</v>
      </c>
      <c r="S20" s="13"/>
      <c r="T20" s="3" cm="1">
        <f t="array" ref="T20">_xlfn.LET(
    _xlpm.dist, SQRT(MMULT((Training!$K$2:$R$616 - K20:R20)^2, _xlfn.SEQUENCE(8,1,1,0))),
    _xlpm.sorted, _xlfn.SORTBY(Training!$I$2:$I$616, _xlpm.dist, 1),
    _xlfn.MODE.SNGL(INDEX(_xlpm.sorted, {1,2,3}))
)</f>
        <v>0</v>
      </c>
      <c r="U20" t="str">
        <f t="shared" si="8"/>
        <v>COCOK</v>
      </c>
      <c r="V20" s="7" t="str">
        <f t="shared" si="9"/>
        <v>TN</v>
      </c>
    </row>
    <row r="21" spans="1:22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  <c r="J21" s="12"/>
      <c r="K21">
        <f t="shared" si="0"/>
        <v>5.8823529411764705E-2</v>
      </c>
      <c r="L21">
        <f t="shared" si="1"/>
        <v>0.57788944723618085</v>
      </c>
      <c r="M21">
        <f t="shared" si="2"/>
        <v>0.57377049180327866</v>
      </c>
      <c r="N21">
        <f t="shared" si="3"/>
        <v>0.30303030303030304</v>
      </c>
      <c r="O21">
        <f t="shared" si="4"/>
        <v>0.11347517730496454</v>
      </c>
      <c r="P21">
        <f t="shared" si="5"/>
        <v>0.51564828614008951</v>
      </c>
      <c r="Q21">
        <f t="shared" si="6"/>
        <v>0.19257045260461145</v>
      </c>
      <c r="R21">
        <f t="shared" si="7"/>
        <v>0.18333333333333332</v>
      </c>
      <c r="S21" s="13"/>
      <c r="T21" s="3" cm="1">
        <f t="array" ref="T21">_xlfn.LET(
    _xlpm.dist, SQRT(MMULT((Training!$K$2:$R$616 - K21:R21)^2, _xlfn.SEQUENCE(8,1,1,0))),
    _xlpm.sorted, _xlfn.SORTBY(Training!$I$2:$I$616, _xlpm.dist, 1),
    _xlfn.MODE.SNGL(INDEX(_xlpm.sorted, {1,2,3}))
)</f>
        <v>0</v>
      </c>
      <c r="U21" t="str">
        <f t="shared" si="8"/>
        <v>TIDAK</v>
      </c>
      <c r="V21" s="7" t="str">
        <f t="shared" si="9"/>
        <v>FN</v>
      </c>
    </row>
    <row r="22" spans="1:22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  <c r="J22" s="12"/>
      <c r="K22">
        <f t="shared" si="0"/>
        <v>0.17647058823529413</v>
      </c>
      <c r="L22">
        <f t="shared" si="1"/>
        <v>0.63316582914572861</v>
      </c>
      <c r="M22">
        <f t="shared" si="2"/>
        <v>0.72131147540983609</v>
      </c>
      <c r="N22">
        <f t="shared" si="3"/>
        <v>0.41414141414141414</v>
      </c>
      <c r="O22">
        <f t="shared" si="4"/>
        <v>0.27777777777777779</v>
      </c>
      <c r="P22">
        <f t="shared" si="5"/>
        <v>0.58569299552906107</v>
      </c>
      <c r="Q22">
        <f t="shared" si="6"/>
        <v>0.26729291204099059</v>
      </c>
      <c r="R22">
        <f t="shared" si="7"/>
        <v>0.1</v>
      </c>
      <c r="S22" s="13"/>
      <c r="T22" s="3" cm="1">
        <f t="array" ref="T22">_xlfn.LET(
    _xlpm.dist, SQRT(MMULT((Training!$K$2:$R$616 - K22:R22)^2, _xlfn.SEQUENCE(8,1,1,0))),
    _xlpm.sorted, _xlfn.SORTBY(Training!$I$2:$I$616, _xlpm.dist, 1),
    _xlfn.MODE.SNGL(INDEX(_xlpm.sorted, {1,2,3}))
)</f>
        <v>1</v>
      </c>
      <c r="U22" t="str">
        <f t="shared" si="8"/>
        <v>TIDAK</v>
      </c>
      <c r="V22" s="7" t="str">
        <f t="shared" si="9"/>
        <v>FP</v>
      </c>
    </row>
    <row r="23" spans="1:22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  <c r="J23" s="12"/>
      <c r="K23">
        <f t="shared" si="0"/>
        <v>0.47058823529411764</v>
      </c>
      <c r="L23">
        <f t="shared" si="1"/>
        <v>0.49748743718592964</v>
      </c>
      <c r="M23">
        <f t="shared" si="2"/>
        <v>0.68852459016393441</v>
      </c>
      <c r="N23">
        <f t="shared" si="3"/>
        <v>0</v>
      </c>
      <c r="O23">
        <f t="shared" si="4"/>
        <v>0</v>
      </c>
      <c r="P23">
        <f t="shared" si="5"/>
        <v>0.5275707898658718</v>
      </c>
      <c r="Q23">
        <f t="shared" si="6"/>
        <v>0.13236549957301452</v>
      </c>
      <c r="R23">
        <f t="shared" si="7"/>
        <v>0.48333333333333334</v>
      </c>
      <c r="S23" s="13"/>
      <c r="T23" s="3" cm="1">
        <f t="array" ref="T23">_xlfn.LET(
    _xlpm.dist, SQRT(MMULT((Training!$K$2:$R$616 - K23:R23)^2, _xlfn.SEQUENCE(8,1,1,0))),
    _xlpm.sorted, _xlfn.SORTBY(Training!$I$2:$I$616, _xlpm.dist, 1),
    _xlfn.MODE.SNGL(INDEX(_xlpm.sorted, {1,2,3}))
)</f>
        <v>0</v>
      </c>
      <c r="U23" t="str">
        <f t="shared" si="8"/>
        <v>COCOK</v>
      </c>
      <c r="V23" s="7" t="str">
        <f t="shared" si="9"/>
        <v>TN</v>
      </c>
    </row>
    <row r="24" spans="1:22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  <c r="J24" s="12"/>
      <c r="K24">
        <f t="shared" si="0"/>
        <v>0.41176470588235292</v>
      </c>
      <c r="L24">
        <f t="shared" si="1"/>
        <v>0.98492462311557794</v>
      </c>
      <c r="M24">
        <f t="shared" si="2"/>
        <v>0.73770491803278693</v>
      </c>
      <c r="N24">
        <f t="shared" si="3"/>
        <v>0</v>
      </c>
      <c r="O24">
        <f t="shared" si="4"/>
        <v>0</v>
      </c>
      <c r="P24">
        <f t="shared" si="5"/>
        <v>0.59314456035767515</v>
      </c>
      <c r="Q24">
        <f t="shared" si="6"/>
        <v>0.15926558497011101</v>
      </c>
      <c r="R24">
        <f t="shared" si="7"/>
        <v>0.33333333333333331</v>
      </c>
      <c r="S24" s="13"/>
      <c r="T24" s="3" cm="1">
        <f t="array" ref="T24">_xlfn.LET(
    _xlpm.dist, SQRT(MMULT((Training!$K$2:$R$616 - K24:R24)^2, _xlfn.SEQUENCE(8,1,1,0))),
    _xlpm.sorted, _xlfn.SORTBY(Training!$I$2:$I$616, _xlpm.dist, 1),
    _xlfn.MODE.SNGL(INDEX(_xlpm.sorted, {1,2,3}))
)</f>
        <v>1</v>
      </c>
      <c r="U24" t="str">
        <f t="shared" si="8"/>
        <v>COCOK</v>
      </c>
      <c r="V24" s="7" t="str">
        <f t="shared" si="9"/>
        <v>TP</v>
      </c>
    </row>
    <row r="25" spans="1:22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  <c r="J25" s="12"/>
      <c r="K25">
        <f t="shared" si="0"/>
        <v>0.52941176470588236</v>
      </c>
      <c r="L25">
        <f t="shared" si="1"/>
        <v>0.59798994974874375</v>
      </c>
      <c r="M25">
        <f t="shared" si="2"/>
        <v>0.65573770491803274</v>
      </c>
      <c r="N25">
        <f t="shared" si="3"/>
        <v>0.35353535353535354</v>
      </c>
      <c r="O25">
        <f t="shared" si="4"/>
        <v>0</v>
      </c>
      <c r="P25">
        <f t="shared" si="5"/>
        <v>0.43219076005961254</v>
      </c>
      <c r="Q25">
        <f t="shared" si="6"/>
        <v>7.8992314261315116E-2</v>
      </c>
      <c r="R25">
        <f t="shared" si="7"/>
        <v>0.13333333333333333</v>
      </c>
      <c r="S25" s="13"/>
      <c r="T25" s="3" cm="1">
        <f t="array" ref="T25">_xlfn.LET(
    _xlpm.dist, SQRT(MMULT((Training!$K$2:$R$616 - K25:R25)^2, _xlfn.SEQUENCE(8,1,1,0))),
    _xlpm.sorted, _xlfn.SORTBY(Training!$I$2:$I$616, _xlpm.dist, 1),
    _xlfn.MODE.SNGL(INDEX(_xlpm.sorted, {1,2,3}))
)</f>
        <v>1</v>
      </c>
      <c r="U25" t="str">
        <f t="shared" si="8"/>
        <v>COCOK</v>
      </c>
      <c r="V25" s="7" t="str">
        <f t="shared" si="9"/>
        <v>TP</v>
      </c>
    </row>
    <row r="26" spans="1:22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  <c r="J26" s="12"/>
      <c r="K26">
        <f t="shared" si="0"/>
        <v>0.6470588235294118</v>
      </c>
      <c r="L26">
        <f t="shared" si="1"/>
        <v>0.71859296482412061</v>
      </c>
      <c r="M26">
        <f t="shared" si="2"/>
        <v>0.77049180327868849</v>
      </c>
      <c r="N26">
        <f t="shared" si="3"/>
        <v>0.33333333333333331</v>
      </c>
      <c r="O26">
        <f t="shared" si="4"/>
        <v>0.17257683215130024</v>
      </c>
      <c r="P26">
        <f t="shared" si="5"/>
        <v>0.54545454545454553</v>
      </c>
      <c r="Q26">
        <f t="shared" si="6"/>
        <v>7.5149444918872751E-2</v>
      </c>
      <c r="R26">
        <f t="shared" si="7"/>
        <v>0.5</v>
      </c>
      <c r="S26" s="13"/>
      <c r="T26" s="3" cm="1">
        <f t="array" ref="T26">_xlfn.LET(
    _xlpm.dist, SQRT(MMULT((Training!$K$2:$R$616 - K26:R26)^2, _xlfn.SEQUENCE(8,1,1,0))),
    _xlpm.sorted, _xlfn.SORTBY(Training!$I$2:$I$616, _xlpm.dist, 1),
    _xlfn.MODE.SNGL(INDEX(_xlpm.sorted, {1,2,3}))
)</f>
        <v>1</v>
      </c>
      <c r="U26" t="str">
        <f t="shared" si="8"/>
        <v>COCOK</v>
      </c>
      <c r="V26" s="7" t="str">
        <f t="shared" si="9"/>
        <v>TP</v>
      </c>
    </row>
    <row r="27" spans="1:22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  <c r="J27" s="12"/>
      <c r="K27">
        <f t="shared" si="0"/>
        <v>0.58823529411764708</v>
      </c>
      <c r="L27">
        <f t="shared" si="1"/>
        <v>0.62814070351758799</v>
      </c>
      <c r="M27">
        <f t="shared" si="2"/>
        <v>0.57377049180327866</v>
      </c>
      <c r="N27">
        <f t="shared" si="3"/>
        <v>0.26262626262626265</v>
      </c>
      <c r="O27">
        <f t="shared" si="4"/>
        <v>0.13593380614657211</v>
      </c>
      <c r="P27">
        <f t="shared" si="5"/>
        <v>0.46348733233979139</v>
      </c>
      <c r="Q27">
        <f t="shared" si="6"/>
        <v>5.4227156276686589E-2</v>
      </c>
      <c r="R27">
        <f t="shared" si="7"/>
        <v>0.33333333333333331</v>
      </c>
      <c r="S27" s="13"/>
      <c r="T27" s="3" cm="1">
        <f t="array" ref="T27">_xlfn.LET(
    _xlpm.dist, SQRT(MMULT((Training!$K$2:$R$616 - K27:R27)^2, _xlfn.SEQUENCE(8,1,1,0))),
    _xlpm.sorted, _xlfn.SORTBY(Training!$I$2:$I$616, _xlpm.dist, 1),
    _xlfn.MODE.SNGL(INDEX(_xlpm.sorted, {1,2,3}))
)</f>
        <v>1</v>
      </c>
      <c r="U27" t="str">
        <f t="shared" si="8"/>
        <v>COCOK</v>
      </c>
      <c r="V27" s="7" t="str">
        <f t="shared" si="9"/>
        <v>TP</v>
      </c>
    </row>
    <row r="28" spans="1:22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  <c r="J28" s="12"/>
      <c r="K28">
        <f t="shared" si="0"/>
        <v>0.41176470588235292</v>
      </c>
      <c r="L28">
        <f t="shared" si="1"/>
        <v>0.7386934673366834</v>
      </c>
      <c r="M28">
        <f t="shared" si="2"/>
        <v>0.62295081967213117</v>
      </c>
      <c r="N28">
        <f t="shared" si="3"/>
        <v>0</v>
      </c>
      <c r="O28">
        <f t="shared" si="4"/>
        <v>0</v>
      </c>
      <c r="P28">
        <f t="shared" si="5"/>
        <v>0.58718330849478395</v>
      </c>
      <c r="Q28">
        <f t="shared" si="6"/>
        <v>7.643040136635354E-2</v>
      </c>
      <c r="R28">
        <f t="shared" si="7"/>
        <v>0.36666666666666664</v>
      </c>
      <c r="S28" s="13"/>
      <c r="T28" s="3" cm="1">
        <f t="array" ref="T28">_xlfn.LET(
    _xlpm.dist, SQRT(MMULT((Training!$K$2:$R$616 - K28:R28)^2, _xlfn.SEQUENCE(8,1,1,0))),
    _xlpm.sorted, _xlfn.SORTBY(Training!$I$2:$I$616, _xlpm.dist, 1),
    _xlfn.MODE.SNGL(INDEX(_xlpm.sorted, {1,2,3}))
)</f>
        <v>1</v>
      </c>
      <c r="U28" t="str">
        <f t="shared" si="8"/>
        <v>COCOK</v>
      </c>
      <c r="V28" s="7" t="str">
        <f t="shared" si="9"/>
        <v>TP</v>
      </c>
    </row>
    <row r="29" spans="1:22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  <c r="J29" s="12"/>
      <c r="K29">
        <f t="shared" si="0"/>
        <v>5.8823529411764705E-2</v>
      </c>
      <c r="L29">
        <f t="shared" si="1"/>
        <v>0.48743718592964824</v>
      </c>
      <c r="M29">
        <f t="shared" si="2"/>
        <v>0.54098360655737709</v>
      </c>
      <c r="N29">
        <f t="shared" si="3"/>
        <v>0.15151515151515152</v>
      </c>
      <c r="O29">
        <f t="shared" si="4"/>
        <v>0.16548463356973994</v>
      </c>
      <c r="P29">
        <f t="shared" si="5"/>
        <v>0.34575260804769004</v>
      </c>
      <c r="Q29">
        <f t="shared" si="6"/>
        <v>0.17463706233988044</v>
      </c>
      <c r="R29">
        <f t="shared" si="7"/>
        <v>1.6666666666666666E-2</v>
      </c>
      <c r="S29" s="13"/>
      <c r="T29" s="3" cm="1">
        <f t="array" ref="T29">_xlfn.LET(
    _xlpm.dist, SQRT(MMULT((Training!$K$2:$R$616 - K29:R29)^2, _xlfn.SEQUENCE(8,1,1,0))),
    _xlpm.sorted, _xlfn.SORTBY(Training!$I$2:$I$616, _xlpm.dist, 1),
    _xlfn.MODE.SNGL(INDEX(_xlpm.sorted, {1,2,3}))
)</f>
        <v>0</v>
      </c>
      <c r="U29" t="str">
        <f t="shared" si="8"/>
        <v>COCOK</v>
      </c>
      <c r="V29" s="7" t="str">
        <f t="shared" si="9"/>
        <v>TN</v>
      </c>
    </row>
    <row r="30" spans="1:22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  <c r="J30" s="12"/>
      <c r="K30">
        <f t="shared" si="0"/>
        <v>0.76470588235294112</v>
      </c>
      <c r="L30">
        <f t="shared" si="1"/>
        <v>0.72864321608040206</v>
      </c>
      <c r="M30">
        <f t="shared" si="2"/>
        <v>0.67213114754098358</v>
      </c>
      <c r="N30">
        <f t="shared" si="3"/>
        <v>0.19191919191919191</v>
      </c>
      <c r="O30">
        <f t="shared" si="4"/>
        <v>0.13002364066193853</v>
      </c>
      <c r="P30">
        <f t="shared" si="5"/>
        <v>0.33084947839046203</v>
      </c>
      <c r="Q30">
        <f t="shared" si="6"/>
        <v>7.1306575576430387E-2</v>
      </c>
      <c r="R30">
        <f t="shared" si="7"/>
        <v>0.6</v>
      </c>
      <c r="S30" s="13"/>
      <c r="T30" s="3" cm="1">
        <f t="array" ref="T30">_xlfn.LET(
    _xlpm.dist, SQRT(MMULT((Training!$K$2:$R$616 - K30:R30)^2, _xlfn.SEQUENCE(8,1,1,0))),
    _xlpm.sorted, _xlfn.SORTBY(Training!$I$2:$I$616, _xlpm.dist, 1),
    _xlfn.MODE.SNGL(INDEX(_xlpm.sorted, {1,2,3}))
)</f>
        <v>1</v>
      </c>
      <c r="U30" t="str">
        <f t="shared" si="8"/>
        <v>TIDAK</v>
      </c>
      <c r="V30" s="7" t="str">
        <f t="shared" si="9"/>
        <v>FP</v>
      </c>
    </row>
    <row r="31" spans="1:22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  <c r="J31" s="12"/>
      <c r="K31">
        <f t="shared" si="0"/>
        <v>0.29411764705882354</v>
      </c>
      <c r="L31">
        <f t="shared" si="1"/>
        <v>0.5879396984924623</v>
      </c>
      <c r="M31">
        <f t="shared" si="2"/>
        <v>0.75409836065573765</v>
      </c>
      <c r="N31">
        <f t="shared" si="3"/>
        <v>0</v>
      </c>
      <c r="O31">
        <f t="shared" si="4"/>
        <v>0</v>
      </c>
      <c r="P31">
        <f t="shared" si="5"/>
        <v>0.50819672131147542</v>
      </c>
      <c r="Q31">
        <f t="shared" si="6"/>
        <v>0.11058923996584116</v>
      </c>
      <c r="R31">
        <f t="shared" si="7"/>
        <v>0.28333333333333333</v>
      </c>
      <c r="S31" s="13"/>
      <c r="T31" s="3" cm="1">
        <f t="array" ref="T31">_xlfn.LET(
    _xlpm.dist, SQRT(MMULT((Training!$K$2:$R$616 - K31:R31)^2, _xlfn.SEQUENCE(8,1,1,0))),
    _xlpm.sorted, _xlfn.SORTBY(Training!$I$2:$I$616, _xlpm.dist, 1),
    _xlfn.MODE.SNGL(INDEX(_xlpm.sorted, {1,2,3}))
)</f>
        <v>1</v>
      </c>
      <c r="U31" t="str">
        <f t="shared" si="8"/>
        <v>TIDAK</v>
      </c>
      <c r="V31" s="7" t="str">
        <f t="shared" si="9"/>
        <v>FP</v>
      </c>
    </row>
    <row r="32" spans="1:22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  <c r="J32" s="12"/>
      <c r="K32">
        <f t="shared" si="0"/>
        <v>0.29411764705882354</v>
      </c>
      <c r="L32">
        <f t="shared" si="1"/>
        <v>0.54773869346733672</v>
      </c>
      <c r="M32">
        <f t="shared" si="2"/>
        <v>0.61475409836065575</v>
      </c>
      <c r="N32">
        <f t="shared" si="3"/>
        <v>0.26262626262626265</v>
      </c>
      <c r="O32">
        <f t="shared" si="4"/>
        <v>0</v>
      </c>
      <c r="P32">
        <f t="shared" si="5"/>
        <v>0.53651266766020866</v>
      </c>
      <c r="Q32">
        <f t="shared" si="6"/>
        <v>0.19982920580700256</v>
      </c>
      <c r="R32">
        <f t="shared" si="7"/>
        <v>0.65</v>
      </c>
      <c r="S32" s="13"/>
      <c r="T32" s="3" cm="1">
        <f t="array" ref="T32">_xlfn.LET(
    _xlpm.dist, SQRT(MMULT((Training!$K$2:$R$616 - K32:R32)^2, _xlfn.SEQUENCE(8,1,1,0))),
    _xlpm.sorted, _xlfn.SORTBY(Training!$I$2:$I$616, _xlpm.dist, 1),
    _xlfn.MODE.SNGL(INDEX(_xlpm.sorted, {1,2,3}))
)</f>
        <v>1</v>
      </c>
      <c r="U32" t="str">
        <f t="shared" si="8"/>
        <v>TIDAK</v>
      </c>
      <c r="V32" s="7" t="str">
        <f t="shared" si="9"/>
        <v>FP</v>
      </c>
    </row>
    <row r="33" spans="1:22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  <c r="J33" s="12"/>
      <c r="K33">
        <f t="shared" si="0"/>
        <v>0.17647058823529413</v>
      </c>
      <c r="L33">
        <f t="shared" si="1"/>
        <v>0.79396984924623115</v>
      </c>
      <c r="M33">
        <f t="shared" si="2"/>
        <v>0.62295081967213117</v>
      </c>
      <c r="N33">
        <f t="shared" si="3"/>
        <v>0.36363636363636365</v>
      </c>
      <c r="O33">
        <f t="shared" si="4"/>
        <v>0.28959810874704489</v>
      </c>
      <c r="P33">
        <f t="shared" si="5"/>
        <v>0.47093889716840542</v>
      </c>
      <c r="Q33">
        <f t="shared" si="6"/>
        <v>0.3300597779675491</v>
      </c>
      <c r="R33">
        <f t="shared" si="7"/>
        <v>0.11666666666666667</v>
      </c>
      <c r="S33" s="13"/>
      <c r="T33" s="3" cm="1">
        <f t="array" ref="T33">_xlfn.LET(
    _xlpm.dist, SQRT(MMULT((Training!$K$2:$R$616 - K33:R33)^2, _xlfn.SEQUENCE(8,1,1,0))),
    _xlpm.sorted, _xlfn.SORTBY(Training!$I$2:$I$616, _xlpm.dist, 1),
    _xlfn.MODE.SNGL(INDEX(_xlpm.sorted, {1,2,3}))
)</f>
        <v>1</v>
      </c>
      <c r="U33" t="str">
        <f t="shared" si="8"/>
        <v>COCOK</v>
      </c>
      <c r="V33" s="7" t="str">
        <f t="shared" si="9"/>
        <v>TP</v>
      </c>
    </row>
    <row r="34" spans="1:22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  <c r="J34" s="12"/>
      <c r="K34">
        <f t="shared" si="0"/>
        <v>0.17647058823529413</v>
      </c>
      <c r="L34">
        <f t="shared" si="1"/>
        <v>0.44221105527638194</v>
      </c>
      <c r="M34">
        <f t="shared" si="2"/>
        <v>0.47540983606557374</v>
      </c>
      <c r="N34">
        <f t="shared" si="3"/>
        <v>0.1111111111111111</v>
      </c>
      <c r="O34">
        <f t="shared" si="4"/>
        <v>6.3829787234042548E-2</v>
      </c>
      <c r="P34">
        <f t="shared" si="5"/>
        <v>0.36959761549925491</v>
      </c>
      <c r="Q34">
        <f t="shared" si="6"/>
        <v>8.0700256191289496E-2</v>
      </c>
      <c r="R34">
        <f t="shared" si="7"/>
        <v>1.6666666666666666E-2</v>
      </c>
      <c r="S34" s="13"/>
      <c r="T34" s="3" cm="1">
        <f t="array" ref="T34">_xlfn.LET(
    _xlpm.dist, SQRT(MMULT((Training!$K$2:$R$616 - K34:R34)^2, _xlfn.SEQUENCE(8,1,1,0))),
    _xlpm.sorted, _xlfn.SORTBY(Training!$I$2:$I$616, _xlpm.dist, 1),
    _xlfn.MODE.SNGL(INDEX(_xlpm.sorted, {1,2,3}))
)</f>
        <v>0</v>
      </c>
      <c r="U34" t="str">
        <f t="shared" si="8"/>
        <v>COCOK</v>
      </c>
      <c r="V34" s="7" t="str">
        <f t="shared" si="9"/>
        <v>TN</v>
      </c>
    </row>
    <row r="35" spans="1:22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  <c r="J35" s="12"/>
      <c r="K35">
        <f t="shared" si="0"/>
        <v>0.35294117647058826</v>
      </c>
      <c r="L35">
        <f t="shared" si="1"/>
        <v>0.46231155778894473</v>
      </c>
      <c r="M35">
        <f t="shared" si="2"/>
        <v>0.75409836065573765</v>
      </c>
      <c r="N35">
        <f t="shared" si="3"/>
        <v>0</v>
      </c>
      <c r="O35">
        <f t="shared" si="4"/>
        <v>0</v>
      </c>
      <c r="P35">
        <f t="shared" si="5"/>
        <v>0.29657228017883758</v>
      </c>
      <c r="Q35">
        <f t="shared" si="6"/>
        <v>4.6968403074295471E-2</v>
      </c>
      <c r="R35">
        <f t="shared" si="7"/>
        <v>0.11666666666666667</v>
      </c>
      <c r="S35" s="13"/>
      <c r="T35" s="3" cm="1">
        <f t="array" ref="T35">_xlfn.LET(
    _xlpm.dist, SQRT(MMULT((Training!$K$2:$R$616 - K35:R35)^2, _xlfn.SEQUENCE(8,1,1,0))),
    _xlpm.sorted, _xlfn.SORTBY(Training!$I$2:$I$616, _xlpm.dist, 1),
    _xlfn.MODE.SNGL(INDEX(_xlpm.sorted, {1,2,3}))
)</f>
        <v>0</v>
      </c>
      <c r="U35" t="str">
        <f t="shared" si="8"/>
        <v>COCOK</v>
      </c>
      <c r="V35" s="7" t="str">
        <f t="shared" si="9"/>
        <v>TN</v>
      </c>
    </row>
    <row r="36" spans="1:22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  <c r="J36" s="12"/>
      <c r="K36">
        <f t="shared" si="0"/>
        <v>0.58823529411764708</v>
      </c>
      <c r="L36">
        <f t="shared" si="1"/>
        <v>0.61306532663316582</v>
      </c>
      <c r="M36">
        <f t="shared" si="2"/>
        <v>0.63934426229508201</v>
      </c>
      <c r="N36">
        <f t="shared" si="3"/>
        <v>0.31313131313131315</v>
      </c>
      <c r="O36">
        <f t="shared" si="4"/>
        <v>0</v>
      </c>
      <c r="P36">
        <f t="shared" si="5"/>
        <v>0.41132637853949333</v>
      </c>
      <c r="Q36">
        <f t="shared" si="6"/>
        <v>0.18531169940222031</v>
      </c>
      <c r="R36">
        <f t="shared" si="7"/>
        <v>0.4</v>
      </c>
      <c r="S36" s="13"/>
      <c r="T36" s="3" cm="1">
        <f t="array" ref="T36">_xlfn.LET(
    _xlpm.dist, SQRT(MMULT((Training!$K$2:$R$616 - K36:R36)^2, _xlfn.SEQUENCE(8,1,1,0))),
    _xlpm.sorted, _xlfn.SORTBY(Training!$I$2:$I$616, _xlpm.dist, 1),
    _xlfn.MODE.SNGL(INDEX(_xlpm.sorted, {1,2,3}))
)</f>
        <v>1</v>
      </c>
      <c r="U36" t="str">
        <f t="shared" si="8"/>
        <v>TIDAK</v>
      </c>
      <c r="V36" s="7" t="str">
        <f t="shared" si="9"/>
        <v>FP</v>
      </c>
    </row>
    <row r="37" spans="1:22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  <c r="J37" s="12"/>
      <c r="K37">
        <f t="shared" si="0"/>
        <v>0.23529411764705882</v>
      </c>
      <c r="L37">
        <f t="shared" si="1"/>
        <v>0.51758793969849248</v>
      </c>
      <c r="M37">
        <f t="shared" si="2"/>
        <v>0.49180327868852458</v>
      </c>
      <c r="N37">
        <f t="shared" si="3"/>
        <v>0.33333333333333331</v>
      </c>
      <c r="O37">
        <f t="shared" si="4"/>
        <v>0.22695035460992907</v>
      </c>
      <c r="P37">
        <f t="shared" si="5"/>
        <v>0.35767511177347244</v>
      </c>
      <c r="Q37">
        <f t="shared" si="6"/>
        <v>0.37916310845431256</v>
      </c>
      <c r="R37">
        <f t="shared" si="7"/>
        <v>0.2</v>
      </c>
      <c r="S37" s="13"/>
      <c r="T37" s="3" cm="1">
        <f t="array" ref="T37">_xlfn.LET(
    _xlpm.dist, SQRT(MMULT((Training!$K$2:$R$616 - K37:R37)^2, _xlfn.SEQUENCE(8,1,1,0))),
    _xlpm.sorted, _xlfn.SORTBY(Training!$I$2:$I$616, _xlpm.dist, 1),
    _xlfn.MODE.SNGL(INDEX(_xlpm.sorted, {1,2,3}))
)</f>
        <v>0</v>
      </c>
      <c r="U37" t="str">
        <f t="shared" si="8"/>
        <v>COCOK</v>
      </c>
      <c r="V37" s="7" t="str">
        <f t="shared" si="9"/>
        <v>TN</v>
      </c>
    </row>
    <row r="38" spans="1:22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  <c r="J38" s="12"/>
      <c r="K38">
        <f t="shared" si="0"/>
        <v>0.6470588235294118</v>
      </c>
      <c r="L38">
        <f t="shared" si="1"/>
        <v>0.69346733668341709</v>
      </c>
      <c r="M38">
        <f t="shared" si="2"/>
        <v>0.62295081967213117</v>
      </c>
      <c r="N38">
        <f t="shared" si="3"/>
        <v>0</v>
      </c>
      <c r="O38">
        <f t="shared" si="4"/>
        <v>0</v>
      </c>
      <c r="P38">
        <f t="shared" si="5"/>
        <v>0.49478390461997029</v>
      </c>
      <c r="Q38">
        <f t="shared" si="6"/>
        <v>0.14602903501280956</v>
      </c>
      <c r="R38">
        <f t="shared" si="7"/>
        <v>0.23333333333333334</v>
      </c>
      <c r="S38" s="13"/>
      <c r="T38" s="3" cm="1">
        <f t="array" ref="T38">_xlfn.LET(
    _xlpm.dist, SQRT(MMULT((Training!$K$2:$R$616 - K38:R38)^2, _xlfn.SEQUENCE(8,1,1,0))),
    _xlpm.sorted, _xlfn.SORTBY(Training!$I$2:$I$616, _xlpm.dist, 1),
    _xlfn.MODE.SNGL(INDEX(_xlpm.sorted, {1,2,3}))
)</f>
        <v>0</v>
      </c>
      <c r="U38" t="str">
        <f t="shared" si="8"/>
        <v>COCOK</v>
      </c>
      <c r="V38" s="7" t="str">
        <f t="shared" si="9"/>
        <v>TN</v>
      </c>
    </row>
    <row r="39" spans="1:22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  <c r="J39" s="12"/>
      <c r="K39">
        <f t="shared" si="0"/>
        <v>0.52941176470588236</v>
      </c>
      <c r="L39">
        <f t="shared" si="1"/>
        <v>0.51256281407035176</v>
      </c>
      <c r="M39">
        <f t="shared" si="2"/>
        <v>0.62295081967213117</v>
      </c>
      <c r="N39">
        <f t="shared" si="3"/>
        <v>0.37373737373737376</v>
      </c>
      <c r="O39">
        <f t="shared" si="4"/>
        <v>0</v>
      </c>
      <c r="P39">
        <f t="shared" si="5"/>
        <v>0.49031296572280181</v>
      </c>
      <c r="Q39">
        <f t="shared" si="6"/>
        <v>0.25064047822374041</v>
      </c>
      <c r="R39">
        <f t="shared" si="7"/>
        <v>0.41666666666666669</v>
      </c>
      <c r="S39" s="13"/>
      <c r="T39" s="3" cm="1">
        <f t="array" ref="T39">_xlfn.LET(
    _xlpm.dist, SQRT(MMULT((Training!$K$2:$R$616 - K39:R39)^2, _xlfn.SEQUENCE(8,1,1,0))),
    _xlpm.sorted, _xlfn.SORTBY(Training!$I$2:$I$616, _xlpm.dist, 1),
    _xlfn.MODE.SNGL(INDEX(_xlpm.sorted, {1,2,3}))
)</f>
        <v>0</v>
      </c>
      <c r="U39" t="str">
        <f t="shared" si="8"/>
        <v>TIDAK</v>
      </c>
      <c r="V39" s="7" t="str">
        <f t="shared" si="9"/>
        <v>FN</v>
      </c>
    </row>
    <row r="40" spans="1:22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  <c r="J40" s="12"/>
      <c r="K40">
        <f t="shared" si="0"/>
        <v>0.11764705882352941</v>
      </c>
      <c r="L40">
        <f t="shared" si="1"/>
        <v>0.45226130653266333</v>
      </c>
      <c r="M40">
        <f t="shared" si="2"/>
        <v>0.55737704918032782</v>
      </c>
      <c r="N40">
        <f t="shared" si="3"/>
        <v>0.42424242424242425</v>
      </c>
      <c r="O40">
        <f t="shared" si="4"/>
        <v>0</v>
      </c>
      <c r="P40">
        <f t="shared" si="5"/>
        <v>0.56929955290611034</v>
      </c>
      <c r="Q40">
        <f t="shared" si="6"/>
        <v>0.18146883005977796</v>
      </c>
      <c r="R40">
        <f t="shared" si="7"/>
        <v>0.1</v>
      </c>
      <c r="S40" s="13"/>
      <c r="T40" s="3" cm="1">
        <f t="array" ref="T40">_xlfn.LET(
    _xlpm.dist, SQRT(MMULT((Training!$K$2:$R$616 - K40:R40)^2, _xlfn.SEQUENCE(8,1,1,0))),
    _xlpm.sorted, _xlfn.SORTBY(Training!$I$2:$I$616, _xlpm.dist, 1),
    _xlfn.MODE.SNGL(INDEX(_xlpm.sorted, {1,2,3}))
)</f>
        <v>0</v>
      </c>
      <c r="U40" t="str">
        <f t="shared" si="8"/>
        <v>TIDAK</v>
      </c>
      <c r="V40" s="7" t="str">
        <f t="shared" si="9"/>
        <v>FN</v>
      </c>
    </row>
    <row r="41" spans="1:22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  <c r="J41" s="12"/>
      <c r="K41">
        <f t="shared" si="0"/>
        <v>0.23529411764705882</v>
      </c>
      <c r="L41">
        <f t="shared" si="1"/>
        <v>0.55778894472361806</v>
      </c>
      <c r="M41">
        <f t="shared" si="2"/>
        <v>0.5901639344262295</v>
      </c>
      <c r="N41">
        <f t="shared" si="3"/>
        <v>0.47474747474747475</v>
      </c>
      <c r="O41">
        <f t="shared" si="4"/>
        <v>0.24468085106382978</v>
      </c>
      <c r="P41">
        <f t="shared" si="5"/>
        <v>0.5529061102831595</v>
      </c>
      <c r="Q41">
        <f t="shared" si="6"/>
        <v>0.56020495303159679</v>
      </c>
      <c r="R41">
        <f t="shared" si="7"/>
        <v>0.58333333333333337</v>
      </c>
      <c r="S41" s="13"/>
      <c r="T41" s="3" cm="1">
        <f t="array" ref="T41">_xlfn.LET(
    _xlpm.dist, SQRT(MMULT((Training!$K$2:$R$616 - K41:R41)^2, _xlfn.SEQUENCE(8,1,1,0))),
    _xlpm.sorted, _xlfn.SORTBY(Training!$I$2:$I$616, _xlpm.dist, 1),
    _xlfn.MODE.SNGL(INDEX(_xlpm.sorted, {1,2,3}))
)</f>
        <v>1</v>
      </c>
      <c r="U41" t="str">
        <f t="shared" si="8"/>
        <v>COCOK</v>
      </c>
      <c r="V41" s="7" t="str">
        <f t="shared" si="9"/>
        <v>TP</v>
      </c>
    </row>
    <row r="42" spans="1:22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  <c r="J42" s="12"/>
      <c r="K42">
        <f t="shared" si="0"/>
        <v>0.17647058823529413</v>
      </c>
      <c r="L42">
        <f t="shared" si="1"/>
        <v>0.90452261306532666</v>
      </c>
      <c r="M42">
        <f t="shared" si="2"/>
        <v>0.52459016393442626</v>
      </c>
      <c r="N42">
        <f t="shared" si="3"/>
        <v>0.25252525252525254</v>
      </c>
      <c r="O42">
        <f t="shared" si="4"/>
        <v>8.2742316784869971E-2</v>
      </c>
      <c r="P42">
        <f t="shared" si="5"/>
        <v>0.50670640834575265</v>
      </c>
      <c r="Q42">
        <f t="shared" si="6"/>
        <v>8.2408198121263876E-2</v>
      </c>
      <c r="R42">
        <f t="shared" si="7"/>
        <v>8.3333333333333329E-2</v>
      </c>
      <c r="S42" s="13"/>
      <c r="T42" s="3" cm="1">
        <f t="array" ref="T42">_xlfn.LET(
    _xlpm.dist, SQRT(MMULT((Training!$K$2:$R$616 - K42:R42)^2, _xlfn.SEQUENCE(8,1,1,0))),
    _xlpm.sorted, _xlfn.SORTBY(Training!$I$2:$I$616, _xlpm.dist, 1),
    _xlfn.MODE.SNGL(INDEX(_xlpm.sorted, {1,2,3}))
)</f>
        <v>1</v>
      </c>
      <c r="U42" t="str">
        <f t="shared" si="8"/>
        <v>TIDAK</v>
      </c>
      <c r="V42" s="7" t="str">
        <f t="shared" si="9"/>
        <v>FP</v>
      </c>
    </row>
    <row r="43" spans="1:22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  <c r="J43" s="12"/>
      <c r="K43">
        <f t="shared" si="0"/>
        <v>0.41176470588235292</v>
      </c>
      <c r="L43">
        <f t="shared" si="1"/>
        <v>0.66834170854271358</v>
      </c>
      <c r="M43">
        <f t="shared" si="2"/>
        <v>0.68852459016393441</v>
      </c>
      <c r="N43">
        <f t="shared" si="3"/>
        <v>0</v>
      </c>
      <c r="O43">
        <f t="shared" si="4"/>
        <v>0</v>
      </c>
      <c r="P43">
        <f t="shared" si="5"/>
        <v>0.59910581222056636</v>
      </c>
      <c r="Q43">
        <f t="shared" si="6"/>
        <v>0.26387702818104181</v>
      </c>
      <c r="R43">
        <f t="shared" si="7"/>
        <v>0.26666666666666666</v>
      </c>
      <c r="S43" s="13"/>
      <c r="T43" s="3" cm="1">
        <f t="array" ref="T43">_xlfn.LET(
    _xlpm.dist, SQRT(MMULT((Training!$K$2:$R$616 - K43:R43)^2, _xlfn.SEQUENCE(8,1,1,0))),
    _xlpm.sorted, _xlfn.SORTBY(Training!$I$2:$I$616, _xlpm.dist, 1),
    _xlfn.MODE.SNGL(INDEX(_xlpm.sorted, {1,2,3}))
)</f>
        <v>1</v>
      </c>
      <c r="U43" t="str">
        <f t="shared" si="8"/>
        <v>TIDAK</v>
      </c>
      <c r="V43" s="7" t="str">
        <f t="shared" si="9"/>
        <v>FP</v>
      </c>
    </row>
    <row r="44" spans="1:22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  <c r="J44" s="12"/>
      <c r="K44">
        <f t="shared" si="0"/>
        <v>0.41176470588235292</v>
      </c>
      <c r="L44">
        <f t="shared" si="1"/>
        <v>0.53266331658291455</v>
      </c>
      <c r="M44">
        <f t="shared" si="2"/>
        <v>0.75409836065573765</v>
      </c>
      <c r="N44">
        <f t="shared" si="3"/>
        <v>0.18181818181818182</v>
      </c>
      <c r="O44">
        <f t="shared" si="4"/>
        <v>0</v>
      </c>
      <c r="P44">
        <f t="shared" si="5"/>
        <v>0.338301043219076</v>
      </c>
      <c r="Q44">
        <f t="shared" si="6"/>
        <v>6.703672075149443E-2</v>
      </c>
      <c r="R44">
        <f t="shared" si="7"/>
        <v>0.45</v>
      </c>
      <c r="S44" s="13"/>
      <c r="T44" s="3" cm="1">
        <f t="array" ref="T44">_xlfn.LET(
    _xlpm.dist, SQRT(MMULT((Training!$K$2:$R$616 - K44:R44)^2, _xlfn.SEQUENCE(8,1,1,0))),
    _xlpm.sorted, _xlfn.SORTBY(Training!$I$2:$I$616, _xlpm.dist, 1),
    _xlfn.MODE.SNGL(INDEX(_xlpm.sorted, {1,2,3}))
)</f>
        <v>0</v>
      </c>
      <c r="U44" t="str">
        <f t="shared" si="8"/>
        <v>COCOK</v>
      </c>
      <c r="V44" s="7" t="str">
        <f t="shared" si="9"/>
        <v>TN</v>
      </c>
    </row>
    <row r="45" spans="1:22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  <c r="J45" s="12"/>
      <c r="K45">
        <f t="shared" si="0"/>
        <v>0.52941176470588236</v>
      </c>
      <c r="L45">
        <f t="shared" si="1"/>
        <v>0.85929648241206025</v>
      </c>
      <c r="M45">
        <f t="shared" si="2"/>
        <v>0.90163934426229508</v>
      </c>
      <c r="N45">
        <f t="shared" si="3"/>
        <v>0.24242424242424243</v>
      </c>
      <c r="O45">
        <f t="shared" si="4"/>
        <v>0.28368794326241137</v>
      </c>
      <c r="P45">
        <f t="shared" si="5"/>
        <v>0.67660208643815201</v>
      </c>
      <c r="Q45">
        <f t="shared" si="6"/>
        <v>0.2745516652433817</v>
      </c>
      <c r="R45">
        <f t="shared" si="7"/>
        <v>0.55000000000000004</v>
      </c>
      <c r="S45" s="13"/>
      <c r="T45" s="3" cm="1">
        <f t="array" ref="T45">_xlfn.LET(
    _xlpm.dist, SQRT(MMULT((Training!$K$2:$R$616 - K45:R45)^2, _xlfn.SEQUENCE(8,1,1,0))),
    _xlpm.sorted, _xlfn.SORTBY(Training!$I$2:$I$616, _xlpm.dist, 1),
    _xlfn.MODE.SNGL(INDEX(_xlpm.sorted, {1,2,3}))
)</f>
        <v>1</v>
      </c>
      <c r="U45" t="str">
        <f t="shared" si="8"/>
        <v>COCOK</v>
      </c>
      <c r="V45" s="7" t="str">
        <f t="shared" si="9"/>
        <v>TP</v>
      </c>
    </row>
    <row r="46" spans="1:22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  <c r="J46" s="12"/>
      <c r="K46">
        <f t="shared" si="0"/>
        <v>0.41176470588235292</v>
      </c>
      <c r="L46">
        <f t="shared" si="1"/>
        <v>0.79899497487437188</v>
      </c>
      <c r="M46">
        <f t="shared" si="2"/>
        <v>0.52459016393442626</v>
      </c>
      <c r="N46">
        <f t="shared" si="3"/>
        <v>0</v>
      </c>
      <c r="O46">
        <f t="shared" si="4"/>
        <v>0</v>
      </c>
      <c r="P46">
        <f t="shared" si="5"/>
        <v>0.40834575260804773</v>
      </c>
      <c r="Q46">
        <f t="shared" si="6"/>
        <v>9.2228864218616549E-2</v>
      </c>
      <c r="R46">
        <f t="shared" si="7"/>
        <v>0.31666666666666665</v>
      </c>
      <c r="S46" s="13"/>
      <c r="T46" s="3" cm="1">
        <f t="array" ref="T46">_xlfn.LET(
    _xlpm.dist, SQRT(MMULT((Training!$K$2:$R$616 - K46:R46)^2, _xlfn.SEQUENCE(8,1,1,0))),
    _xlpm.sorted, _xlfn.SORTBY(Training!$I$2:$I$616, _xlpm.dist, 1),
    _xlfn.MODE.SNGL(INDEX(_xlpm.sorted, {1,2,3}))
)</f>
        <v>1</v>
      </c>
      <c r="U46" t="str">
        <f t="shared" si="8"/>
        <v>TIDAK</v>
      </c>
      <c r="V46" s="7" t="str">
        <f t="shared" si="9"/>
        <v>FP</v>
      </c>
    </row>
    <row r="47" spans="1:22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  <c r="J47" s="12"/>
      <c r="K47">
        <f t="shared" si="0"/>
        <v>0</v>
      </c>
      <c r="L47">
        <f t="shared" si="1"/>
        <v>0.90452261306532666</v>
      </c>
      <c r="M47">
        <f t="shared" si="2"/>
        <v>0.54098360655737709</v>
      </c>
      <c r="N47">
        <f t="shared" si="3"/>
        <v>0.39393939393939392</v>
      </c>
      <c r="O47">
        <f t="shared" si="4"/>
        <v>0</v>
      </c>
      <c r="P47">
        <f t="shared" si="5"/>
        <v>0.62593144560357683</v>
      </c>
      <c r="Q47">
        <f t="shared" si="6"/>
        <v>0.77497865072587524</v>
      </c>
      <c r="R47">
        <f t="shared" si="7"/>
        <v>6.6666666666666666E-2</v>
      </c>
      <c r="S47" s="13"/>
      <c r="T47" s="3" cm="1">
        <f t="array" ref="T47">_xlfn.LET(
    _xlpm.dist, SQRT(MMULT((Training!$K$2:$R$616 - K47:R47)^2, _xlfn.SEQUENCE(8,1,1,0))),
    _xlpm.sorted, _xlfn.SORTBY(Training!$I$2:$I$616, _xlpm.dist, 1),
    _xlfn.MODE.SNGL(INDEX(_xlpm.sorted, {1,2,3}))
)</f>
        <v>1</v>
      </c>
      <c r="U47" t="str">
        <f t="shared" si="8"/>
        <v>COCOK</v>
      </c>
      <c r="V47" s="7" t="str">
        <f t="shared" si="9"/>
        <v>TP</v>
      </c>
    </row>
    <row r="48" spans="1:22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  <c r="J48" s="12"/>
      <c r="K48">
        <f t="shared" si="0"/>
        <v>5.8823529411764705E-2</v>
      </c>
      <c r="L48">
        <f t="shared" si="1"/>
        <v>0.73366834170854267</v>
      </c>
      <c r="M48">
        <f t="shared" si="2"/>
        <v>0.45901639344262296</v>
      </c>
      <c r="N48">
        <f t="shared" si="3"/>
        <v>0</v>
      </c>
      <c r="O48">
        <f t="shared" si="4"/>
        <v>0</v>
      </c>
      <c r="P48">
        <f t="shared" si="5"/>
        <v>0.44262295081967218</v>
      </c>
      <c r="Q48">
        <f t="shared" si="6"/>
        <v>0.20751494449188723</v>
      </c>
      <c r="R48">
        <f t="shared" si="7"/>
        <v>0.13333333333333333</v>
      </c>
      <c r="S48" s="13"/>
      <c r="T48" s="3" cm="1">
        <f t="array" ref="T48">_xlfn.LET(
    _xlpm.dist, SQRT(MMULT((Training!$K$2:$R$616 - K48:R48)^2, _xlfn.SEQUENCE(8,1,1,0))),
    _xlpm.sorted, _xlfn.SORTBY(Training!$I$2:$I$616, _xlpm.dist, 1),
    _xlfn.MODE.SNGL(INDEX(_xlpm.sorted, {1,2,3}))
)</f>
        <v>1</v>
      </c>
      <c r="U48" t="str">
        <f t="shared" si="8"/>
        <v>TIDAK</v>
      </c>
      <c r="V48" s="7" t="str">
        <f t="shared" si="9"/>
        <v>FP</v>
      </c>
    </row>
    <row r="49" spans="1:22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  <c r="J49" s="12"/>
      <c r="K49">
        <f t="shared" si="0"/>
        <v>0.11764705882352941</v>
      </c>
      <c r="L49">
        <f t="shared" si="1"/>
        <v>0.35678391959798994</v>
      </c>
      <c r="M49">
        <f t="shared" si="2"/>
        <v>0.57377049180327866</v>
      </c>
      <c r="N49">
        <f t="shared" si="3"/>
        <v>0.27272727272727271</v>
      </c>
      <c r="O49">
        <f t="shared" si="4"/>
        <v>0</v>
      </c>
      <c r="P49">
        <f t="shared" si="5"/>
        <v>0.41728763040238454</v>
      </c>
      <c r="Q49">
        <f t="shared" si="6"/>
        <v>0.21690862510674636</v>
      </c>
      <c r="R49">
        <f t="shared" si="7"/>
        <v>1.6666666666666666E-2</v>
      </c>
      <c r="S49" s="13"/>
      <c r="T49" s="3" cm="1">
        <f t="array" ref="T49">_xlfn.LET(
    _xlpm.dist, SQRT(MMULT((Training!$K$2:$R$616 - K49:R49)^2, _xlfn.SEQUENCE(8,1,1,0))),
    _xlpm.sorted, _xlfn.SORTBY(Training!$I$2:$I$616, _xlpm.dist, 1),
    _xlfn.MODE.SNGL(INDEX(_xlpm.sorted, {1,2,3}))
)</f>
        <v>0</v>
      </c>
      <c r="U49" t="str">
        <f t="shared" si="8"/>
        <v>COCOK</v>
      </c>
      <c r="V49" s="7" t="str">
        <f t="shared" si="9"/>
        <v>TN</v>
      </c>
    </row>
    <row r="50" spans="1:22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  <c r="J50" s="12"/>
      <c r="K50">
        <f t="shared" si="0"/>
        <v>0.41176470588235292</v>
      </c>
      <c r="L50">
        <f t="shared" si="1"/>
        <v>0.51758793969849248</v>
      </c>
      <c r="M50">
        <f t="shared" si="2"/>
        <v>0.54098360655737709</v>
      </c>
      <c r="N50">
        <f t="shared" si="3"/>
        <v>0.32323232323232326</v>
      </c>
      <c r="O50">
        <f t="shared" si="4"/>
        <v>0</v>
      </c>
      <c r="P50">
        <f t="shared" si="5"/>
        <v>0.58271236959761552</v>
      </c>
      <c r="Q50">
        <f t="shared" si="6"/>
        <v>0.1135781383432963</v>
      </c>
      <c r="R50">
        <f t="shared" si="7"/>
        <v>0.16666666666666666</v>
      </c>
      <c r="S50" s="13"/>
      <c r="T50" s="3" cm="1">
        <f t="array" ref="T50">_xlfn.LET(
    _xlpm.dist, SQRT(MMULT((Training!$K$2:$R$616 - K50:R50)^2, _xlfn.SEQUENCE(8,1,1,0))),
    _xlpm.sorted, _xlfn.SORTBY(Training!$I$2:$I$616, _xlpm.dist, 1),
    _xlfn.MODE.SNGL(INDEX(_xlpm.sorted, {1,2,3}))
)</f>
        <v>0</v>
      </c>
      <c r="U50" t="str">
        <f t="shared" si="8"/>
        <v>TIDAK</v>
      </c>
      <c r="V50" s="7" t="str">
        <f t="shared" si="9"/>
        <v>FN</v>
      </c>
    </row>
    <row r="51" spans="1:22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  <c r="J51" s="12"/>
      <c r="K51">
        <f t="shared" si="0"/>
        <v>0.41176470588235292</v>
      </c>
      <c r="L51">
        <f t="shared" si="1"/>
        <v>0.52763819095477382</v>
      </c>
      <c r="M51">
        <f t="shared" si="2"/>
        <v>0</v>
      </c>
      <c r="N51">
        <f t="shared" si="3"/>
        <v>0</v>
      </c>
      <c r="O51">
        <f t="shared" si="4"/>
        <v>0</v>
      </c>
      <c r="P51">
        <f t="shared" si="5"/>
        <v>0</v>
      </c>
      <c r="Q51">
        <f t="shared" si="6"/>
        <v>9.6925704526046097E-2</v>
      </c>
      <c r="R51">
        <f t="shared" si="7"/>
        <v>0.05</v>
      </c>
      <c r="S51" s="13"/>
      <c r="T51" s="3" cm="1">
        <f t="array" ref="T51">_xlfn.LET(
    _xlpm.dist, SQRT(MMULT((Training!$K$2:$R$616 - K51:R51)^2, _xlfn.SEQUENCE(8,1,1,0))),
    _xlpm.sorted, _xlfn.SORTBY(Training!$I$2:$I$616, _xlpm.dist, 1),
    _xlfn.MODE.SNGL(INDEX(_xlpm.sorted, {1,2,3}))
)</f>
        <v>0</v>
      </c>
      <c r="U51" t="str">
        <f t="shared" si="8"/>
        <v>COCOK</v>
      </c>
      <c r="V51" s="7" t="str">
        <f t="shared" si="9"/>
        <v>TN</v>
      </c>
    </row>
    <row r="52" spans="1:22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  <c r="J52" s="12"/>
      <c r="K52">
        <f t="shared" si="0"/>
        <v>5.8823529411764705E-2</v>
      </c>
      <c r="L52">
        <f t="shared" si="1"/>
        <v>0.51758793969849248</v>
      </c>
      <c r="M52">
        <f t="shared" si="2"/>
        <v>0.65573770491803274</v>
      </c>
      <c r="N52">
        <f t="shared" si="3"/>
        <v>0.1111111111111111</v>
      </c>
      <c r="O52">
        <f t="shared" si="4"/>
        <v>9.6926713947990545E-2</v>
      </c>
      <c r="P52">
        <f t="shared" si="5"/>
        <v>0.28912071535022354</v>
      </c>
      <c r="Q52">
        <f t="shared" si="6"/>
        <v>0.1763450042698548</v>
      </c>
      <c r="R52">
        <f t="shared" si="7"/>
        <v>1.6666666666666666E-2</v>
      </c>
      <c r="S52" s="13"/>
      <c r="T52" s="3" cm="1">
        <f t="array" ref="T52">_xlfn.LET(
    _xlpm.dist, SQRT(MMULT((Training!$K$2:$R$616 - K52:R52)^2, _xlfn.SEQUENCE(8,1,1,0))),
    _xlpm.sorted, _xlfn.SORTBY(Training!$I$2:$I$616, _xlpm.dist, 1),
    _xlfn.MODE.SNGL(INDEX(_xlpm.sorted, {1,2,3}))
)</f>
        <v>0</v>
      </c>
      <c r="U52" t="str">
        <f t="shared" si="8"/>
        <v>COCOK</v>
      </c>
      <c r="V52" s="7" t="str">
        <f t="shared" si="9"/>
        <v>TN</v>
      </c>
    </row>
    <row r="53" spans="1:22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  <c r="J53" s="12"/>
      <c r="K53">
        <f t="shared" si="0"/>
        <v>5.8823529411764705E-2</v>
      </c>
      <c r="L53">
        <f t="shared" si="1"/>
        <v>0.50753768844221103</v>
      </c>
      <c r="M53">
        <f t="shared" si="2"/>
        <v>0.4098360655737705</v>
      </c>
      <c r="N53">
        <f t="shared" si="3"/>
        <v>0.15151515151515152</v>
      </c>
      <c r="O53">
        <f t="shared" si="4"/>
        <v>4.2553191489361701E-2</v>
      </c>
      <c r="P53">
        <f t="shared" si="5"/>
        <v>0.36065573770491804</v>
      </c>
      <c r="Q53">
        <f t="shared" si="6"/>
        <v>0.19128949615713065</v>
      </c>
      <c r="R53">
        <f t="shared" si="7"/>
        <v>8.3333333333333329E-2</v>
      </c>
      <c r="S53" s="13"/>
      <c r="T53" s="3" cm="1">
        <f t="array" ref="T53">_xlfn.LET(
    _xlpm.dist, SQRT(MMULT((Training!$K$2:$R$616 - K53:R53)^2, _xlfn.SEQUENCE(8,1,1,0))),
    _xlpm.sorted, _xlfn.SORTBY(Training!$I$2:$I$616, _xlpm.dist, 1),
    _xlfn.MODE.SNGL(INDEX(_xlpm.sorted, {1,2,3}))
)</f>
        <v>0</v>
      </c>
      <c r="U53" t="str">
        <f t="shared" si="8"/>
        <v>COCOK</v>
      </c>
      <c r="V53" s="7" t="str">
        <f t="shared" si="9"/>
        <v>TN</v>
      </c>
    </row>
    <row r="54" spans="1:22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  <c r="J54" s="12"/>
      <c r="K54">
        <f t="shared" si="0"/>
        <v>0.29411764705882354</v>
      </c>
      <c r="L54">
        <f t="shared" si="1"/>
        <v>0.44221105527638194</v>
      </c>
      <c r="M54">
        <f t="shared" si="2"/>
        <v>0.54098360655737709</v>
      </c>
      <c r="N54">
        <f t="shared" si="3"/>
        <v>0.21212121212121213</v>
      </c>
      <c r="O54">
        <f t="shared" si="4"/>
        <v>2.7186761229314422E-2</v>
      </c>
      <c r="P54">
        <f t="shared" si="5"/>
        <v>0.36363636363636365</v>
      </c>
      <c r="Q54">
        <f t="shared" si="6"/>
        <v>0.11272416737830913</v>
      </c>
      <c r="R54">
        <f t="shared" si="7"/>
        <v>0.15</v>
      </c>
      <c r="S54" s="13"/>
      <c r="T54" s="3" cm="1">
        <f t="array" ref="T54">_xlfn.LET(
    _xlpm.dist, SQRT(MMULT((Training!$K$2:$R$616 - K54:R54)^2, _xlfn.SEQUENCE(8,1,1,0))),
    _xlpm.sorted, _xlfn.SORTBY(Training!$I$2:$I$616, _xlpm.dist, 1),
    _xlfn.MODE.SNGL(INDEX(_xlpm.sorted, {1,2,3}))
)</f>
        <v>0</v>
      </c>
      <c r="U54" t="str">
        <f t="shared" si="8"/>
        <v>COCOK</v>
      </c>
      <c r="V54" s="7" t="str">
        <f t="shared" si="9"/>
        <v>TN</v>
      </c>
    </row>
    <row r="55" spans="1:22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  <c r="J55" s="12"/>
      <c r="K55">
        <f t="shared" si="0"/>
        <v>0.47058823529411764</v>
      </c>
      <c r="L55">
        <f t="shared" si="1"/>
        <v>0.88442211055276387</v>
      </c>
      <c r="M55">
        <f t="shared" si="2"/>
        <v>0.73770491803278693</v>
      </c>
      <c r="N55">
        <f t="shared" si="3"/>
        <v>0.34343434343434343</v>
      </c>
      <c r="O55">
        <f t="shared" si="4"/>
        <v>0.3546099290780142</v>
      </c>
      <c r="P55">
        <f t="shared" si="5"/>
        <v>0.50223546944858433</v>
      </c>
      <c r="Q55">
        <f t="shared" si="6"/>
        <v>0.16609735269000853</v>
      </c>
      <c r="R55">
        <f t="shared" si="7"/>
        <v>0.6166666666666667</v>
      </c>
      <c r="S55" s="13"/>
      <c r="T55" s="3" cm="1">
        <f t="array" ref="T55">_xlfn.LET(
    _xlpm.dist, SQRT(MMULT((Training!$K$2:$R$616 - K55:R55)^2, _xlfn.SEQUENCE(8,1,1,0))),
    _xlpm.sorted, _xlfn.SORTBY(Training!$I$2:$I$616, _xlpm.dist, 1),
    _xlfn.MODE.SNGL(INDEX(_xlpm.sorted, {1,2,3}))
)</f>
        <v>1</v>
      </c>
      <c r="U55" t="str">
        <f t="shared" si="8"/>
        <v>COCOK</v>
      </c>
      <c r="V55" s="7" t="str">
        <f t="shared" si="9"/>
        <v>TP</v>
      </c>
    </row>
    <row r="56" spans="1:22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  <c r="J56" s="12"/>
      <c r="K56">
        <f t="shared" si="0"/>
        <v>0.41176470588235292</v>
      </c>
      <c r="L56">
        <f t="shared" si="1"/>
        <v>0.75376884422110557</v>
      </c>
      <c r="M56">
        <f t="shared" si="2"/>
        <v>0.54098360655737709</v>
      </c>
      <c r="N56">
        <f t="shared" si="3"/>
        <v>0.42424242424242425</v>
      </c>
      <c r="O56">
        <f t="shared" si="4"/>
        <v>0.40425531914893614</v>
      </c>
      <c r="P56">
        <f t="shared" si="5"/>
        <v>0.51713859910581228</v>
      </c>
      <c r="Q56">
        <f t="shared" si="6"/>
        <v>0.27327070879590093</v>
      </c>
      <c r="R56">
        <f t="shared" si="7"/>
        <v>0.35</v>
      </c>
      <c r="S56" s="13"/>
      <c r="T56" s="3" cm="1">
        <f t="array" ref="T56">_xlfn.LET(
    _xlpm.dist, SQRT(MMULT((Training!$K$2:$R$616 - K56:R56)^2, _xlfn.SEQUENCE(8,1,1,0))),
    _xlpm.sorted, _xlfn.SORTBY(Training!$I$2:$I$616, _xlpm.dist, 1),
    _xlfn.MODE.SNGL(INDEX(_xlpm.sorted, {1,2,3}))
)</f>
        <v>0</v>
      </c>
      <c r="U56" t="str">
        <f t="shared" si="8"/>
        <v>COCOK</v>
      </c>
      <c r="V56" s="7" t="str">
        <f t="shared" si="9"/>
        <v>TN</v>
      </c>
    </row>
    <row r="57" spans="1:22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  <c r="J57" s="12"/>
      <c r="K57">
        <f t="shared" si="0"/>
        <v>5.8823529411764705E-2</v>
      </c>
      <c r="L57">
        <f t="shared" si="1"/>
        <v>0.36683417085427134</v>
      </c>
      <c r="M57">
        <f t="shared" si="2"/>
        <v>0.4098360655737705</v>
      </c>
      <c r="N57">
        <f t="shared" si="3"/>
        <v>0.10101010101010101</v>
      </c>
      <c r="O57">
        <f t="shared" si="4"/>
        <v>0</v>
      </c>
      <c r="P57">
        <f t="shared" si="5"/>
        <v>0.34277198211624443</v>
      </c>
      <c r="Q57">
        <f t="shared" si="6"/>
        <v>7.2587532023911175E-2</v>
      </c>
      <c r="R57">
        <f t="shared" si="7"/>
        <v>0</v>
      </c>
      <c r="S57" s="13"/>
      <c r="T57" s="3" cm="1">
        <f t="array" ref="T57">_xlfn.LET(
    _xlpm.dist, SQRT(MMULT((Training!$K$2:$R$616 - K57:R57)^2, _xlfn.SEQUENCE(8,1,1,0))),
    _xlpm.sorted, _xlfn.SORTBY(Training!$I$2:$I$616, _xlpm.dist, 1),
    _xlfn.MODE.SNGL(INDEX(_xlpm.sorted, {1,2,3}))
)</f>
        <v>0</v>
      </c>
      <c r="U57" t="str">
        <f t="shared" si="8"/>
        <v>COCOK</v>
      </c>
      <c r="V57" s="7" t="str">
        <f t="shared" si="9"/>
        <v>TN</v>
      </c>
    </row>
    <row r="58" spans="1:22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  <c r="J58" s="12"/>
      <c r="K58">
        <f t="shared" si="0"/>
        <v>0.41176470588235292</v>
      </c>
      <c r="L58">
        <f t="shared" si="1"/>
        <v>0.93969849246231152</v>
      </c>
      <c r="M58">
        <f t="shared" si="2"/>
        <v>0.55737704918032782</v>
      </c>
      <c r="N58">
        <f t="shared" si="3"/>
        <v>0.39393939393939392</v>
      </c>
      <c r="O58">
        <f t="shared" si="4"/>
        <v>0.35933806146572106</v>
      </c>
      <c r="P58">
        <f t="shared" si="5"/>
        <v>0.56184798807749636</v>
      </c>
      <c r="Q58">
        <f t="shared" si="6"/>
        <v>7.5149444918872751E-2</v>
      </c>
      <c r="R58">
        <f t="shared" si="7"/>
        <v>0.33333333333333331</v>
      </c>
      <c r="S58" s="13"/>
      <c r="T58" s="3" cm="1">
        <f t="array" ref="T58">_xlfn.LET(
    _xlpm.dist, SQRT(MMULT((Training!$K$2:$R$616 - K58:R58)^2, _xlfn.SEQUENCE(8,1,1,0))),
    _xlpm.sorted, _xlfn.SORTBY(Training!$I$2:$I$616, _xlpm.dist, 1),
    _xlfn.MODE.SNGL(INDEX(_xlpm.sorted, {1,2,3}))
)</f>
        <v>1</v>
      </c>
      <c r="U58" t="str">
        <f t="shared" si="8"/>
        <v>COCOK</v>
      </c>
      <c r="V58" s="7" t="str">
        <f t="shared" si="9"/>
        <v>TP</v>
      </c>
    </row>
    <row r="59" spans="1:22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  <c r="J59" s="12"/>
      <c r="K59">
        <f t="shared" si="0"/>
        <v>0</v>
      </c>
      <c r="L59">
        <f t="shared" si="1"/>
        <v>0.50251256281407031</v>
      </c>
      <c r="M59">
        <f t="shared" si="2"/>
        <v>0.72131147540983609</v>
      </c>
      <c r="N59">
        <f t="shared" si="3"/>
        <v>0.60606060606060608</v>
      </c>
      <c r="O59">
        <f t="shared" si="4"/>
        <v>0.13002364066193853</v>
      </c>
      <c r="P59">
        <f t="shared" si="5"/>
        <v>0.69746646795827127</v>
      </c>
      <c r="Q59">
        <f t="shared" si="6"/>
        <v>0.37745516652433814</v>
      </c>
      <c r="R59">
        <f t="shared" si="7"/>
        <v>0.16666666666666666</v>
      </c>
      <c r="S59" s="13"/>
      <c r="T59" s="3" cm="1">
        <f t="array" ref="T59">_xlfn.LET(
    _xlpm.dist, SQRT(MMULT((Training!$K$2:$R$616 - K59:R59)^2, _xlfn.SEQUENCE(8,1,1,0))),
    _xlpm.sorted, _xlfn.SORTBY(Training!$I$2:$I$616, _xlpm.dist, 1),
    _xlfn.MODE.SNGL(INDEX(_xlpm.sorted, {1,2,3}))
)</f>
        <v>0</v>
      </c>
      <c r="U59" t="str">
        <f t="shared" si="8"/>
        <v>COCOK</v>
      </c>
      <c r="V59" s="7" t="str">
        <f t="shared" si="9"/>
        <v>TN</v>
      </c>
    </row>
    <row r="60" spans="1:22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  <c r="J60" s="12"/>
      <c r="K60">
        <f t="shared" si="0"/>
        <v>0</v>
      </c>
      <c r="L60">
        <f t="shared" si="1"/>
        <v>0.73366834170854267</v>
      </c>
      <c r="M60">
        <f t="shared" si="2"/>
        <v>0.67213114754098358</v>
      </c>
      <c r="N60">
        <f t="shared" si="3"/>
        <v>0</v>
      </c>
      <c r="O60">
        <f t="shared" si="4"/>
        <v>0</v>
      </c>
      <c r="P60">
        <f t="shared" si="5"/>
        <v>0.60357675111773479</v>
      </c>
      <c r="Q60">
        <f t="shared" si="6"/>
        <v>0.72715627668659255</v>
      </c>
      <c r="R60">
        <f t="shared" si="7"/>
        <v>0.38333333333333336</v>
      </c>
      <c r="S60" s="13"/>
      <c r="T60" s="3" cm="1">
        <f t="array" ref="T60">_xlfn.LET(
    _xlpm.dist, SQRT(MMULT((Training!$K$2:$R$616 - K60:R60)^2, _xlfn.SEQUENCE(8,1,1,0))),
    _xlpm.sorted, _xlfn.SORTBY(Training!$I$2:$I$616, _xlpm.dist, 1),
    _xlfn.MODE.SNGL(INDEX(_xlpm.sorted, {1,2,3}))
)</f>
        <v>1</v>
      </c>
      <c r="U60" t="str">
        <f t="shared" si="8"/>
        <v>TIDAK</v>
      </c>
      <c r="V60" s="7" t="str">
        <f t="shared" si="9"/>
        <v>FP</v>
      </c>
    </row>
    <row r="61" spans="1:22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  <c r="J61" s="12"/>
      <c r="K61">
        <f t="shared" si="0"/>
        <v>0</v>
      </c>
      <c r="L61">
        <f t="shared" si="1"/>
        <v>0.52763819095477382</v>
      </c>
      <c r="M61">
        <f t="shared" si="2"/>
        <v>0.52459016393442626</v>
      </c>
      <c r="N61">
        <f t="shared" si="3"/>
        <v>0.41414141414141414</v>
      </c>
      <c r="O61">
        <f t="shared" si="4"/>
        <v>0.16784869976359337</v>
      </c>
      <c r="P61">
        <f t="shared" si="5"/>
        <v>0.61847988077496274</v>
      </c>
      <c r="Q61">
        <f t="shared" si="6"/>
        <v>4.0563620836891537E-2</v>
      </c>
      <c r="R61">
        <f t="shared" si="7"/>
        <v>1.6666666666666666E-2</v>
      </c>
      <c r="S61" s="13"/>
      <c r="T61" s="3" cm="1">
        <f t="array" ref="T61">_xlfn.LET(
    _xlpm.dist, SQRT(MMULT((Training!$K$2:$R$616 - K61:R61)^2, _xlfn.SEQUENCE(8,1,1,0))),
    _xlpm.sorted, _xlfn.SORTBY(Training!$I$2:$I$616, _xlpm.dist, 1),
    _xlfn.MODE.SNGL(INDEX(_xlpm.sorted, {1,2,3}))
)</f>
        <v>0</v>
      </c>
      <c r="U61" t="str">
        <f t="shared" si="8"/>
        <v>COCOK</v>
      </c>
      <c r="V61" s="7" t="str">
        <f t="shared" si="9"/>
        <v>TN</v>
      </c>
    </row>
    <row r="62" spans="1:22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  <c r="J62" s="12"/>
      <c r="K62">
        <f t="shared" si="0"/>
        <v>0.11764705882352941</v>
      </c>
      <c r="L62">
        <f t="shared" si="1"/>
        <v>0.42211055276381909</v>
      </c>
      <c r="M62">
        <f t="shared" si="2"/>
        <v>0</v>
      </c>
      <c r="N62">
        <f t="shared" si="3"/>
        <v>0</v>
      </c>
      <c r="O62">
        <f t="shared" si="4"/>
        <v>0</v>
      </c>
      <c r="P62">
        <f t="shared" si="5"/>
        <v>0</v>
      </c>
      <c r="Q62">
        <f t="shared" si="6"/>
        <v>9.6498719043552506E-2</v>
      </c>
      <c r="R62">
        <f t="shared" si="7"/>
        <v>0</v>
      </c>
      <c r="S62" s="13"/>
      <c r="T62" s="3" cm="1">
        <f t="array" ref="T62">_xlfn.LET(
    _xlpm.dist, SQRT(MMULT((Training!$K$2:$R$616 - K62:R62)^2, _xlfn.SEQUENCE(8,1,1,0))),
    _xlpm.sorted, _xlfn.SORTBY(Training!$I$2:$I$616, _xlpm.dist, 1),
    _xlfn.MODE.SNGL(INDEX(_xlpm.sorted, {1,2,3}))
)</f>
        <v>0</v>
      </c>
      <c r="U62" t="str">
        <f t="shared" si="8"/>
        <v>COCOK</v>
      </c>
      <c r="V62" s="7" t="str">
        <f t="shared" si="9"/>
        <v>TN</v>
      </c>
    </row>
    <row r="63" spans="1:22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  <c r="J63" s="12"/>
      <c r="K63">
        <f t="shared" si="0"/>
        <v>0.47058823529411764</v>
      </c>
      <c r="L63">
        <f t="shared" si="1"/>
        <v>0.66834170854271358</v>
      </c>
      <c r="M63">
        <f t="shared" si="2"/>
        <v>0.5901639344262295</v>
      </c>
      <c r="N63">
        <f t="shared" si="3"/>
        <v>0</v>
      </c>
      <c r="O63">
        <f t="shared" si="4"/>
        <v>0</v>
      </c>
      <c r="P63">
        <f t="shared" si="5"/>
        <v>0.49031296572280181</v>
      </c>
      <c r="Q63">
        <f t="shared" si="6"/>
        <v>8.1981212638770284E-2</v>
      </c>
      <c r="R63">
        <f t="shared" si="7"/>
        <v>0.3</v>
      </c>
      <c r="S63" s="13"/>
      <c r="T63" s="3" cm="1">
        <f t="array" ref="T63">_xlfn.LET(
    _xlpm.dist, SQRT(MMULT((Training!$K$2:$R$616 - K63:R63)^2, _xlfn.SEQUENCE(8,1,1,0))),
    _xlpm.sorted, _xlfn.SORTBY(Training!$I$2:$I$616, _xlpm.dist, 1),
    _xlfn.MODE.SNGL(INDEX(_xlpm.sorted, {1,2,3}))
)</f>
        <v>0</v>
      </c>
      <c r="U63" t="str">
        <f t="shared" si="8"/>
        <v>TIDAK</v>
      </c>
      <c r="V63" s="7" t="str">
        <f t="shared" si="9"/>
        <v>FN</v>
      </c>
    </row>
    <row r="64" spans="1:22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  <c r="J64" s="12"/>
      <c r="K64">
        <f t="shared" si="0"/>
        <v>0.29411764705882354</v>
      </c>
      <c r="L64">
        <f t="shared" si="1"/>
        <v>0.22110552763819097</v>
      </c>
      <c r="M64">
        <f t="shared" si="2"/>
        <v>0.50819672131147542</v>
      </c>
      <c r="N64">
        <f t="shared" si="3"/>
        <v>0</v>
      </c>
      <c r="O64">
        <f t="shared" si="4"/>
        <v>0</v>
      </c>
      <c r="P64">
        <f t="shared" si="5"/>
        <v>0.37257824143070045</v>
      </c>
      <c r="Q64">
        <f t="shared" si="6"/>
        <v>0.21733561058923997</v>
      </c>
      <c r="R64">
        <f t="shared" si="7"/>
        <v>0.25</v>
      </c>
      <c r="S64" s="13"/>
      <c r="T64" s="3" cm="1">
        <f t="array" ref="T64">_xlfn.LET(
    _xlpm.dist, SQRT(MMULT((Training!$K$2:$R$616 - K64:R64)^2, _xlfn.SEQUENCE(8,1,1,0))),
    _xlpm.sorted, _xlfn.SORTBY(Training!$I$2:$I$616, _xlpm.dist, 1),
    _xlfn.MODE.SNGL(INDEX(_xlpm.sorted, {1,2,3}))
)</f>
        <v>0</v>
      </c>
      <c r="U64" t="str">
        <f t="shared" si="8"/>
        <v>COCOK</v>
      </c>
      <c r="V64" s="7" t="str">
        <f t="shared" si="9"/>
        <v>TN</v>
      </c>
    </row>
    <row r="65" spans="1:22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  <c r="J65" s="12"/>
      <c r="K65">
        <f t="shared" si="0"/>
        <v>0.11764705882352941</v>
      </c>
      <c r="L65">
        <f t="shared" si="1"/>
        <v>0.70854271356783916</v>
      </c>
      <c r="M65">
        <f t="shared" si="2"/>
        <v>0.47540983606557374</v>
      </c>
      <c r="N65">
        <f t="shared" si="3"/>
        <v>0.34343434343434343</v>
      </c>
      <c r="O65">
        <f t="shared" si="4"/>
        <v>0.15130023640661938</v>
      </c>
      <c r="P65">
        <f t="shared" si="5"/>
        <v>0.37853949329359166</v>
      </c>
      <c r="Q65">
        <f t="shared" si="6"/>
        <v>0.26515798462852264</v>
      </c>
      <c r="R65">
        <f t="shared" si="7"/>
        <v>0.05</v>
      </c>
      <c r="S65" s="13"/>
      <c r="T65" s="3" cm="1">
        <f t="array" ref="T65">_xlfn.LET(
    _xlpm.dist, SQRT(MMULT((Training!$K$2:$R$616 - K65:R65)^2, _xlfn.SEQUENCE(8,1,1,0))),
    _xlpm.sorted, _xlfn.SORTBY(Training!$I$2:$I$616, _xlpm.dist, 1),
    _xlfn.MODE.SNGL(INDEX(_xlpm.sorted, {1,2,3}))
)</f>
        <v>0</v>
      </c>
      <c r="U65" t="str">
        <f t="shared" si="8"/>
        <v>COCOK</v>
      </c>
      <c r="V65" s="7" t="str">
        <f t="shared" si="9"/>
        <v>TN</v>
      </c>
    </row>
    <row r="66" spans="1:22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  <c r="J66" s="12"/>
      <c r="K66">
        <f t="shared" si="0"/>
        <v>0.41176470588235292</v>
      </c>
      <c r="L66">
        <f t="shared" si="1"/>
        <v>0.57286432160804024</v>
      </c>
      <c r="M66">
        <f t="shared" si="2"/>
        <v>0.54098360655737709</v>
      </c>
      <c r="N66">
        <f t="shared" si="3"/>
        <v>0</v>
      </c>
      <c r="O66">
        <f t="shared" si="4"/>
        <v>0</v>
      </c>
      <c r="P66">
        <f t="shared" si="5"/>
        <v>0.48882265275707898</v>
      </c>
      <c r="Q66">
        <f t="shared" si="6"/>
        <v>7.6857386848847131E-2</v>
      </c>
      <c r="R66">
        <f t="shared" si="7"/>
        <v>0.35</v>
      </c>
      <c r="S66" s="13"/>
      <c r="T66" s="3" cm="1">
        <f t="array" ref="T66">_xlfn.LET(
    _xlpm.dist, SQRT(MMULT((Training!$K$2:$R$616 - K66:R66)^2, _xlfn.SEQUENCE(8,1,1,0))),
    _xlpm.sorted, _xlfn.SORTBY(Training!$I$2:$I$616, _xlpm.dist, 1),
    _xlfn.MODE.SNGL(INDEX(_xlpm.sorted, {1,2,3}))
)</f>
        <v>1</v>
      </c>
      <c r="U66" t="str">
        <f t="shared" si="8"/>
        <v>COCOK</v>
      </c>
      <c r="V66" s="7" t="str">
        <f t="shared" si="9"/>
        <v>TP</v>
      </c>
    </row>
    <row r="67" spans="1:22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  <c r="J67" s="12"/>
      <c r="K67">
        <f t="shared" ref="K67:K130" si="10">(A67-0)/(17-0)</f>
        <v>0.29411764705882354</v>
      </c>
      <c r="L67">
        <f t="shared" ref="L67:L130" si="11">(B67-0)/(199-0)</f>
        <v>0.49748743718592964</v>
      </c>
      <c r="M67">
        <f t="shared" ref="M67:M130" si="12">(C67-0)/(122-0)</f>
        <v>0.60655737704918034</v>
      </c>
      <c r="N67">
        <f t="shared" ref="N67:N130" si="13">(D67-0)/(99-0)</f>
        <v>0.27272727272727271</v>
      </c>
      <c r="O67">
        <f t="shared" ref="O67:O130" si="14">(E67-0)/(846-0)</f>
        <v>0</v>
      </c>
      <c r="P67">
        <f t="shared" ref="P67:P130" si="15">(F67-0)/(67.1-0)</f>
        <v>0.43219076005961254</v>
      </c>
      <c r="Q67">
        <f t="shared" ref="Q67:Q130" si="16">(G67-0.078)/(2.42-0.078)</f>
        <v>5.3373185311699399E-2</v>
      </c>
      <c r="R67">
        <f t="shared" ref="R67:R130" si="17">(H67-21)/(81-21)</f>
        <v>0.18333333333333332</v>
      </c>
      <c r="S67" s="13"/>
      <c r="T67" s="3" cm="1">
        <f t="array" ref="T67">_xlfn.LET(
    _xlpm.dist, SQRT(MMULT((Training!$K$2:$R$616 - K67:R67)^2, _xlfn.SEQUENCE(8,1,1,0))),
    _xlpm.sorted, _xlfn.SORTBY(Training!$I$2:$I$616, _xlpm.dist, 1),
    _xlfn.MODE.SNGL(INDEX(_xlpm.sorted, {1,2,3}))
)</f>
        <v>0</v>
      </c>
      <c r="U67" t="str">
        <f t="shared" ref="U67:U130" si="18">IF(T67=I67, "COCOK", "TIDAK")</f>
        <v>COCOK</v>
      </c>
      <c r="V67" s="7" t="str">
        <f t="shared" ref="V67:V130" si="19">IF(AND(T67=1,I67=1),"TP",IF(AND(T67=0,I67=0),"TN",IF(AND(T67=1,I67=0),"FP","FN")))</f>
        <v>TN</v>
      </c>
    </row>
    <row r="68" spans="1:22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  <c r="J68" s="12"/>
      <c r="K68">
        <f t="shared" si="10"/>
        <v>0</v>
      </c>
      <c r="L68">
        <f t="shared" si="11"/>
        <v>0.54773869346733672</v>
      </c>
      <c r="M68">
        <f t="shared" si="12"/>
        <v>0.72131147540983609</v>
      </c>
      <c r="N68">
        <f t="shared" si="13"/>
        <v>0.30303030303030304</v>
      </c>
      <c r="O68">
        <f t="shared" si="14"/>
        <v>0</v>
      </c>
      <c r="P68">
        <f t="shared" si="15"/>
        <v>0.4843517138599106</v>
      </c>
      <c r="Q68">
        <f t="shared" si="16"/>
        <v>0.33176771989752346</v>
      </c>
      <c r="R68">
        <f t="shared" si="17"/>
        <v>0.28333333333333333</v>
      </c>
      <c r="S68" s="13"/>
      <c r="T68" s="3" cm="1">
        <f t="array" ref="T68">_xlfn.LET(
    _xlpm.dist, SQRT(MMULT((Training!$K$2:$R$616 - K68:R68)^2, _xlfn.SEQUENCE(8,1,1,0))),
    _xlpm.sorted, _xlfn.SORTBY(Training!$I$2:$I$616, _xlpm.dist, 1),
    _xlfn.MODE.SNGL(INDEX(_xlpm.sorted, {1,2,3}))
)</f>
        <v>0</v>
      </c>
      <c r="U68" t="str">
        <f t="shared" si="18"/>
        <v>TIDAK</v>
      </c>
      <c r="V68" s="7" t="str">
        <f t="shared" si="19"/>
        <v>FN</v>
      </c>
    </row>
    <row r="69" spans="1:22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  <c r="J69" s="12"/>
      <c r="K69">
        <f t="shared" si="10"/>
        <v>0.11764705882352941</v>
      </c>
      <c r="L69">
        <f t="shared" si="11"/>
        <v>0.54773869346733672</v>
      </c>
      <c r="M69">
        <f t="shared" si="12"/>
        <v>0.75409836065573765</v>
      </c>
      <c r="N69">
        <f t="shared" si="13"/>
        <v>0</v>
      </c>
      <c r="O69">
        <f t="shared" si="14"/>
        <v>0</v>
      </c>
      <c r="P69">
        <f t="shared" si="15"/>
        <v>0.63636363636363646</v>
      </c>
      <c r="Q69">
        <f t="shared" si="16"/>
        <v>0.32749786507258755</v>
      </c>
      <c r="R69">
        <f t="shared" si="17"/>
        <v>0.55000000000000004</v>
      </c>
      <c r="S69" s="13"/>
      <c r="T69" s="3" cm="1">
        <f t="array" ref="T69">_xlfn.LET(
    _xlpm.dist, SQRT(MMULT((Training!$K$2:$R$616 - K69:R69)^2, _xlfn.SEQUENCE(8,1,1,0))),
    _xlpm.sorted, _xlfn.SORTBY(Training!$I$2:$I$616, _xlpm.dist, 1),
    _xlfn.MODE.SNGL(INDEX(_xlpm.sorted, {1,2,3}))
)</f>
        <v>0</v>
      </c>
      <c r="U69" t="str">
        <f t="shared" si="18"/>
        <v>COCOK</v>
      </c>
      <c r="V69" s="7" t="str">
        <f t="shared" si="19"/>
        <v>TN</v>
      </c>
    </row>
    <row r="70" spans="1:22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  <c r="J70" s="12"/>
      <c r="K70">
        <f t="shared" si="10"/>
        <v>5.8823529411764705E-2</v>
      </c>
      <c r="L70">
        <f t="shared" si="11"/>
        <v>0.47738693467336685</v>
      </c>
      <c r="M70">
        <f t="shared" si="12"/>
        <v>0.54098360655737709</v>
      </c>
      <c r="N70">
        <f t="shared" si="13"/>
        <v>0.13131313131313133</v>
      </c>
      <c r="O70">
        <f t="shared" si="14"/>
        <v>4.4917257683215132E-2</v>
      </c>
      <c r="P70">
        <f t="shared" si="15"/>
        <v>0.2921013412816692</v>
      </c>
      <c r="Q70">
        <f t="shared" si="16"/>
        <v>0.10930828351836037</v>
      </c>
      <c r="R70">
        <f t="shared" si="17"/>
        <v>6.6666666666666666E-2</v>
      </c>
      <c r="S70" s="13"/>
      <c r="T70" s="3" cm="1">
        <f t="array" ref="T70">_xlfn.LET(
    _xlpm.dist, SQRT(MMULT((Training!$K$2:$R$616 - K70:R70)^2, _xlfn.SEQUENCE(8,1,1,0))),
    _xlpm.sorted, _xlfn.SORTBY(Training!$I$2:$I$616, _xlpm.dist, 1),
    _xlfn.MODE.SNGL(INDEX(_xlpm.sorted, {1,2,3}))
)</f>
        <v>0</v>
      </c>
      <c r="U70" t="str">
        <f t="shared" si="18"/>
        <v>COCOK</v>
      </c>
      <c r="V70" s="7" t="str">
        <f t="shared" si="19"/>
        <v>TN</v>
      </c>
    </row>
    <row r="71" spans="1:22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  <c r="J71" s="12"/>
      <c r="K71">
        <f t="shared" si="10"/>
        <v>0.23529411764705882</v>
      </c>
      <c r="L71">
        <f t="shared" si="11"/>
        <v>0.73366834170854267</v>
      </c>
      <c r="M71">
        <f t="shared" si="12"/>
        <v>0.69672131147540983</v>
      </c>
      <c r="N71">
        <f t="shared" si="13"/>
        <v>0.27272727272727271</v>
      </c>
      <c r="O71">
        <f t="shared" si="14"/>
        <v>0.1182033096926714</v>
      </c>
      <c r="P71">
        <f t="shared" si="15"/>
        <v>0.43070044709388972</v>
      </c>
      <c r="Q71">
        <f t="shared" si="16"/>
        <v>4.739538855678907E-2</v>
      </c>
      <c r="R71">
        <f t="shared" si="17"/>
        <v>0.1</v>
      </c>
      <c r="S71" s="13"/>
      <c r="T71" s="3" cm="1">
        <f t="array" ref="T71">_xlfn.LET(
    _xlpm.dist, SQRT(MMULT((Training!$K$2:$R$616 - K71:R71)^2, _xlfn.SEQUENCE(8,1,1,0))),
    _xlpm.sorted, _xlfn.SORTBY(Training!$I$2:$I$616, _xlpm.dist, 1),
    _xlfn.MODE.SNGL(INDEX(_xlpm.sorted, {1,2,3}))
)</f>
        <v>1</v>
      </c>
      <c r="U71" t="str">
        <f t="shared" si="18"/>
        <v>TIDAK</v>
      </c>
      <c r="V71" s="7" t="str">
        <f t="shared" si="19"/>
        <v>FP</v>
      </c>
    </row>
    <row r="72" spans="1:22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  <c r="J72" s="12"/>
      <c r="K72">
        <f t="shared" si="10"/>
        <v>0.11764705882352941</v>
      </c>
      <c r="L72">
        <f t="shared" si="11"/>
        <v>0.50251256281407031</v>
      </c>
      <c r="M72">
        <f t="shared" si="12"/>
        <v>0.54098360655737709</v>
      </c>
      <c r="N72">
        <f t="shared" si="13"/>
        <v>0.20202020202020202</v>
      </c>
      <c r="O72">
        <f t="shared" si="14"/>
        <v>0.10638297872340426</v>
      </c>
      <c r="P72">
        <f t="shared" si="15"/>
        <v>0.49031296572280181</v>
      </c>
      <c r="Q72">
        <f t="shared" si="16"/>
        <v>0.33689154568744661</v>
      </c>
      <c r="R72">
        <f t="shared" si="17"/>
        <v>0.11666666666666667</v>
      </c>
      <c r="S72" s="13"/>
      <c r="T72" s="3" cm="1">
        <f t="array" ref="T72">_xlfn.LET(
    _xlpm.dist, SQRT(MMULT((Training!$K$2:$R$616 - K72:R72)^2, _xlfn.SEQUENCE(8,1,1,0))),
    _xlpm.sorted, _xlfn.SORTBY(Training!$I$2:$I$616, _xlpm.dist, 1),
    _xlfn.MODE.SNGL(INDEX(_xlpm.sorted, {1,2,3}))
)</f>
        <v>0</v>
      </c>
      <c r="U72" t="str">
        <f t="shared" si="18"/>
        <v>TIDAK</v>
      </c>
      <c r="V72" s="7" t="str">
        <f t="shared" si="19"/>
        <v>FN</v>
      </c>
    </row>
    <row r="73" spans="1:22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  <c r="J73" s="12"/>
      <c r="K73">
        <f t="shared" si="10"/>
        <v>0.29411764705882354</v>
      </c>
      <c r="L73">
        <f t="shared" si="11"/>
        <v>0.69849246231155782</v>
      </c>
      <c r="M73">
        <f t="shared" si="12"/>
        <v>0.52459016393442626</v>
      </c>
      <c r="N73">
        <f t="shared" si="13"/>
        <v>0.35353535353535354</v>
      </c>
      <c r="O73">
        <f t="shared" si="14"/>
        <v>0.16548463356973994</v>
      </c>
      <c r="P73">
        <f t="shared" si="15"/>
        <v>0.4262295081967214</v>
      </c>
      <c r="Q73">
        <f t="shared" si="16"/>
        <v>0.14218616567036718</v>
      </c>
      <c r="R73">
        <f t="shared" si="17"/>
        <v>8.3333333333333329E-2</v>
      </c>
      <c r="S73" s="13"/>
      <c r="T73" s="3" cm="1">
        <f t="array" ref="T73">_xlfn.LET(
    _xlpm.dist, SQRT(MMULT((Training!$K$2:$R$616 - K73:R73)^2, _xlfn.SEQUENCE(8,1,1,0))),
    _xlpm.sorted, _xlfn.SORTBY(Training!$I$2:$I$616, _xlpm.dist, 1),
    _xlfn.MODE.SNGL(INDEX(_xlpm.sorted, {1,2,3}))
)</f>
        <v>1</v>
      </c>
      <c r="U73" t="str">
        <f t="shared" si="18"/>
        <v>TIDAK</v>
      </c>
      <c r="V73" s="7" t="str">
        <f t="shared" si="19"/>
        <v>FP</v>
      </c>
    </row>
    <row r="74" spans="1:22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  <c r="J74" s="12"/>
      <c r="K74">
        <f t="shared" si="10"/>
        <v>0.76470588235294112</v>
      </c>
      <c r="L74">
        <f t="shared" si="11"/>
        <v>0.63316582914572861</v>
      </c>
      <c r="M74">
        <f t="shared" si="12"/>
        <v>0.73770491803278693</v>
      </c>
      <c r="N74">
        <f t="shared" si="13"/>
        <v>0</v>
      </c>
      <c r="O74">
        <f t="shared" si="14"/>
        <v>0</v>
      </c>
      <c r="P74">
        <f t="shared" si="15"/>
        <v>0.64679582712369599</v>
      </c>
      <c r="Q74">
        <f t="shared" si="16"/>
        <v>0.21562766865926558</v>
      </c>
      <c r="R74">
        <f t="shared" si="17"/>
        <v>0.35</v>
      </c>
      <c r="S74" s="13"/>
      <c r="T74" s="3" cm="1">
        <f t="array" ref="T74">_xlfn.LET(
    _xlpm.dist, SQRT(MMULT((Training!$K$2:$R$616 - K74:R74)^2, _xlfn.SEQUENCE(8,1,1,0))),
    _xlpm.sorted, _xlfn.SORTBY(Training!$I$2:$I$616, _xlpm.dist, 1),
    _xlfn.MODE.SNGL(INDEX(_xlpm.sorted, {1,2,3}))
)</f>
        <v>1</v>
      </c>
      <c r="U74" t="str">
        <f t="shared" si="18"/>
        <v>COCOK</v>
      </c>
      <c r="V74" s="7" t="str">
        <f t="shared" si="19"/>
        <v>TP</v>
      </c>
    </row>
    <row r="75" spans="1:22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  <c r="J75" s="12"/>
      <c r="K75">
        <f t="shared" si="10"/>
        <v>0.23529411764705882</v>
      </c>
      <c r="L75">
        <f t="shared" si="11"/>
        <v>0.64824120603015079</v>
      </c>
      <c r="M75">
        <f t="shared" si="12"/>
        <v>0.70491803278688525</v>
      </c>
      <c r="N75">
        <f t="shared" si="13"/>
        <v>0.20202020202020202</v>
      </c>
      <c r="O75">
        <f t="shared" si="14"/>
        <v>0.31914893617021278</v>
      </c>
      <c r="P75">
        <f t="shared" si="15"/>
        <v>0.52309985096870348</v>
      </c>
      <c r="Q75">
        <f t="shared" si="16"/>
        <v>6.5328778821520078E-2</v>
      </c>
      <c r="R75">
        <f t="shared" si="17"/>
        <v>3.3333333333333333E-2</v>
      </c>
      <c r="S75" s="13"/>
      <c r="T75" s="3" cm="1">
        <f t="array" ref="T75">_xlfn.LET(
    _xlpm.dist, SQRT(MMULT((Training!$K$2:$R$616 - K75:R75)^2, _xlfn.SEQUENCE(8,1,1,0))),
    _xlpm.sorted, _xlfn.SORTBY(Training!$I$2:$I$616, _xlpm.dist, 1),
    _xlfn.MODE.SNGL(INDEX(_xlpm.sorted, {1,2,3}))
)</f>
        <v>0</v>
      </c>
      <c r="U75" t="str">
        <f t="shared" si="18"/>
        <v>COCOK</v>
      </c>
      <c r="V75" s="7" t="str">
        <f t="shared" si="19"/>
        <v>TN</v>
      </c>
    </row>
    <row r="76" spans="1:22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  <c r="J76" s="12"/>
      <c r="K76">
        <f t="shared" si="10"/>
        <v>5.8823529411764705E-2</v>
      </c>
      <c r="L76">
        <f t="shared" si="11"/>
        <v>0.39698492462311558</v>
      </c>
      <c r="M76">
        <f t="shared" si="12"/>
        <v>0.61475409836065575</v>
      </c>
      <c r="N76">
        <f t="shared" si="13"/>
        <v>0.30303030303030304</v>
      </c>
      <c r="O76">
        <f t="shared" si="14"/>
        <v>0</v>
      </c>
      <c r="P76">
        <f t="shared" si="15"/>
        <v>0.47690014903129663</v>
      </c>
      <c r="Q76">
        <f t="shared" si="16"/>
        <v>0.13578138343296328</v>
      </c>
      <c r="R76">
        <f t="shared" si="17"/>
        <v>1.6666666666666666E-2</v>
      </c>
      <c r="S76" s="13"/>
      <c r="T76" s="3" cm="1">
        <f t="array" ref="T76">_xlfn.LET(
    _xlpm.dist, SQRT(MMULT((Training!$K$2:$R$616 - K76:R76)^2, _xlfn.SEQUENCE(8,1,1,0))),
    _xlpm.sorted, _xlfn.SORTBY(Training!$I$2:$I$616, _xlpm.dist, 1),
    _xlfn.MODE.SNGL(INDEX(_xlpm.sorted, {1,2,3}))
)</f>
        <v>0</v>
      </c>
      <c r="U76" t="str">
        <f t="shared" si="18"/>
        <v>COCOK</v>
      </c>
      <c r="V76" s="7" t="str">
        <f t="shared" si="19"/>
        <v>TN</v>
      </c>
    </row>
    <row r="77" spans="1:22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  <c r="J77" s="12"/>
      <c r="K77">
        <f t="shared" si="10"/>
        <v>5.8823529411764705E-2</v>
      </c>
      <c r="L77">
        <f t="shared" si="11"/>
        <v>0</v>
      </c>
      <c r="M77">
        <f t="shared" si="12"/>
        <v>0.39344262295081966</v>
      </c>
      <c r="N77">
        <f t="shared" si="13"/>
        <v>0.20202020202020202</v>
      </c>
      <c r="O77">
        <f t="shared" si="14"/>
        <v>0</v>
      </c>
      <c r="P77">
        <f t="shared" si="15"/>
        <v>0.36810730253353208</v>
      </c>
      <c r="Q77">
        <f t="shared" si="16"/>
        <v>2.6473099914602907E-2</v>
      </c>
      <c r="R77">
        <f t="shared" si="17"/>
        <v>1.6666666666666666E-2</v>
      </c>
      <c r="S77" s="13"/>
      <c r="T77" s="3" cm="1">
        <f t="array" ref="T77">_xlfn.LET(
    _xlpm.dist, SQRT(MMULT((Training!$K$2:$R$616 - K77:R77)^2, _xlfn.SEQUENCE(8,1,1,0))),
    _xlpm.sorted, _xlfn.SORTBY(Training!$I$2:$I$616, _xlpm.dist, 1),
    _xlfn.MODE.SNGL(INDEX(_xlpm.sorted, {1,2,3}))
)</f>
        <v>0</v>
      </c>
      <c r="U77" t="str">
        <f t="shared" si="18"/>
        <v>COCOK</v>
      </c>
      <c r="V77" s="7" t="str">
        <f t="shared" si="19"/>
        <v>TN</v>
      </c>
    </row>
    <row r="78" spans="1:22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  <c r="J78" s="12"/>
      <c r="K78">
        <f t="shared" si="10"/>
        <v>0.41176470588235292</v>
      </c>
      <c r="L78">
        <f t="shared" si="11"/>
        <v>0.31155778894472363</v>
      </c>
      <c r="M78">
        <f t="shared" si="12"/>
        <v>0.63934426229508201</v>
      </c>
      <c r="N78">
        <f t="shared" si="13"/>
        <v>0</v>
      </c>
      <c r="O78">
        <f t="shared" si="14"/>
        <v>0</v>
      </c>
      <c r="P78">
        <f t="shared" si="15"/>
        <v>0.48584202682563343</v>
      </c>
      <c r="Q78">
        <f t="shared" si="16"/>
        <v>0.1336464560204953</v>
      </c>
      <c r="R78">
        <f t="shared" si="17"/>
        <v>0.33333333333333331</v>
      </c>
      <c r="S78" s="13"/>
      <c r="T78" s="3" cm="1">
        <f t="array" ref="T78">_xlfn.LET(
    _xlpm.dist, SQRT(MMULT((Training!$K$2:$R$616 - K78:R78)^2, _xlfn.SEQUENCE(8,1,1,0))),
    _xlpm.sorted, _xlfn.SORTBY(Training!$I$2:$I$616, _xlpm.dist, 1),
    _xlfn.MODE.SNGL(INDEX(_xlpm.sorted, {1,2,3}))
)</f>
        <v>0</v>
      </c>
      <c r="U78" t="str">
        <f t="shared" si="18"/>
        <v>COCOK</v>
      </c>
      <c r="V78" s="7" t="str">
        <f t="shared" si="19"/>
        <v>TN</v>
      </c>
    </row>
    <row r="79" spans="1:22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  <c r="J79" s="12"/>
      <c r="K79">
        <f t="shared" si="10"/>
        <v>0.29411764705882354</v>
      </c>
      <c r="L79">
        <f t="shared" si="11"/>
        <v>0.47738693467336685</v>
      </c>
      <c r="M79">
        <f t="shared" si="12"/>
        <v>0.5901639344262295</v>
      </c>
      <c r="N79">
        <f t="shared" si="13"/>
        <v>0.33333333333333331</v>
      </c>
      <c r="O79">
        <f t="shared" si="14"/>
        <v>0</v>
      </c>
      <c r="P79">
        <f t="shared" si="15"/>
        <v>0.56184798807749636</v>
      </c>
      <c r="Q79">
        <f t="shared" si="16"/>
        <v>0.12467976088812979</v>
      </c>
      <c r="R79">
        <f t="shared" si="17"/>
        <v>0.1</v>
      </c>
      <c r="S79" s="13"/>
      <c r="T79" s="3" cm="1">
        <f t="array" ref="T79">_xlfn.LET(
    _xlpm.dist, SQRT(MMULT((Training!$K$2:$R$616 - K79:R79)^2, _xlfn.SEQUENCE(8,1,1,0))),
    _xlpm.sorted, _xlfn.SORTBY(Training!$I$2:$I$616, _xlpm.dist, 1),
    _xlfn.MODE.SNGL(INDEX(_xlpm.sorted, {1,2,3}))
)</f>
        <v>0</v>
      </c>
      <c r="U79" t="str">
        <f t="shared" si="18"/>
        <v>COCOK</v>
      </c>
      <c r="V79" s="7" t="str">
        <f t="shared" si="19"/>
        <v>TN</v>
      </c>
    </row>
    <row r="80" spans="1:22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  <c r="J80" s="12"/>
      <c r="K80">
        <f t="shared" si="10"/>
        <v>0</v>
      </c>
      <c r="L80">
        <f t="shared" si="11"/>
        <v>0.65829145728643212</v>
      </c>
      <c r="M80">
        <f t="shared" si="12"/>
        <v>0</v>
      </c>
      <c r="N80">
        <f t="shared" si="13"/>
        <v>0</v>
      </c>
      <c r="O80">
        <f t="shared" si="14"/>
        <v>0</v>
      </c>
      <c r="P80">
        <f t="shared" si="15"/>
        <v>0.64381520119225044</v>
      </c>
      <c r="Q80">
        <f t="shared" si="16"/>
        <v>8.1981212638770284E-2</v>
      </c>
      <c r="R80">
        <f t="shared" si="17"/>
        <v>8.3333333333333329E-2</v>
      </c>
      <c r="S80" s="13"/>
      <c r="T80" s="3" cm="1">
        <f t="array" ref="T80">_xlfn.LET(
    _xlpm.dist, SQRT(MMULT((Training!$K$2:$R$616 - K80:R80)^2, _xlfn.SEQUENCE(8,1,1,0))),
    _xlpm.sorted, _xlfn.SORTBY(Training!$I$2:$I$616, _xlpm.dist, 1),
    _xlfn.MODE.SNGL(INDEX(_xlpm.sorted, {1,2,3}))
)</f>
        <v>1</v>
      </c>
      <c r="U80" t="str">
        <f t="shared" si="18"/>
        <v>COCOK</v>
      </c>
      <c r="V80" s="7" t="str">
        <f t="shared" si="19"/>
        <v>TP</v>
      </c>
    </row>
    <row r="81" spans="1:22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  <c r="J81" s="12"/>
      <c r="K81">
        <f t="shared" si="10"/>
        <v>0.11764705882352941</v>
      </c>
      <c r="L81">
        <f t="shared" si="11"/>
        <v>0.56281407035175879</v>
      </c>
      <c r="M81">
        <f t="shared" si="12"/>
        <v>0.54098360655737709</v>
      </c>
      <c r="N81">
        <f t="shared" si="13"/>
        <v>0.22222222222222221</v>
      </c>
      <c r="O81">
        <f t="shared" si="14"/>
        <v>0</v>
      </c>
      <c r="P81">
        <f t="shared" si="15"/>
        <v>0.37257824143070045</v>
      </c>
      <c r="Q81">
        <f t="shared" si="16"/>
        <v>9.7779675491033294E-2</v>
      </c>
      <c r="R81">
        <f t="shared" si="17"/>
        <v>0.05</v>
      </c>
      <c r="S81" s="13"/>
      <c r="T81" s="3" cm="1">
        <f t="array" ref="T81">_xlfn.LET(
    _xlpm.dist, SQRT(MMULT((Training!$K$2:$R$616 - K81:R81)^2, _xlfn.SEQUENCE(8,1,1,0))),
    _xlpm.sorted, _xlfn.SORTBY(Training!$I$2:$I$616, _xlpm.dist, 1),
    _xlfn.MODE.SNGL(INDEX(_xlpm.sorted, {1,2,3}))
)</f>
        <v>0</v>
      </c>
      <c r="U81" t="str">
        <f t="shared" si="18"/>
        <v>COCOK</v>
      </c>
      <c r="V81" s="7" t="str">
        <f t="shared" si="19"/>
        <v>TN</v>
      </c>
    </row>
    <row r="82" spans="1:22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  <c r="J82" s="12"/>
      <c r="K82">
        <f t="shared" si="10"/>
        <v>0.17647058823529413</v>
      </c>
      <c r="L82">
        <f t="shared" si="11"/>
        <v>0.56783919597989951</v>
      </c>
      <c r="M82">
        <f t="shared" si="12"/>
        <v>0.36065573770491804</v>
      </c>
      <c r="N82">
        <f t="shared" si="13"/>
        <v>0.13131313131313133</v>
      </c>
      <c r="O82">
        <f t="shared" si="14"/>
        <v>0</v>
      </c>
      <c r="P82">
        <f t="shared" si="15"/>
        <v>0.33383010432190763</v>
      </c>
      <c r="Q82">
        <f t="shared" si="16"/>
        <v>2.6473099914602907E-2</v>
      </c>
      <c r="R82">
        <f t="shared" si="17"/>
        <v>1.6666666666666666E-2</v>
      </c>
      <c r="S82" s="13"/>
      <c r="T82" s="3" cm="1">
        <f t="array" ref="T82">_xlfn.LET(
    _xlpm.dist, SQRT(MMULT((Training!$K$2:$R$616 - K82:R82)^2, _xlfn.SEQUENCE(8,1,1,0))),
    _xlpm.sorted, _xlfn.SORTBY(Training!$I$2:$I$616, _xlpm.dist, 1),
    _xlfn.MODE.SNGL(INDEX(_xlpm.sorted, {1,2,3}))
)</f>
        <v>0</v>
      </c>
      <c r="U82" t="str">
        <f t="shared" si="18"/>
        <v>COCOK</v>
      </c>
      <c r="V82" s="7" t="str">
        <f t="shared" si="19"/>
        <v>TN</v>
      </c>
    </row>
    <row r="83" spans="1:22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  <c r="J83" s="12"/>
      <c r="K83">
        <f t="shared" si="10"/>
        <v>0.11764705882352941</v>
      </c>
      <c r="L83">
        <f t="shared" si="11"/>
        <v>0.37185929648241206</v>
      </c>
      <c r="M83">
        <f t="shared" si="12"/>
        <v>0</v>
      </c>
      <c r="N83">
        <f t="shared" si="13"/>
        <v>0</v>
      </c>
      <c r="O83">
        <f t="shared" si="14"/>
        <v>0</v>
      </c>
      <c r="P83">
        <f t="shared" si="15"/>
        <v>0</v>
      </c>
      <c r="Q83">
        <f t="shared" si="16"/>
        <v>1.0247651579846282E-2</v>
      </c>
      <c r="R83">
        <f t="shared" si="17"/>
        <v>1.6666666666666666E-2</v>
      </c>
      <c r="S83" s="13"/>
      <c r="T83" s="3" cm="1">
        <f t="array" ref="T83">_xlfn.LET(
    _xlpm.dist, SQRT(MMULT((Training!$K$2:$R$616 - K83:R83)^2, _xlfn.SEQUENCE(8,1,1,0))),
    _xlpm.sorted, _xlfn.SORTBY(Training!$I$2:$I$616, _xlpm.dist, 1),
    _xlfn.MODE.SNGL(INDEX(_xlpm.sorted, {1,2,3}))
)</f>
        <v>0</v>
      </c>
      <c r="U83" t="str">
        <f t="shared" si="18"/>
        <v>COCOK</v>
      </c>
      <c r="V83" s="7" t="str">
        <f t="shared" si="19"/>
        <v>TN</v>
      </c>
    </row>
    <row r="84" spans="1:22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  <c r="J84" s="12"/>
      <c r="K84">
        <f t="shared" si="10"/>
        <v>0.41176470588235292</v>
      </c>
      <c r="L84">
        <f t="shared" si="11"/>
        <v>0.41708542713567837</v>
      </c>
      <c r="M84">
        <f t="shared" si="12"/>
        <v>0.63934426229508201</v>
      </c>
      <c r="N84">
        <f t="shared" si="13"/>
        <v>0.26262626262626265</v>
      </c>
      <c r="O84">
        <f t="shared" si="14"/>
        <v>8.3924349881796687E-2</v>
      </c>
      <c r="P84">
        <f t="shared" si="15"/>
        <v>0.43666169895678097</v>
      </c>
      <c r="Q84">
        <f t="shared" si="16"/>
        <v>0.29419299743808713</v>
      </c>
      <c r="R84">
        <f t="shared" si="17"/>
        <v>0.25</v>
      </c>
      <c r="S84" s="13"/>
      <c r="T84" s="3" cm="1">
        <f t="array" ref="T84">_xlfn.LET(
    _xlpm.dist, SQRT(MMULT((Training!$K$2:$R$616 - K84:R84)^2, _xlfn.SEQUENCE(8,1,1,0))),
    _xlpm.sorted, _xlfn.SORTBY(Training!$I$2:$I$616, _xlpm.dist, 1),
    _xlfn.MODE.SNGL(INDEX(_xlpm.sorted, {1,2,3}))
)</f>
        <v>0</v>
      </c>
      <c r="U84" t="str">
        <f t="shared" si="18"/>
        <v>COCOK</v>
      </c>
      <c r="V84" s="7" t="str">
        <f t="shared" si="19"/>
        <v>TN</v>
      </c>
    </row>
    <row r="85" spans="1:22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  <c r="J85" s="12"/>
      <c r="K85">
        <f t="shared" si="10"/>
        <v>0</v>
      </c>
      <c r="L85">
        <f t="shared" si="11"/>
        <v>0.50753768844221103</v>
      </c>
      <c r="M85">
        <f t="shared" si="12"/>
        <v>0.53278688524590168</v>
      </c>
      <c r="N85">
        <f t="shared" si="13"/>
        <v>0.28282828282828282</v>
      </c>
      <c r="O85">
        <f t="shared" si="14"/>
        <v>0</v>
      </c>
      <c r="P85">
        <f t="shared" si="15"/>
        <v>0.3666169895678093</v>
      </c>
      <c r="Q85">
        <f t="shared" si="16"/>
        <v>6.7890691716481627E-2</v>
      </c>
      <c r="R85">
        <f t="shared" si="17"/>
        <v>1.6666666666666666E-2</v>
      </c>
      <c r="S85" s="13"/>
      <c r="T85" s="3" cm="1">
        <f t="array" ref="T85">_xlfn.LET(
    _xlpm.dist, SQRT(MMULT((Training!$K$2:$R$616 - K85:R85)^2, _xlfn.SEQUENCE(8,1,1,0))),
    _xlpm.sorted, _xlfn.SORTBY(Training!$I$2:$I$616, _xlpm.dist, 1),
    _xlfn.MODE.SNGL(INDEX(_xlpm.sorted, {1,2,3}))
)</f>
        <v>0</v>
      </c>
      <c r="U85" t="str">
        <f t="shared" si="18"/>
        <v>COCOK</v>
      </c>
      <c r="V85" s="7" t="str">
        <f t="shared" si="19"/>
        <v>TN</v>
      </c>
    </row>
    <row r="86" spans="1:22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  <c r="J86" s="12"/>
      <c r="K86">
        <f t="shared" si="10"/>
        <v>0.29411764705882354</v>
      </c>
      <c r="L86">
        <f t="shared" si="11"/>
        <v>0.68844221105527637</v>
      </c>
      <c r="M86">
        <f t="shared" si="12"/>
        <v>0.88524590163934425</v>
      </c>
      <c r="N86">
        <f t="shared" si="13"/>
        <v>0</v>
      </c>
      <c r="O86">
        <f t="shared" si="14"/>
        <v>0</v>
      </c>
      <c r="P86">
        <f t="shared" si="15"/>
        <v>0.72727272727272729</v>
      </c>
      <c r="Q86">
        <f t="shared" si="16"/>
        <v>6.3620836891545698E-2</v>
      </c>
      <c r="R86">
        <f t="shared" si="17"/>
        <v>0.26666666666666666</v>
      </c>
      <c r="S86" s="13"/>
      <c r="T86" s="3" cm="1">
        <f t="array" ref="T86">_xlfn.LET(
    _xlpm.dist, SQRT(MMULT((Training!$K$2:$R$616 - K86:R86)^2, _xlfn.SEQUENCE(8,1,1,0))),
    _xlpm.sorted, _xlfn.SORTBY(Training!$I$2:$I$616, _xlpm.dist, 1),
    _xlfn.MODE.SNGL(INDEX(_xlpm.sorted, {1,2,3}))
)</f>
        <v>0</v>
      </c>
      <c r="U86" t="str">
        <f t="shared" si="18"/>
        <v>TIDAK</v>
      </c>
      <c r="V86" s="7" t="str">
        <f t="shared" si="19"/>
        <v>FN</v>
      </c>
    </row>
    <row r="87" spans="1:22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  <c r="J87" s="12"/>
      <c r="K87">
        <f t="shared" si="10"/>
        <v>0.11764705882352941</v>
      </c>
      <c r="L87">
        <f t="shared" si="11"/>
        <v>0.55276381909547734</v>
      </c>
      <c r="M87">
        <f t="shared" si="12"/>
        <v>0.60655737704918034</v>
      </c>
      <c r="N87">
        <f t="shared" si="13"/>
        <v>0.29292929292929293</v>
      </c>
      <c r="O87">
        <f t="shared" si="14"/>
        <v>0.14775413711583923</v>
      </c>
      <c r="P87">
        <f t="shared" si="15"/>
        <v>0.48286140089418778</v>
      </c>
      <c r="Q87">
        <f t="shared" si="16"/>
        <v>0.26473099914602904</v>
      </c>
      <c r="R87">
        <f t="shared" si="17"/>
        <v>0.1</v>
      </c>
      <c r="S87" s="13"/>
      <c r="T87" s="3" cm="1">
        <f t="array" ref="T87">_xlfn.LET(
    _xlpm.dist, SQRT(MMULT((Training!$K$2:$R$616 - K87:R87)^2, _xlfn.SEQUENCE(8,1,1,0))),
    _xlpm.sorted, _xlfn.SORTBY(Training!$I$2:$I$616, _xlpm.dist, 1),
    _xlfn.MODE.SNGL(INDEX(_xlpm.sorted, {1,2,3}))
)</f>
        <v>0</v>
      </c>
      <c r="U87" t="str">
        <f t="shared" si="18"/>
        <v>COCOK</v>
      </c>
      <c r="V87" s="7" t="str">
        <f t="shared" si="19"/>
        <v>TN</v>
      </c>
    </row>
    <row r="88" spans="1:22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  <c r="J88" s="12"/>
      <c r="K88">
        <f t="shared" si="10"/>
        <v>0.76470588235294112</v>
      </c>
      <c r="L88">
        <f t="shared" si="11"/>
        <v>0.53266331658291455</v>
      </c>
      <c r="M88">
        <f t="shared" si="12"/>
        <v>0.5901639344262295</v>
      </c>
      <c r="N88">
        <f t="shared" si="13"/>
        <v>0.54545454545454541</v>
      </c>
      <c r="O88">
        <f t="shared" si="14"/>
        <v>0</v>
      </c>
      <c r="P88">
        <f t="shared" si="15"/>
        <v>0.54545454545454553</v>
      </c>
      <c r="Q88">
        <f t="shared" si="16"/>
        <v>4.2698548249359515E-2</v>
      </c>
      <c r="R88">
        <f t="shared" si="17"/>
        <v>0.4</v>
      </c>
      <c r="S88" s="13"/>
      <c r="T88" s="3" cm="1">
        <f t="array" ref="T88">_xlfn.LET(
    _xlpm.dist, SQRT(MMULT((Training!$K$2:$R$616 - K88:R88)^2, _xlfn.SEQUENCE(8,1,1,0))),
    _xlpm.sorted, _xlfn.SORTBY(Training!$I$2:$I$616, _xlpm.dist, 1),
    _xlfn.MODE.SNGL(INDEX(_xlpm.sorted, {1,2,3}))
)</f>
        <v>0</v>
      </c>
      <c r="U88" t="str">
        <f t="shared" si="18"/>
        <v>COCOK</v>
      </c>
      <c r="V88" s="7" t="str">
        <f t="shared" si="19"/>
        <v>TN</v>
      </c>
    </row>
    <row r="89" spans="1:22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  <c r="J89" s="12"/>
      <c r="K89">
        <f t="shared" si="10"/>
        <v>0.11764705882352941</v>
      </c>
      <c r="L89">
        <f t="shared" si="11"/>
        <v>0.50251256281407031</v>
      </c>
      <c r="M89">
        <f t="shared" si="12"/>
        <v>0.55737704918032782</v>
      </c>
      <c r="N89">
        <f t="shared" si="13"/>
        <v>0.25252525252525254</v>
      </c>
      <c r="O89">
        <f t="shared" si="14"/>
        <v>8.3924349881796687E-2</v>
      </c>
      <c r="P89">
        <f t="shared" si="15"/>
        <v>0.57377049180327877</v>
      </c>
      <c r="Q89">
        <f t="shared" si="16"/>
        <v>0.10503842869342442</v>
      </c>
      <c r="R89">
        <f t="shared" si="17"/>
        <v>8.3333333333333329E-2</v>
      </c>
      <c r="S89" s="13"/>
      <c r="T89" s="3" cm="1">
        <f t="array" ref="T89">_xlfn.LET(
    _xlpm.dist, SQRT(MMULT((Training!$K$2:$R$616 - K89:R89)^2, _xlfn.SEQUENCE(8,1,1,0))),
    _xlpm.sorted, _xlfn.SORTBY(Training!$I$2:$I$616, _xlpm.dist, 1),
    _xlfn.MODE.SNGL(INDEX(_xlpm.sorted, {1,2,3}))
)</f>
        <v>0</v>
      </c>
      <c r="U89" t="str">
        <f t="shared" si="18"/>
        <v>COCOK</v>
      </c>
      <c r="V89" s="7" t="str">
        <f t="shared" si="19"/>
        <v>TN</v>
      </c>
    </row>
    <row r="90" spans="1:22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  <c r="J90" s="12"/>
      <c r="K90">
        <f t="shared" si="10"/>
        <v>0.88235294117647056</v>
      </c>
      <c r="L90">
        <f t="shared" si="11"/>
        <v>0.68341708542713564</v>
      </c>
      <c r="M90">
        <f t="shared" si="12"/>
        <v>0.57377049180327866</v>
      </c>
      <c r="N90">
        <f t="shared" si="13"/>
        <v>0.32323232323232326</v>
      </c>
      <c r="O90">
        <f t="shared" si="14"/>
        <v>0.13002364066193853</v>
      </c>
      <c r="P90">
        <f t="shared" si="15"/>
        <v>0.5529061102831595</v>
      </c>
      <c r="Q90">
        <f t="shared" si="16"/>
        <v>3.2023911187019638E-2</v>
      </c>
      <c r="R90">
        <f t="shared" si="17"/>
        <v>0.36666666666666664</v>
      </c>
      <c r="S90" s="13"/>
      <c r="T90" s="3" cm="1">
        <f t="array" ref="T90">_xlfn.LET(
    _xlpm.dist, SQRT(MMULT((Training!$K$2:$R$616 - K90:R90)^2, _xlfn.SEQUENCE(8,1,1,0))),
    _xlpm.sorted, _xlfn.SORTBY(Training!$I$2:$I$616, _xlpm.dist, 1),
    _xlfn.MODE.SNGL(INDEX(_xlpm.sorted, {1,2,3}))
)</f>
        <v>1</v>
      </c>
      <c r="U90" t="str">
        <f t="shared" si="18"/>
        <v>COCOK</v>
      </c>
      <c r="V90" s="7" t="str">
        <f t="shared" si="19"/>
        <v>TP</v>
      </c>
    </row>
    <row r="91" spans="1:22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  <c r="J91" s="12"/>
      <c r="K91">
        <f t="shared" si="10"/>
        <v>5.8823529411764705E-2</v>
      </c>
      <c r="L91">
        <f t="shared" si="11"/>
        <v>0.53768844221105527</v>
      </c>
      <c r="M91">
        <f t="shared" si="12"/>
        <v>0.55737704918032782</v>
      </c>
      <c r="N91">
        <f t="shared" si="13"/>
        <v>0.19191919191919191</v>
      </c>
      <c r="O91">
        <f t="shared" si="14"/>
        <v>0</v>
      </c>
      <c r="P91">
        <f t="shared" si="15"/>
        <v>0.39493293591654249</v>
      </c>
      <c r="Q91">
        <f t="shared" si="16"/>
        <v>3.7147736976942784E-2</v>
      </c>
      <c r="R91">
        <f t="shared" si="17"/>
        <v>0.05</v>
      </c>
      <c r="S91" s="13"/>
      <c r="T91" s="3" cm="1">
        <f t="array" ref="T91">_xlfn.LET(
    _xlpm.dist, SQRT(MMULT((Training!$K$2:$R$616 - K91:R91)^2, _xlfn.SEQUENCE(8,1,1,0))),
    _xlpm.sorted, _xlfn.SORTBY(Training!$I$2:$I$616, _xlpm.dist, 1),
    _xlfn.MODE.SNGL(INDEX(_xlpm.sorted, {1,2,3}))
)</f>
        <v>0</v>
      </c>
      <c r="U91" t="str">
        <f t="shared" si="18"/>
        <v>COCOK</v>
      </c>
      <c r="V91" s="7" t="str">
        <f t="shared" si="19"/>
        <v>TN</v>
      </c>
    </row>
    <row r="92" spans="1:22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  <c r="J92" s="12"/>
      <c r="K92">
        <f t="shared" si="10"/>
        <v>5.8823529411764705E-2</v>
      </c>
      <c r="L92">
        <f t="shared" si="11"/>
        <v>0.4020100502512563</v>
      </c>
      <c r="M92">
        <f t="shared" si="12"/>
        <v>0.45081967213114754</v>
      </c>
      <c r="N92">
        <f t="shared" si="13"/>
        <v>0</v>
      </c>
      <c r="O92">
        <f t="shared" si="14"/>
        <v>0</v>
      </c>
      <c r="P92">
        <f t="shared" si="15"/>
        <v>0.28464977645305517</v>
      </c>
      <c r="Q92">
        <f t="shared" si="16"/>
        <v>7.6857386848847131E-2</v>
      </c>
      <c r="R92">
        <f t="shared" si="17"/>
        <v>0</v>
      </c>
      <c r="S92" s="13"/>
      <c r="T92" s="3" cm="1">
        <f t="array" ref="T92">_xlfn.LET(
    _xlpm.dist, SQRT(MMULT((Training!$K$2:$R$616 - K92:R92)^2, _xlfn.SEQUENCE(8,1,1,0))),
    _xlpm.sorted, _xlfn.SORTBY(Training!$I$2:$I$616, _xlpm.dist, 1),
    _xlfn.MODE.SNGL(INDEX(_xlpm.sorted, {1,2,3}))
)</f>
        <v>0</v>
      </c>
      <c r="U92" t="str">
        <f t="shared" si="18"/>
        <v>COCOK</v>
      </c>
      <c r="V92" s="7" t="str">
        <f t="shared" si="19"/>
        <v>TN</v>
      </c>
    </row>
    <row r="93" spans="1:22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  <c r="J93" s="12"/>
      <c r="K93">
        <f t="shared" si="10"/>
        <v>0.23529411764705882</v>
      </c>
      <c r="L93">
        <f t="shared" si="11"/>
        <v>0.61809045226130654</v>
      </c>
      <c r="M93">
        <f t="shared" si="12"/>
        <v>0.65573770491803274</v>
      </c>
      <c r="N93">
        <f t="shared" si="13"/>
        <v>0.15151515151515152</v>
      </c>
      <c r="O93">
        <f t="shared" si="14"/>
        <v>0.20803782505910165</v>
      </c>
      <c r="P93">
        <f t="shared" si="15"/>
        <v>0.47690014903129663</v>
      </c>
      <c r="Q93">
        <f t="shared" si="16"/>
        <v>0.15584970111016225</v>
      </c>
      <c r="R93">
        <f t="shared" si="17"/>
        <v>0.21666666666666667</v>
      </c>
      <c r="S93" s="13"/>
      <c r="T93" s="3" cm="1">
        <f t="array" ref="T93">_xlfn.LET(
    _xlpm.dist, SQRT(MMULT((Training!$K$2:$R$616 - K93:R93)^2, _xlfn.SEQUENCE(8,1,1,0))),
    _xlpm.sorted, _xlfn.SORTBY(Training!$I$2:$I$616, _xlpm.dist, 1),
    _xlfn.MODE.SNGL(INDEX(_xlpm.sorted, {1,2,3}))
)</f>
        <v>1</v>
      </c>
      <c r="U93" t="str">
        <f t="shared" si="18"/>
        <v>TIDAK</v>
      </c>
      <c r="V93" s="7" t="str">
        <f t="shared" si="19"/>
        <v>FP</v>
      </c>
    </row>
    <row r="94" spans="1:22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  <c r="J94" s="12"/>
      <c r="K94">
        <f t="shared" si="10"/>
        <v>0.41176470588235292</v>
      </c>
      <c r="L94">
        <f t="shared" si="11"/>
        <v>0.40703517587939697</v>
      </c>
      <c r="M94">
        <f t="shared" si="12"/>
        <v>0.63934426229508201</v>
      </c>
      <c r="N94">
        <f t="shared" si="13"/>
        <v>0.40404040404040403</v>
      </c>
      <c r="O94">
        <f t="shared" si="14"/>
        <v>5.6737588652482268E-2</v>
      </c>
      <c r="P94">
        <f t="shared" si="15"/>
        <v>0.6959761549925485</v>
      </c>
      <c r="Q94">
        <f t="shared" si="16"/>
        <v>7.813834329632792E-2</v>
      </c>
      <c r="R94">
        <f t="shared" si="17"/>
        <v>0.35</v>
      </c>
      <c r="S94" s="13"/>
      <c r="T94" s="3" cm="1">
        <f t="array" ref="T94">_xlfn.LET(
    _xlpm.dist, SQRT(MMULT((Training!$K$2:$R$616 - K94:R94)^2, _xlfn.SEQUENCE(8,1,1,0))),
    _xlpm.sorted, _xlfn.SORTBY(Training!$I$2:$I$616, _xlpm.dist, 1),
    _xlfn.MODE.SNGL(INDEX(_xlpm.sorted, {1,2,3}))
)</f>
        <v>0</v>
      </c>
      <c r="U94" t="str">
        <f t="shared" si="18"/>
        <v>COCOK</v>
      </c>
      <c r="V94" s="7" t="str">
        <f t="shared" si="19"/>
        <v>TN</v>
      </c>
    </row>
    <row r="95" spans="1:22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  <c r="J95" s="12"/>
      <c r="K95">
        <f t="shared" si="10"/>
        <v>0.23529411764705882</v>
      </c>
      <c r="L95">
        <f t="shared" si="11"/>
        <v>0.6733668341708543</v>
      </c>
      <c r="M95">
        <f t="shared" si="12"/>
        <v>0.5901639344262295</v>
      </c>
      <c r="N95">
        <f t="shared" si="13"/>
        <v>0</v>
      </c>
      <c r="O95">
        <f t="shared" si="14"/>
        <v>0</v>
      </c>
      <c r="P95">
        <f t="shared" si="15"/>
        <v>0.35469448584202684</v>
      </c>
      <c r="Q95">
        <f t="shared" si="16"/>
        <v>8.4970111016225452E-2</v>
      </c>
      <c r="R95">
        <f t="shared" si="17"/>
        <v>0.65</v>
      </c>
      <c r="S95" s="13"/>
      <c r="T95" s="3" cm="1">
        <f t="array" ref="T95">_xlfn.LET(
    _xlpm.dist, SQRT(MMULT((Training!$K$2:$R$616 - K95:R95)^2, _xlfn.SEQUENCE(8,1,1,0))),
    _xlpm.sorted, _xlfn.SORTBY(Training!$I$2:$I$616, _xlpm.dist, 1),
    _xlfn.MODE.SNGL(INDEX(_xlpm.sorted, {1,2,3}))
)</f>
        <v>0</v>
      </c>
      <c r="U95" t="str">
        <f t="shared" si="18"/>
        <v>TIDAK</v>
      </c>
      <c r="V95" s="7" t="str">
        <f t="shared" si="19"/>
        <v>FN</v>
      </c>
    </row>
    <row r="96" spans="1:22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  <c r="J96" s="12"/>
      <c r="K96">
        <f t="shared" si="10"/>
        <v>0.11764705882352941</v>
      </c>
      <c r="L96">
        <f t="shared" si="11"/>
        <v>0.71356783919597988</v>
      </c>
      <c r="M96">
        <f t="shared" si="12"/>
        <v>0.67213114754098358</v>
      </c>
      <c r="N96">
        <f t="shared" si="13"/>
        <v>0.18181818181818182</v>
      </c>
      <c r="O96">
        <f t="shared" si="14"/>
        <v>7.5650118203309691E-2</v>
      </c>
      <c r="P96">
        <f t="shared" si="15"/>
        <v>0.36810730253353208</v>
      </c>
      <c r="Q96">
        <f t="shared" si="16"/>
        <v>0.29163108454312553</v>
      </c>
      <c r="R96">
        <f t="shared" si="17"/>
        <v>0</v>
      </c>
      <c r="S96" s="13"/>
      <c r="T96" s="3" cm="1">
        <f t="array" ref="T96">_xlfn.LET(
    _xlpm.dist, SQRT(MMULT((Training!$K$2:$R$616 - K96:R96)^2, _xlfn.SEQUENCE(8,1,1,0))),
    _xlpm.sorted, _xlfn.SORTBY(Training!$I$2:$I$616, _xlpm.dist, 1),
    _xlfn.MODE.SNGL(INDEX(_xlpm.sorted, {1,2,3}))
)</f>
        <v>0</v>
      </c>
      <c r="U96" t="str">
        <f t="shared" si="18"/>
        <v>COCOK</v>
      </c>
      <c r="V96" s="7" t="str">
        <f t="shared" si="19"/>
        <v>TN</v>
      </c>
    </row>
    <row r="97" spans="1:22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  <c r="J97" s="12"/>
      <c r="K97">
        <f t="shared" si="10"/>
        <v>0.35294117647058826</v>
      </c>
      <c r="L97">
        <f t="shared" si="11"/>
        <v>0.72361809045226133</v>
      </c>
      <c r="M97">
        <f t="shared" si="12"/>
        <v>0.5901639344262295</v>
      </c>
      <c r="N97">
        <f t="shared" si="13"/>
        <v>0.27272727272727271</v>
      </c>
      <c r="O97">
        <f t="shared" si="14"/>
        <v>0.26950354609929078</v>
      </c>
      <c r="P97">
        <f t="shared" si="15"/>
        <v>0.50521609538002987</v>
      </c>
      <c r="Q97">
        <f t="shared" si="16"/>
        <v>7.5576430401366343E-2</v>
      </c>
      <c r="R97">
        <f t="shared" si="17"/>
        <v>0.31666666666666665</v>
      </c>
      <c r="S97" s="13"/>
      <c r="T97" s="3" cm="1">
        <f t="array" ref="T97">_xlfn.LET(
    _xlpm.dist, SQRT(MMULT((Training!$K$2:$R$616 - K97:R97)^2, _xlfn.SEQUENCE(8,1,1,0))),
    _xlpm.sorted, _xlfn.SORTBY(Training!$I$2:$I$616, _xlpm.dist, 1),
    _xlfn.MODE.SNGL(INDEX(_xlpm.sorted, {1,2,3}))
)</f>
        <v>0</v>
      </c>
      <c r="U97" t="str">
        <f t="shared" si="18"/>
        <v>COCOK</v>
      </c>
      <c r="V97" s="7" t="str">
        <f t="shared" si="19"/>
        <v>TN</v>
      </c>
    </row>
    <row r="98" spans="1:22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  <c r="J98" s="12"/>
      <c r="K98">
        <f t="shared" si="10"/>
        <v>0.11764705882352941</v>
      </c>
      <c r="L98">
        <f t="shared" si="11"/>
        <v>0.46231155778894473</v>
      </c>
      <c r="M98">
        <f t="shared" si="12"/>
        <v>0.50819672131147542</v>
      </c>
      <c r="N98">
        <f t="shared" si="13"/>
        <v>0.28282828282828282</v>
      </c>
      <c r="O98">
        <f t="shared" si="14"/>
        <v>0</v>
      </c>
      <c r="P98">
        <f t="shared" si="15"/>
        <v>0.47093889716840542</v>
      </c>
      <c r="Q98">
        <f t="shared" si="16"/>
        <v>2.2203245089666951E-2</v>
      </c>
      <c r="R98">
        <f t="shared" si="17"/>
        <v>0.05</v>
      </c>
      <c r="S98" s="13"/>
      <c r="T98" s="3" cm="1">
        <f t="array" ref="T98">_xlfn.LET(
    _xlpm.dist, SQRT(MMULT((Training!$K$2:$R$616 - K98:R98)^2, _xlfn.SEQUENCE(8,1,1,0))),
    _xlpm.sorted, _xlfn.SORTBY(Training!$I$2:$I$616, _xlpm.dist, 1),
    _xlfn.MODE.SNGL(INDEX(_xlpm.sorted, {1,2,3}))
)</f>
        <v>0</v>
      </c>
      <c r="U98" t="str">
        <f t="shared" si="18"/>
        <v>COCOK</v>
      </c>
      <c r="V98" s="7" t="str">
        <f t="shared" si="19"/>
        <v>TN</v>
      </c>
    </row>
    <row r="99" spans="1:22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  <c r="J99" s="12"/>
      <c r="K99">
        <f t="shared" si="10"/>
        <v>5.8823529411764705E-2</v>
      </c>
      <c r="L99">
        <f t="shared" si="11"/>
        <v>0.35678391959798994</v>
      </c>
      <c r="M99">
        <f t="shared" si="12"/>
        <v>0.39344262295081966</v>
      </c>
      <c r="N99">
        <f t="shared" si="13"/>
        <v>0.18181818181818182</v>
      </c>
      <c r="O99">
        <f t="shared" si="14"/>
        <v>8.9834515366430265E-2</v>
      </c>
      <c r="P99">
        <f t="shared" si="15"/>
        <v>0.30402384500745155</v>
      </c>
      <c r="Q99">
        <f t="shared" si="16"/>
        <v>0.10461144321093083</v>
      </c>
      <c r="R99">
        <f t="shared" si="17"/>
        <v>1.6666666666666666E-2</v>
      </c>
      <c r="S99" s="13"/>
      <c r="T99" s="3" cm="1">
        <f t="array" ref="T99">_xlfn.LET(
    _xlpm.dist, SQRT(MMULT((Training!$K$2:$R$616 - K99:R99)^2, _xlfn.SEQUENCE(8,1,1,0))),
    _xlpm.sorted, _xlfn.SORTBY(Training!$I$2:$I$616, _xlpm.dist, 1),
    _xlfn.MODE.SNGL(INDEX(_xlpm.sorted, {1,2,3}))
)</f>
        <v>0</v>
      </c>
      <c r="U99" t="str">
        <f t="shared" si="18"/>
        <v>COCOK</v>
      </c>
      <c r="V99" s="7" t="str">
        <f t="shared" si="19"/>
        <v>TN</v>
      </c>
    </row>
    <row r="100" spans="1:22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  <c r="J100" s="12"/>
      <c r="K100">
        <f t="shared" si="10"/>
        <v>0.35294117647058826</v>
      </c>
      <c r="L100">
        <f t="shared" si="11"/>
        <v>0.46733668341708545</v>
      </c>
      <c r="M100">
        <f t="shared" si="12"/>
        <v>0.4098360655737705</v>
      </c>
      <c r="N100">
        <f t="shared" si="13"/>
        <v>0.30303030303030304</v>
      </c>
      <c r="O100">
        <f t="shared" si="14"/>
        <v>7.5650118203309691E-2</v>
      </c>
      <c r="P100">
        <f t="shared" si="15"/>
        <v>0.42771982116244411</v>
      </c>
      <c r="Q100">
        <f t="shared" si="16"/>
        <v>0.11870196413321946</v>
      </c>
      <c r="R100">
        <f t="shared" si="17"/>
        <v>3.3333333333333333E-2</v>
      </c>
      <c r="S100" s="13"/>
      <c r="T100" s="3" cm="1">
        <f t="array" ref="T100">_xlfn.LET(
    _xlpm.dist, SQRT(MMULT((Training!$K$2:$R$616 - K100:R100)^2, _xlfn.SEQUENCE(8,1,1,0))),
    _xlpm.sorted, _xlfn.SORTBY(Training!$I$2:$I$616, _xlpm.dist, 1),
    _xlfn.MODE.SNGL(INDEX(_xlpm.sorted, {1,2,3}))
)</f>
        <v>0</v>
      </c>
      <c r="U100" t="str">
        <f t="shared" si="18"/>
        <v>COCOK</v>
      </c>
      <c r="V100" s="7" t="str">
        <f t="shared" si="19"/>
        <v>TN</v>
      </c>
    </row>
    <row r="101" spans="1:22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  <c r="J101" s="12"/>
      <c r="K101">
        <f t="shared" si="10"/>
        <v>5.8823529411764705E-2</v>
      </c>
      <c r="L101">
        <f t="shared" si="11"/>
        <v>0.61306532663316582</v>
      </c>
      <c r="M101">
        <f t="shared" si="12"/>
        <v>0.73770491803278693</v>
      </c>
      <c r="N101">
        <f t="shared" si="13"/>
        <v>0.51515151515151514</v>
      </c>
      <c r="O101">
        <f t="shared" si="14"/>
        <v>0.26004728132387706</v>
      </c>
      <c r="P101">
        <f t="shared" si="15"/>
        <v>0.74068554396423258</v>
      </c>
      <c r="Q101">
        <f t="shared" si="16"/>
        <v>0.10546541417591801</v>
      </c>
      <c r="R101">
        <f t="shared" si="17"/>
        <v>0.16666666666666666</v>
      </c>
      <c r="S101" s="13"/>
      <c r="T101" s="3" cm="1">
        <f t="array" ref="T101">_xlfn.LET(
    _xlpm.dist, SQRT(MMULT((Training!$K$2:$R$616 - K101:R101)^2, _xlfn.SEQUENCE(8,1,1,0))),
    _xlpm.sorted, _xlfn.SORTBY(Training!$I$2:$I$616, _xlpm.dist, 1),
    _xlfn.MODE.SNGL(INDEX(_xlpm.sorted, {1,2,3}))
)</f>
        <v>0</v>
      </c>
      <c r="U101" t="str">
        <f t="shared" si="18"/>
        <v>TIDAK</v>
      </c>
      <c r="V101" s="7" t="str">
        <f t="shared" si="19"/>
        <v>FN</v>
      </c>
    </row>
    <row r="102" spans="1:22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  <c r="J102" s="12"/>
      <c r="K102">
        <f t="shared" si="10"/>
        <v>5.8823529411764705E-2</v>
      </c>
      <c r="L102">
        <f t="shared" si="11"/>
        <v>0.81909547738693467</v>
      </c>
      <c r="M102">
        <f t="shared" si="12"/>
        <v>0.5901639344262295</v>
      </c>
      <c r="N102">
        <f t="shared" si="13"/>
        <v>0</v>
      </c>
      <c r="O102">
        <f t="shared" si="14"/>
        <v>0</v>
      </c>
      <c r="P102">
        <f t="shared" si="15"/>
        <v>0.58122205663189275</v>
      </c>
      <c r="Q102">
        <f t="shared" si="16"/>
        <v>0.48847139197267286</v>
      </c>
      <c r="R102">
        <f t="shared" si="17"/>
        <v>0.2</v>
      </c>
      <c r="S102" s="13"/>
      <c r="T102" s="3" cm="1">
        <f t="array" ref="T102">_xlfn.LET(
    _xlpm.dist, SQRT(MMULT((Training!$K$2:$R$616 - K102:R102)^2, _xlfn.SEQUENCE(8,1,1,0))),
    _xlpm.sorted, _xlfn.SORTBY(Training!$I$2:$I$616, _xlpm.dist, 1),
    _xlfn.MODE.SNGL(INDEX(_xlpm.sorted, {1,2,3}))
)</f>
        <v>1</v>
      </c>
      <c r="U102" t="str">
        <f t="shared" si="18"/>
        <v>COCOK</v>
      </c>
      <c r="V102" s="7" t="str">
        <f t="shared" si="19"/>
        <v>TP</v>
      </c>
    </row>
    <row r="103" spans="1:22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  <c r="J103" s="12"/>
      <c r="K103">
        <f t="shared" si="10"/>
        <v>5.8823529411764705E-2</v>
      </c>
      <c r="L103">
        <f t="shared" si="11"/>
        <v>0.75879396984924619</v>
      </c>
      <c r="M103">
        <f t="shared" si="12"/>
        <v>0.49180327868852458</v>
      </c>
      <c r="N103">
        <f t="shared" si="13"/>
        <v>0</v>
      </c>
      <c r="O103">
        <f t="shared" si="14"/>
        <v>0</v>
      </c>
      <c r="P103">
        <f t="shared" si="15"/>
        <v>0.38897168405365135</v>
      </c>
      <c r="Q103">
        <f t="shared" si="16"/>
        <v>4.3125533731853113E-2</v>
      </c>
      <c r="R103">
        <f t="shared" si="17"/>
        <v>1.6666666666666666E-2</v>
      </c>
      <c r="S103" s="13"/>
      <c r="T103" s="3" cm="1">
        <f t="array" ref="T103">_xlfn.LET(
    _xlpm.dist, SQRT(MMULT((Training!$K$2:$R$616 - K103:R103)^2, _xlfn.SEQUENCE(8,1,1,0))),
    _xlpm.sorted, _xlfn.SORTBY(Training!$I$2:$I$616, _xlpm.dist, 1),
    _xlfn.MODE.SNGL(INDEX(_xlpm.sorted, {1,2,3}))
)</f>
        <v>0</v>
      </c>
      <c r="U103" t="str">
        <f t="shared" si="18"/>
        <v>COCOK</v>
      </c>
      <c r="V103" s="7" t="str">
        <f t="shared" si="19"/>
        <v>TN</v>
      </c>
    </row>
    <row r="104" spans="1:22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  <c r="J104" s="12"/>
      <c r="K104">
        <f t="shared" si="10"/>
        <v>0</v>
      </c>
      <c r="L104">
        <f t="shared" si="11"/>
        <v>0.62814070351758799</v>
      </c>
      <c r="M104">
        <f t="shared" si="12"/>
        <v>0.78688524590163933</v>
      </c>
      <c r="N104">
        <f t="shared" si="13"/>
        <v>0</v>
      </c>
      <c r="O104">
        <f t="shared" si="14"/>
        <v>0</v>
      </c>
      <c r="P104">
        <f t="shared" si="15"/>
        <v>0.33532041728763046</v>
      </c>
      <c r="Q104">
        <f t="shared" si="16"/>
        <v>7.8565328778821511E-2</v>
      </c>
      <c r="R104">
        <f t="shared" si="17"/>
        <v>0</v>
      </c>
      <c r="S104" s="13"/>
      <c r="T104" s="3" cm="1">
        <f t="array" ref="T104">_xlfn.LET(
    _xlpm.dist, SQRT(MMULT((Training!$K$2:$R$616 - K104:R104)^2, _xlfn.SEQUENCE(8,1,1,0))),
    _xlpm.sorted, _xlfn.SORTBY(Training!$I$2:$I$616, _xlpm.dist, 1),
    _xlfn.MODE.SNGL(INDEX(_xlpm.sorted, {1,2,3}))
)</f>
        <v>0</v>
      </c>
      <c r="U104" t="str">
        <f t="shared" si="18"/>
        <v>COCOK</v>
      </c>
      <c r="V104" s="7" t="str">
        <f t="shared" si="19"/>
        <v>TN</v>
      </c>
    </row>
    <row r="105" spans="1:22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  <c r="J105" s="12"/>
      <c r="K105">
        <f t="shared" si="10"/>
        <v>5.8823529411764705E-2</v>
      </c>
      <c r="L105">
        <f t="shared" si="11"/>
        <v>0.40703517587939697</v>
      </c>
      <c r="M105">
        <f t="shared" si="12"/>
        <v>0.5901639344262295</v>
      </c>
      <c r="N105">
        <f t="shared" si="13"/>
        <v>0.18181818181818182</v>
      </c>
      <c r="O105">
        <f t="shared" si="14"/>
        <v>4.7281323877068557E-2</v>
      </c>
      <c r="P105">
        <f t="shared" si="15"/>
        <v>0.39642324888226532</v>
      </c>
      <c r="Q105">
        <f t="shared" si="16"/>
        <v>8.7532023911187001E-2</v>
      </c>
      <c r="R105">
        <f t="shared" si="17"/>
        <v>0.05</v>
      </c>
      <c r="S105" s="13"/>
      <c r="T105" s="3" cm="1">
        <f t="array" ref="T105">_xlfn.LET(
    _xlpm.dist, SQRT(MMULT((Training!$K$2:$R$616 - K105:R105)^2, _xlfn.SEQUENCE(8,1,1,0))),
    _xlpm.sorted, _xlfn.SORTBY(Training!$I$2:$I$616, _xlpm.dist, 1),
    _xlfn.MODE.SNGL(INDEX(_xlpm.sorted, {1,2,3}))
)</f>
        <v>0</v>
      </c>
      <c r="U105" t="str">
        <f t="shared" si="18"/>
        <v>COCOK</v>
      </c>
      <c r="V105" s="7" t="str">
        <f t="shared" si="19"/>
        <v>TN</v>
      </c>
    </row>
    <row r="106" spans="1:22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  <c r="J106" s="12"/>
      <c r="K106">
        <f t="shared" si="10"/>
        <v>0.11764705882352941</v>
      </c>
      <c r="L106">
        <f t="shared" si="11"/>
        <v>0.42713567839195982</v>
      </c>
      <c r="M106">
        <f t="shared" si="12"/>
        <v>0.53278688524590168</v>
      </c>
      <c r="N106">
        <f t="shared" si="13"/>
        <v>0</v>
      </c>
      <c r="O106">
        <f t="shared" si="14"/>
        <v>0</v>
      </c>
      <c r="P106">
        <f t="shared" si="15"/>
        <v>0.59016393442622961</v>
      </c>
      <c r="Q106">
        <f t="shared" si="16"/>
        <v>0.36379163108454315</v>
      </c>
      <c r="R106">
        <f t="shared" si="17"/>
        <v>0.1</v>
      </c>
      <c r="S106" s="13"/>
      <c r="T106" s="3" cm="1">
        <f t="array" ref="T106">_xlfn.LET(
    _xlpm.dist, SQRT(MMULT((Training!$K$2:$R$616 - K106:R106)^2, _xlfn.SEQUENCE(8,1,1,0))),
    _xlpm.sorted, _xlfn.SORTBY(Training!$I$2:$I$616, _xlpm.dist, 1),
    _xlfn.MODE.SNGL(INDEX(_xlpm.sorted, {1,2,3}))
)</f>
        <v>0</v>
      </c>
      <c r="U106" t="str">
        <f t="shared" si="18"/>
        <v>COCOK</v>
      </c>
      <c r="V106" s="7" t="str">
        <f t="shared" si="19"/>
        <v>TN</v>
      </c>
    </row>
    <row r="107" spans="1:22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  <c r="J107" s="12"/>
      <c r="K107">
        <f t="shared" si="10"/>
        <v>5.8823529411764705E-2</v>
      </c>
      <c r="L107">
        <f t="shared" si="11"/>
        <v>0.63316582914572861</v>
      </c>
      <c r="M107">
        <f t="shared" si="12"/>
        <v>0.45901639344262296</v>
      </c>
      <c r="N107">
        <f t="shared" si="13"/>
        <v>0.29292929292929293</v>
      </c>
      <c r="O107">
        <f t="shared" si="14"/>
        <v>0.17966903073286053</v>
      </c>
      <c r="P107">
        <f t="shared" si="15"/>
        <v>0.42771982116244411</v>
      </c>
      <c r="Q107">
        <f t="shared" si="16"/>
        <v>0.30871050384286935</v>
      </c>
      <c r="R107">
        <f t="shared" si="17"/>
        <v>0</v>
      </c>
      <c r="S107" s="13"/>
      <c r="T107" s="3" cm="1">
        <f t="array" ref="T107">_xlfn.LET(
    _xlpm.dist, SQRT(MMULT((Training!$K$2:$R$616 - K107:R107)^2, _xlfn.SEQUENCE(8,1,1,0))),
    _xlpm.sorted, _xlfn.SORTBY(Training!$I$2:$I$616, _xlpm.dist, 1),
    _xlfn.MODE.SNGL(INDEX(_xlpm.sorted, {1,2,3}))
)</f>
        <v>0</v>
      </c>
      <c r="U107" t="str">
        <f t="shared" si="18"/>
        <v>COCOK</v>
      </c>
      <c r="V107" s="7" t="str">
        <f t="shared" si="19"/>
        <v>TN</v>
      </c>
    </row>
    <row r="108" spans="1:22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  <c r="J108" s="12"/>
      <c r="K108">
        <f t="shared" si="10"/>
        <v>5.8823529411764705E-2</v>
      </c>
      <c r="L108">
        <f t="shared" si="11"/>
        <v>0.48241206030150752</v>
      </c>
      <c r="M108">
        <f t="shared" si="12"/>
        <v>1</v>
      </c>
      <c r="N108">
        <f t="shared" si="13"/>
        <v>0</v>
      </c>
      <c r="O108">
        <f t="shared" si="14"/>
        <v>0</v>
      </c>
      <c r="P108">
        <f t="shared" si="15"/>
        <v>0.33383010432190763</v>
      </c>
      <c r="Q108">
        <f t="shared" si="16"/>
        <v>5.5081127241673786E-2</v>
      </c>
      <c r="R108">
        <f t="shared" si="17"/>
        <v>0.1</v>
      </c>
      <c r="S108" s="13"/>
      <c r="T108" s="3" cm="1">
        <f t="array" ref="T108">_xlfn.LET(
    _xlpm.dist, SQRT(MMULT((Training!$K$2:$R$616 - K108:R108)^2, _xlfn.SEQUENCE(8,1,1,0))),
    _xlpm.sorted, _xlfn.SORTBY(Training!$I$2:$I$616, _xlpm.dist, 1),
    _xlfn.MODE.SNGL(INDEX(_xlpm.sorted, {1,2,3}))
)</f>
        <v>0</v>
      </c>
      <c r="U108" t="str">
        <f t="shared" si="18"/>
        <v>COCOK</v>
      </c>
      <c r="V108" s="7" t="str">
        <f t="shared" si="19"/>
        <v>TN</v>
      </c>
    </row>
    <row r="109" spans="1:22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  <c r="J109" s="12"/>
      <c r="K109">
        <f t="shared" si="10"/>
        <v>0.23529411764705882</v>
      </c>
      <c r="L109">
        <f t="shared" si="11"/>
        <v>0.72361809045226133</v>
      </c>
      <c r="M109">
        <f t="shared" si="12"/>
        <v>0.47540983606557374</v>
      </c>
      <c r="N109">
        <f t="shared" si="13"/>
        <v>0.28282828282828282</v>
      </c>
      <c r="O109">
        <f t="shared" si="14"/>
        <v>0.16548463356973994</v>
      </c>
      <c r="P109">
        <f t="shared" si="15"/>
        <v>0.43964232488822658</v>
      </c>
      <c r="Q109">
        <f t="shared" si="16"/>
        <v>8.9239965841161381E-2</v>
      </c>
      <c r="R109">
        <f t="shared" si="17"/>
        <v>0.26666666666666666</v>
      </c>
      <c r="S109" s="13"/>
      <c r="T109" s="3" cm="1">
        <f t="array" ref="T109">_xlfn.LET(
    _xlpm.dist, SQRT(MMULT((Training!$K$2:$R$616 - K109:R109)^2, _xlfn.SEQUENCE(8,1,1,0))),
    _xlpm.sorted, _xlfn.SORTBY(Training!$I$2:$I$616, _xlpm.dist, 1),
    _xlfn.MODE.SNGL(INDEX(_xlpm.sorted, {1,2,3}))
)</f>
        <v>0</v>
      </c>
      <c r="U109" t="str">
        <f t="shared" si="18"/>
        <v>COCOK</v>
      </c>
      <c r="V109" s="7" t="str">
        <f t="shared" si="19"/>
        <v>TN</v>
      </c>
    </row>
    <row r="110" spans="1:22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  <c r="J110" s="12"/>
      <c r="K110">
        <f t="shared" si="10"/>
        <v>0.17647058823529413</v>
      </c>
      <c r="L110">
        <f t="shared" si="11"/>
        <v>0.41708542713567837</v>
      </c>
      <c r="M110">
        <f t="shared" si="12"/>
        <v>0.47540983606557374</v>
      </c>
      <c r="N110">
        <f t="shared" si="13"/>
        <v>0.31313131313131315</v>
      </c>
      <c r="O110">
        <f t="shared" si="14"/>
        <v>2.1276595744680851E-2</v>
      </c>
      <c r="P110">
        <f t="shared" si="15"/>
        <v>0.51117734724292097</v>
      </c>
      <c r="Q110">
        <f t="shared" si="16"/>
        <v>0.11016225448334757</v>
      </c>
      <c r="R110">
        <f t="shared" si="17"/>
        <v>6.6666666666666666E-2</v>
      </c>
      <c r="S110" s="13"/>
      <c r="T110" s="3" cm="1">
        <f t="array" ref="T110">_xlfn.LET(
    _xlpm.dist, SQRT(MMULT((Training!$K$2:$R$616 - K110:R110)^2, _xlfn.SEQUENCE(8,1,1,0))),
    _xlpm.sorted, _xlfn.SORTBY(Training!$I$2:$I$616, _xlpm.dist, 1),
    _xlfn.MODE.SNGL(INDEX(_xlpm.sorted, {1,2,3}))
)</f>
        <v>0</v>
      </c>
      <c r="U110" t="str">
        <f t="shared" si="18"/>
        <v>COCOK</v>
      </c>
      <c r="V110" s="7" t="str">
        <f t="shared" si="19"/>
        <v>TN</v>
      </c>
    </row>
    <row r="111" spans="1:22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  <c r="J111" s="12"/>
      <c r="K111">
        <f t="shared" si="10"/>
        <v>0</v>
      </c>
      <c r="L111">
        <f t="shared" si="11"/>
        <v>0.47738693467336685</v>
      </c>
      <c r="M111">
        <f t="shared" si="12"/>
        <v>0.69672131147540983</v>
      </c>
      <c r="N111">
        <f t="shared" si="13"/>
        <v>0.25252525252525254</v>
      </c>
      <c r="O111">
        <f t="shared" si="14"/>
        <v>4.2553191489361701E-2</v>
      </c>
      <c r="P111">
        <f t="shared" si="15"/>
        <v>0.55737704918032793</v>
      </c>
      <c r="Q111">
        <f t="shared" si="16"/>
        <v>7.2160546541417583E-2</v>
      </c>
      <c r="R111">
        <f t="shared" si="17"/>
        <v>0.05</v>
      </c>
      <c r="S111" s="13"/>
      <c r="T111" s="3" cm="1">
        <f t="array" ref="T111">_xlfn.LET(
    _xlpm.dist, SQRT(MMULT((Training!$K$2:$R$616 - K111:R111)^2, _xlfn.SEQUENCE(8,1,1,0))),
    _xlpm.sorted, _xlfn.SORTBY(Training!$I$2:$I$616, _xlpm.dist, 1),
    _xlfn.MODE.SNGL(INDEX(_xlpm.sorted, {1,2,3}))
)</f>
        <v>0</v>
      </c>
      <c r="U111" t="str">
        <f t="shared" si="18"/>
        <v>TIDAK</v>
      </c>
      <c r="V111" s="7" t="str">
        <f t="shared" si="19"/>
        <v>FN</v>
      </c>
    </row>
    <row r="112" spans="1:22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  <c r="J112" s="12"/>
      <c r="K112">
        <f t="shared" si="10"/>
        <v>0.17647058823529413</v>
      </c>
      <c r="L112">
        <f t="shared" si="11"/>
        <v>0.85929648241206025</v>
      </c>
      <c r="M112">
        <f t="shared" si="12"/>
        <v>0.5901639344262295</v>
      </c>
      <c r="N112">
        <f t="shared" si="13"/>
        <v>0.33333333333333331</v>
      </c>
      <c r="O112">
        <f t="shared" si="14"/>
        <v>0.15957446808510639</v>
      </c>
      <c r="P112">
        <f t="shared" si="15"/>
        <v>0.49627421758569301</v>
      </c>
      <c r="Q112">
        <f t="shared" si="16"/>
        <v>5.1665243381725026E-2</v>
      </c>
      <c r="R112">
        <f t="shared" si="17"/>
        <v>0.05</v>
      </c>
      <c r="S112" s="13"/>
      <c r="T112" s="3" cm="1">
        <f t="array" ref="T112">_xlfn.LET(
    _xlpm.dist, SQRT(MMULT((Training!$K$2:$R$616 - K112:R112)^2, _xlfn.SEQUENCE(8,1,1,0))),
    _xlpm.sorted, _xlfn.SORTBY(Training!$I$2:$I$616, _xlpm.dist, 1),
    _xlfn.MODE.SNGL(INDEX(_xlpm.sorted, {1,2,3}))
)</f>
        <v>1</v>
      </c>
      <c r="U112" t="str">
        <f t="shared" si="18"/>
        <v>COCOK</v>
      </c>
      <c r="V112" s="7" t="str">
        <f t="shared" si="19"/>
        <v>TP</v>
      </c>
    </row>
    <row r="113" spans="1:22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  <c r="J113" s="12"/>
      <c r="K113">
        <f t="shared" si="10"/>
        <v>0.47058823529411764</v>
      </c>
      <c r="L113">
        <f t="shared" si="11"/>
        <v>0.77889447236180909</v>
      </c>
      <c r="M113">
        <f t="shared" si="12"/>
        <v>0.50819672131147542</v>
      </c>
      <c r="N113">
        <f t="shared" si="13"/>
        <v>0.26262626262626265</v>
      </c>
      <c r="O113">
        <f t="shared" si="14"/>
        <v>0.58510638297872342</v>
      </c>
      <c r="P113">
        <f t="shared" si="15"/>
        <v>0.50670640834575265</v>
      </c>
      <c r="Q113">
        <f t="shared" si="16"/>
        <v>0.19854824935952178</v>
      </c>
      <c r="R113">
        <f t="shared" si="17"/>
        <v>0.41666666666666669</v>
      </c>
      <c r="S113" s="13"/>
      <c r="T113" s="3" cm="1">
        <f t="array" ref="T113">_xlfn.LET(
    _xlpm.dist, SQRT(MMULT((Training!$K$2:$R$616 - K113:R113)^2, _xlfn.SEQUENCE(8,1,1,0))),
    _xlpm.sorted, _xlfn.SORTBY(Training!$I$2:$I$616, _xlpm.dist, 1),
    _xlfn.MODE.SNGL(INDEX(_xlpm.sorted, {1,2,3}))
)</f>
        <v>1</v>
      </c>
      <c r="U113" t="str">
        <f t="shared" si="18"/>
        <v>COCOK</v>
      </c>
      <c r="V113" s="7" t="str">
        <f t="shared" si="19"/>
        <v>TP</v>
      </c>
    </row>
    <row r="114" spans="1:22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  <c r="J114" s="12"/>
      <c r="K114">
        <f t="shared" si="10"/>
        <v>5.8823529411764705E-2</v>
      </c>
      <c r="L114">
        <f t="shared" si="11"/>
        <v>0.44723618090452261</v>
      </c>
      <c r="M114">
        <f t="shared" si="12"/>
        <v>0.62295081967213117</v>
      </c>
      <c r="N114">
        <f t="shared" si="13"/>
        <v>0.34343434343434343</v>
      </c>
      <c r="O114">
        <f t="shared" si="14"/>
        <v>4.3735224586288417E-2</v>
      </c>
      <c r="P114">
        <f t="shared" si="15"/>
        <v>0.46497764530551416</v>
      </c>
      <c r="Q114">
        <f t="shared" si="16"/>
        <v>4.8676345004269858E-2</v>
      </c>
      <c r="R114">
        <f t="shared" si="17"/>
        <v>3.3333333333333333E-2</v>
      </c>
      <c r="S114" s="13"/>
      <c r="T114" s="3" cm="1">
        <f t="array" ref="T114">_xlfn.LET(
    _xlpm.dist, SQRT(MMULT((Training!$K$2:$R$616 - K114:R114)^2, _xlfn.SEQUENCE(8,1,1,0))),
    _xlpm.sorted, _xlfn.SORTBY(Training!$I$2:$I$616, _xlpm.dist, 1),
    _xlfn.MODE.SNGL(INDEX(_xlpm.sorted, {1,2,3}))
)</f>
        <v>0</v>
      </c>
      <c r="U114" t="str">
        <f t="shared" si="18"/>
        <v>COCOK</v>
      </c>
      <c r="V114" s="7" t="str">
        <f t="shared" si="19"/>
        <v>TN</v>
      </c>
    </row>
    <row r="115" spans="1:22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  <c r="J115" s="12"/>
      <c r="K115">
        <f t="shared" si="10"/>
        <v>0.23529411764705882</v>
      </c>
      <c r="L115">
        <f t="shared" si="11"/>
        <v>0.38190954773869346</v>
      </c>
      <c r="M115">
        <f t="shared" si="12"/>
        <v>0.50819672131147542</v>
      </c>
      <c r="N115">
        <f t="shared" si="13"/>
        <v>0</v>
      </c>
      <c r="O115">
        <f t="shared" si="14"/>
        <v>0</v>
      </c>
      <c r="P115">
        <f t="shared" si="15"/>
        <v>0.50670640834575265</v>
      </c>
      <c r="Q115">
        <f t="shared" si="16"/>
        <v>0.1336464560204953</v>
      </c>
      <c r="R115">
        <f t="shared" si="17"/>
        <v>6.6666666666666666E-2</v>
      </c>
      <c r="S115" s="13"/>
      <c r="T115" s="3" cm="1">
        <f t="array" ref="T115">_xlfn.LET(
    _xlpm.dist, SQRT(MMULT((Training!$K$2:$R$616 - K115:R115)^2, _xlfn.SEQUENCE(8,1,1,0))),
    _xlpm.sorted, _xlfn.SORTBY(Training!$I$2:$I$616, _xlpm.dist, 1),
    _xlfn.MODE.SNGL(INDEX(_xlpm.sorted, {1,2,3}))
)</f>
        <v>0</v>
      </c>
      <c r="U115" t="str">
        <f t="shared" si="18"/>
        <v>COCOK</v>
      </c>
      <c r="V115" s="7" t="str">
        <f t="shared" si="19"/>
        <v>TN</v>
      </c>
    </row>
    <row r="116" spans="1:22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  <c r="J116" s="12"/>
      <c r="K116">
        <f t="shared" si="10"/>
        <v>0.41176470588235292</v>
      </c>
      <c r="L116">
        <f t="shared" si="11"/>
        <v>0.8040201005025126</v>
      </c>
      <c r="M116">
        <f t="shared" si="12"/>
        <v>0.44262295081967212</v>
      </c>
      <c r="N116">
        <f t="shared" si="13"/>
        <v>0.32323232323232326</v>
      </c>
      <c r="O116">
        <f t="shared" si="14"/>
        <v>0.20685579196217493</v>
      </c>
      <c r="P116">
        <f t="shared" si="15"/>
        <v>0.45454545454545459</v>
      </c>
      <c r="Q116">
        <f t="shared" si="16"/>
        <v>0.21776259607173357</v>
      </c>
      <c r="R116">
        <f t="shared" si="17"/>
        <v>0.3</v>
      </c>
      <c r="S116" s="13"/>
      <c r="T116" s="3" cm="1">
        <f t="array" ref="T116">_xlfn.LET(
    _xlpm.dist, SQRT(MMULT((Training!$K$2:$R$616 - K116:R116)^2, _xlfn.SEQUENCE(8,1,1,0))),
    _xlpm.sorted, _xlfn.SORTBY(Training!$I$2:$I$616, _xlpm.dist, 1),
    _xlfn.MODE.SNGL(INDEX(_xlpm.sorted, {1,2,3}))
)</f>
        <v>0</v>
      </c>
      <c r="U116" t="str">
        <f t="shared" si="18"/>
        <v>TIDAK</v>
      </c>
      <c r="V116" s="7" t="str">
        <f t="shared" si="19"/>
        <v>FN</v>
      </c>
    </row>
    <row r="117" spans="1:22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  <c r="J117" s="12"/>
      <c r="K117">
        <f t="shared" si="10"/>
        <v>0.23529411764705882</v>
      </c>
      <c r="L117">
        <f t="shared" si="11"/>
        <v>0.73366834170854267</v>
      </c>
      <c r="M117">
        <f t="shared" si="12"/>
        <v>0.75409836065573765</v>
      </c>
      <c r="N117">
        <f t="shared" si="13"/>
        <v>0</v>
      </c>
      <c r="O117">
        <f t="shared" si="14"/>
        <v>0</v>
      </c>
      <c r="P117">
        <f t="shared" si="15"/>
        <v>0.46497764530551416</v>
      </c>
      <c r="Q117">
        <f t="shared" si="16"/>
        <v>0.19684030742954739</v>
      </c>
      <c r="R117">
        <f t="shared" si="17"/>
        <v>0.66666666666666663</v>
      </c>
      <c r="S117" s="13"/>
      <c r="T117" s="3" cm="1">
        <f t="array" ref="T117">_xlfn.LET(
    _xlpm.dist, SQRT(MMULT((Training!$K$2:$R$616 - K117:R117)^2, _xlfn.SEQUENCE(8,1,1,0))),
    _xlpm.sorted, _xlfn.SORTBY(Training!$I$2:$I$616, _xlpm.dist, 1),
    _xlfn.MODE.SNGL(INDEX(_xlpm.sorted, {1,2,3}))
)</f>
        <v>1</v>
      </c>
      <c r="U117" t="str">
        <f t="shared" si="18"/>
        <v>COCOK</v>
      </c>
      <c r="V117" s="7" t="str">
        <f t="shared" si="19"/>
        <v>TP</v>
      </c>
    </row>
    <row r="118" spans="1:22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  <c r="J118" s="12"/>
      <c r="K118">
        <f t="shared" si="10"/>
        <v>0.29411764705882354</v>
      </c>
      <c r="L118">
        <f t="shared" si="11"/>
        <v>0.62311557788944727</v>
      </c>
      <c r="M118">
        <f t="shared" si="12"/>
        <v>0.60655737704918034</v>
      </c>
      <c r="N118">
        <f t="shared" si="13"/>
        <v>0</v>
      </c>
      <c r="O118">
        <f t="shared" si="14"/>
        <v>0</v>
      </c>
      <c r="P118">
        <f t="shared" si="15"/>
        <v>0.50670640834575265</v>
      </c>
      <c r="Q118">
        <f t="shared" si="16"/>
        <v>6.0631938514090523E-2</v>
      </c>
      <c r="R118">
        <f t="shared" si="17"/>
        <v>0.28333333333333333</v>
      </c>
      <c r="S118" s="13"/>
      <c r="T118" s="3" cm="1">
        <f t="array" ref="T118">_xlfn.LET(
    _xlpm.dist, SQRT(MMULT((Training!$K$2:$R$616 - K118:R118)^2, _xlfn.SEQUENCE(8,1,1,0))),
    _xlpm.sorted, _xlfn.SORTBY(Training!$I$2:$I$616, _xlpm.dist, 1),
    _xlfn.MODE.SNGL(INDEX(_xlpm.sorted, {1,2,3}))
)</f>
        <v>1</v>
      </c>
      <c r="U118" t="str">
        <f t="shared" si="18"/>
        <v>COCOK</v>
      </c>
      <c r="V118" s="7" t="str">
        <f t="shared" si="19"/>
        <v>TP</v>
      </c>
    </row>
    <row r="119" spans="1:22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  <c r="J119" s="12"/>
      <c r="K119">
        <f t="shared" si="10"/>
        <v>0.29411764705882354</v>
      </c>
      <c r="L119">
        <f t="shared" si="11"/>
        <v>0.39195979899497485</v>
      </c>
      <c r="M119">
        <f t="shared" si="12"/>
        <v>0.39344262295081966</v>
      </c>
      <c r="N119">
        <f t="shared" si="13"/>
        <v>0</v>
      </c>
      <c r="O119">
        <f t="shared" si="14"/>
        <v>0</v>
      </c>
      <c r="P119">
        <f t="shared" si="15"/>
        <v>0.50223546944858433</v>
      </c>
      <c r="Q119">
        <f t="shared" si="16"/>
        <v>0.24594363791631085</v>
      </c>
      <c r="R119">
        <f t="shared" si="17"/>
        <v>6.6666666666666666E-2</v>
      </c>
      <c r="S119" s="13"/>
      <c r="T119" s="3" cm="1">
        <f t="array" ref="T119">_xlfn.LET(
    _xlpm.dist, SQRT(MMULT((Training!$K$2:$R$616 - K119:R119)^2, _xlfn.SEQUENCE(8,1,1,0))),
    _xlpm.sorted, _xlfn.SORTBY(Training!$I$2:$I$616, _xlpm.dist, 1),
    _xlfn.MODE.SNGL(INDEX(_xlpm.sorted, {1,2,3}))
)</f>
        <v>0</v>
      </c>
      <c r="U119" t="str">
        <f t="shared" si="18"/>
        <v>COCOK</v>
      </c>
      <c r="V119" s="7" t="str">
        <f t="shared" si="19"/>
        <v>TN</v>
      </c>
    </row>
    <row r="120" spans="1:22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  <c r="J120" s="12"/>
      <c r="K120">
        <f t="shared" si="10"/>
        <v>0.23529411764705882</v>
      </c>
      <c r="L120">
        <f t="shared" si="11"/>
        <v>0.48743718592964824</v>
      </c>
      <c r="M120">
        <f t="shared" si="12"/>
        <v>0.49180327868852458</v>
      </c>
      <c r="N120">
        <f t="shared" si="13"/>
        <v>0.23232323232323232</v>
      </c>
      <c r="O120">
        <f t="shared" si="14"/>
        <v>0</v>
      </c>
      <c r="P120">
        <f t="shared" si="15"/>
        <v>0.42026825633383014</v>
      </c>
      <c r="Q120">
        <f t="shared" si="16"/>
        <v>0.15584970111016225</v>
      </c>
      <c r="R120">
        <f t="shared" si="17"/>
        <v>1.6666666666666666E-2</v>
      </c>
      <c r="S120" s="13"/>
      <c r="T120" s="3" cm="1">
        <f t="array" ref="T120">_xlfn.LET(
    _xlpm.dist, SQRT(MMULT((Training!$K$2:$R$616 - K120:R120)^2, _xlfn.SEQUENCE(8,1,1,0))),
    _xlpm.sorted, _xlfn.SORTBY(Training!$I$2:$I$616, _xlpm.dist, 1),
    _xlfn.MODE.SNGL(INDEX(_xlpm.sorted, {1,2,3}))
)</f>
        <v>0</v>
      </c>
      <c r="U120" t="str">
        <f t="shared" si="18"/>
        <v>COCOK</v>
      </c>
      <c r="V120" s="7" t="str">
        <f t="shared" si="19"/>
        <v>TN</v>
      </c>
    </row>
    <row r="121" spans="1:22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  <c r="J121" s="12"/>
      <c r="K121">
        <f t="shared" si="10"/>
        <v>0.23529411764705882</v>
      </c>
      <c r="L121">
        <f t="shared" si="11"/>
        <v>0.49748743718592964</v>
      </c>
      <c r="M121">
        <f t="shared" si="12"/>
        <v>0.62295081967213117</v>
      </c>
      <c r="N121">
        <f t="shared" si="13"/>
        <v>0.15151515151515152</v>
      </c>
      <c r="O121">
        <f t="shared" si="14"/>
        <v>6.0283687943262408E-2</v>
      </c>
      <c r="P121">
        <f t="shared" si="15"/>
        <v>0.34575260804769004</v>
      </c>
      <c r="Q121">
        <f t="shared" si="16"/>
        <v>6.1912894961571312E-2</v>
      </c>
      <c r="R121">
        <f t="shared" si="17"/>
        <v>0</v>
      </c>
      <c r="S121" s="13"/>
      <c r="T121" s="3" cm="1">
        <f t="array" ref="T121">_xlfn.LET(
    _xlpm.dist, SQRT(MMULT((Training!$K$2:$R$616 - K121:R121)^2, _xlfn.SEQUENCE(8,1,1,0))),
    _xlpm.sorted, _xlfn.SORTBY(Training!$I$2:$I$616, _xlpm.dist, 1),
    _xlfn.MODE.SNGL(INDEX(_xlpm.sorted, {1,2,3}))
)</f>
        <v>0</v>
      </c>
      <c r="U121" t="str">
        <f t="shared" si="18"/>
        <v>COCOK</v>
      </c>
      <c r="V121" s="7" t="str">
        <f t="shared" si="19"/>
        <v>TN</v>
      </c>
    </row>
    <row r="122" spans="1:22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  <c r="J122" s="12"/>
      <c r="K122">
        <f t="shared" si="10"/>
        <v>0</v>
      </c>
      <c r="L122">
        <f t="shared" si="11"/>
        <v>0.81407035175879394</v>
      </c>
      <c r="M122">
        <f t="shared" si="12"/>
        <v>0.62295081967213117</v>
      </c>
      <c r="N122">
        <f t="shared" si="13"/>
        <v>0.56565656565656564</v>
      </c>
      <c r="O122">
        <f t="shared" si="14"/>
        <v>0.1182033096926714</v>
      </c>
      <c r="P122">
        <f t="shared" si="15"/>
        <v>0.79284649776453064</v>
      </c>
      <c r="Q122">
        <f t="shared" si="16"/>
        <v>0.29077711357813835</v>
      </c>
      <c r="R122">
        <f t="shared" si="17"/>
        <v>6.6666666666666666E-2</v>
      </c>
      <c r="S122" s="13"/>
      <c r="T122" s="3" cm="1">
        <f t="array" ref="T122">_xlfn.LET(
    _xlpm.dist, SQRT(MMULT((Training!$K$2:$R$616 - K122:R122)^2, _xlfn.SEQUENCE(8,1,1,0))),
    _xlpm.sorted, _xlfn.SORTBY(Training!$I$2:$I$616, _xlpm.dist, 1),
    _xlfn.MODE.SNGL(INDEX(_xlpm.sorted, {1,2,3}))
)</f>
        <v>1</v>
      </c>
      <c r="U122" t="str">
        <f t="shared" si="18"/>
        <v>COCOK</v>
      </c>
      <c r="V122" s="7" t="str">
        <f t="shared" si="19"/>
        <v>TP</v>
      </c>
    </row>
    <row r="123" spans="1:22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  <c r="J123" s="12"/>
      <c r="K123">
        <f t="shared" si="10"/>
        <v>0.35294117647058826</v>
      </c>
      <c r="L123">
        <f t="shared" si="11"/>
        <v>0.55778894472361806</v>
      </c>
      <c r="M123">
        <f t="shared" si="12"/>
        <v>0.52459016393442626</v>
      </c>
      <c r="N123">
        <f t="shared" si="13"/>
        <v>0.39393939393939392</v>
      </c>
      <c r="O123">
        <f t="shared" si="14"/>
        <v>0</v>
      </c>
      <c r="P123">
        <f t="shared" si="15"/>
        <v>0.5096870342771983</v>
      </c>
      <c r="Q123">
        <f t="shared" si="16"/>
        <v>7.7711357813834328E-2</v>
      </c>
      <c r="R123">
        <f t="shared" si="17"/>
        <v>0.05</v>
      </c>
      <c r="S123" s="13"/>
      <c r="T123" s="3" cm="1">
        <f t="array" ref="T123">_xlfn.LET(
    _xlpm.dist, SQRT(MMULT((Training!$K$2:$R$616 - K123:R123)^2, _xlfn.SEQUENCE(8,1,1,0))),
    _xlpm.sorted, _xlfn.SORTBY(Training!$I$2:$I$616, _xlpm.dist, 1),
    _xlfn.MODE.SNGL(INDEX(_xlpm.sorted, {1,2,3}))
)</f>
        <v>0</v>
      </c>
      <c r="U123" t="str">
        <f t="shared" si="18"/>
        <v>COCOK</v>
      </c>
      <c r="V123" s="7" t="str">
        <f t="shared" si="19"/>
        <v>TN</v>
      </c>
    </row>
    <row r="124" spans="1:22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  <c r="J124" s="12"/>
      <c r="K124">
        <f t="shared" si="10"/>
        <v>0.11764705882352941</v>
      </c>
      <c r="L124">
        <f t="shared" si="11"/>
        <v>0.53768844221105527</v>
      </c>
      <c r="M124">
        <f t="shared" si="12"/>
        <v>0.60655737704918034</v>
      </c>
      <c r="N124">
        <f t="shared" si="13"/>
        <v>0.30303030303030304</v>
      </c>
      <c r="O124">
        <f t="shared" si="14"/>
        <v>0.1182033096926714</v>
      </c>
      <c r="P124">
        <f t="shared" si="15"/>
        <v>0.50074515648286144</v>
      </c>
      <c r="Q124">
        <f t="shared" si="16"/>
        <v>0.13919726729291204</v>
      </c>
      <c r="R124">
        <f t="shared" si="17"/>
        <v>3.3333333333333333E-2</v>
      </c>
      <c r="S124" s="13"/>
      <c r="T124" s="3" cm="1">
        <f t="array" ref="T124">_xlfn.LET(
    _xlpm.dist, SQRT(MMULT((Training!$K$2:$R$616 - K124:R124)^2, _xlfn.SEQUENCE(8,1,1,0))),
    _xlpm.sorted, _xlfn.SORTBY(Training!$I$2:$I$616, _xlpm.dist, 1),
    _xlfn.MODE.SNGL(INDEX(_xlpm.sorted, {1,2,3}))
)</f>
        <v>0</v>
      </c>
      <c r="U124" t="str">
        <f t="shared" si="18"/>
        <v>COCOK</v>
      </c>
      <c r="V124" s="7" t="str">
        <f t="shared" si="19"/>
        <v>TN</v>
      </c>
    </row>
    <row r="125" spans="1:22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  <c r="J125" s="12"/>
      <c r="K125">
        <f t="shared" si="10"/>
        <v>0.29411764705882354</v>
      </c>
      <c r="L125">
        <f t="shared" si="11"/>
        <v>0.66331658291457285</v>
      </c>
      <c r="M125">
        <f t="shared" si="12"/>
        <v>0.65573770491803274</v>
      </c>
      <c r="N125">
        <f t="shared" si="13"/>
        <v>0</v>
      </c>
      <c r="O125">
        <f t="shared" si="14"/>
        <v>0</v>
      </c>
      <c r="P125">
        <f t="shared" si="15"/>
        <v>0.39940387481371092</v>
      </c>
      <c r="Q125">
        <f t="shared" si="16"/>
        <v>4.6114432109308282E-2</v>
      </c>
      <c r="R125">
        <f t="shared" si="17"/>
        <v>0.8</v>
      </c>
      <c r="S125" s="13"/>
      <c r="T125" s="3" cm="1">
        <f t="array" ref="T125">_xlfn.LET(
    _xlpm.dist, SQRT(MMULT((Training!$K$2:$R$616 - K125:R125)^2, _xlfn.SEQUENCE(8,1,1,0))),
    _xlpm.sorted, _xlfn.SORTBY(Training!$I$2:$I$616, _xlpm.dist, 1),
    _xlfn.MODE.SNGL(INDEX(_xlpm.sorted, {1,2,3}))
)</f>
        <v>0</v>
      </c>
      <c r="U125" t="str">
        <f t="shared" si="18"/>
        <v>COCOK</v>
      </c>
      <c r="V125" s="7" t="str">
        <f t="shared" si="19"/>
        <v>TN</v>
      </c>
    </row>
    <row r="126" spans="1:22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  <c r="J126" s="12"/>
      <c r="K126">
        <f t="shared" si="10"/>
        <v>0</v>
      </c>
      <c r="L126">
        <f t="shared" si="11"/>
        <v>0.56783919597989951</v>
      </c>
      <c r="M126">
        <f t="shared" si="12"/>
        <v>0.62295081967213117</v>
      </c>
      <c r="N126">
        <f t="shared" si="13"/>
        <v>0</v>
      </c>
      <c r="O126">
        <f t="shared" si="14"/>
        <v>0</v>
      </c>
      <c r="P126">
        <f t="shared" si="15"/>
        <v>0.49627421758569301</v>
      </c>
      <c r="Q126">
        <f t="shared" si="16"/>
        <v>8.5397096498719044E-2</v>
      </c>
      <c r="R126">
        <f t="shared" si="17"/>
        <v>3.3333333333333333E-2</v>
      </c>
      <c r="S126" s="13"/>
      <c r="T126" s="3" cm="1">
        <f t="array" ref="T126">_xlfn.LET(
    _xlpm.dist, SQRT(MMULT((Training!$K$2:$R$616 - K126:R126)^2, _xlfn.SEQUENCE(8,1,1,0))),
    _xlpm.sorted, _xlfn.SORTBY(Training!$I$2:$I$616, _xlpm.dist, 1),
    _xlfn.MODE.SNGL(INDEX(_xlpm.sorted, {1,2,3}))
)</f>
        <v>0</v>
      </c>
      <c r="U126" t="str">
        <f t="shared" si="18"/>
        <v>TIDAK</v>
      </c>
      <c r="V126" s="7" t="str">
        <f t="shared" si="19"/>
        <v>FN</v>
      </c>
    </row>
    <row r="127" spans="1:22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  <c r="J127" s="12"/>
      <c r="K127">
        <f t="shared" si="10"/>
        <v>5.8823529411764705E-2</v>
      </c>
      <c r="L127">
        <f t="shared" si="11"/>
        <v>0.44221105527638194</v>
      </c>
      <c r="M127">
        <f t="shared" si="12"/>
        <v>0.24590163934426229</v>
      </c>
      <c r="N127">
        <f t="shared" si="13"/>
        <v>0.42424242424242425</v>
      </c>
      <c r="O127">
        <f t="shared" si="14"/>
        <v>0.11702127659574468</v>
      </c>
      <c r="P127">
        <f t="shared" si="15"/>
        <v>0.81967213114754101</v>
      </c>
      <c r="Q127">
        <f t="shared" si="16"/>
        <v>0.17847993168232279</v>
      </c>
      <c r="R127">
        <f t="shared" si="17"/>
        <v>8.3333333333333329E-2</v>
      </c>
      <c r="S127" s="13"/>
      <c r="T127" s="3" cm="1">
        <f t="array" ref="T127">_xlfn.LET(
    _xlpm.dist, SQRT(MMULT((Training!$K$2:$R$616 - K127:R127)^2, _xlfn.SEQUENCE(8,1,1,0))),
    _xlpm.sorted, _xlfn.SORTBY(Training!$I$2:$I$616, _xlpm.dist, 1),
    _xlfn.MODE.SNGL(INDEX(_xlpm.sorted, {1,2,3}))
)</f>
        <v>0</v>
      </c>
      <c r="U127" t="str">
        <f t="shared" si="18"/>
        <v>TIDAK</v>
      </c>
      <c r="V127" s="7" t="str">
        <f t="shared" si="19"/>
        <v>FN</v>
      </c>
    </row>
    <row r="128" spans="1:22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  <c r="J128" s="12"/>
      <c r="K128">
        <f t="shared" si="10"/>
        <v>0.17647058823529413</v>
      </c>
      <c r="L128">
        <f t="shared" si="11"/>
        <v>0.60301507537688437</v>
      </c>
      <c r="M128">
        <f t="shared" si="12"/>
        <v>0.57377049180327866</v>
      </c>
      <c r="N128">
        <f t="shared" si="13"/>
        <v>0.30303030303030304</v>
      </c>
      <c r="O128">
        <f t="shared" si="14"/>
        <v>0.15957446808510639</v>
      </c>
      <c r="P128">
        <f t="shared" si="15"/>
        <v>0.63934426229508201</v>
      </c>
      <c r="Q128">
        <f t="shared" si="16"/>
        <v>0.1596925704526046</v>
      </c>
      <c r="R128">
        <f t="shared" si="17"/>
        <v>0.15</v>
      </c>
      <c r="S128" s="13"/>
      <c r="T128" s="3" cm="1">
        <f t="array" ref="T128">_xlfn.LET(
    _xlpm.dist, SQRT(MMULT((Training!$K$2:$R$616 - K128:R128)^2, _xlfn.SEQUENCE(8,1,1,0))),
    _xlpm.sorted, _xlfn.SORTBY(Training!$I$2:$I$616, _xlpm.dist, 1),
    _xlfn.MODE.SNGL(INDEX(_xlpm.sorted, {1,2,3}))
)</f>
        <v>0</v>
      </c>
      <c r="U128" t="str">
        <f t="shared" si="18"/>
        <v>COCOK</v>
      </c>
      <c r="V128" s="7" t="str">
        <f t="shared" si="19"/>
        <v>TN</v>
      </c>
    </row>
    <row r="129" spans="1:22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  <c r="J129" s="12"/>
      <c r="K129">
        <f t="shared" si="10"/>
        <v>5.8823529411764705E-2</v>
      </c>
      <c r="L129">
        <f t="shared" si="11"/>
        <v>0.59296482412060303</v>
      </c>
      <c r="M129">
        <f t="shared" si="12"/>
        <v>0.47540983606557374</v>
      </c>
      <c r="N129">
        <f t="shared" si="13"/>
        <v>0.36363636363636365</v>
      </c>
      <c r="O129">
        <f t="shared" si="14"/>
        <v>0.1111111111111111</v>
      </c>
      <c r="P129">
        <f t="shared" si="15"/>
        <v>0.49627421758569301</v>
      </c>
      <c r="Q129">
        <f t="shared" si="16"/>
        <v>7.813834329632792E-2</v>
      </c>
      <c r="R129">
        <f t="shared" si="17"/>
        <v>3.3333333333333333E-2</v>
      </c>
      <c r="S129" s="13"/>
      <c r="T129" s="3" cm="1">
        <f t="array" ref="T129">_xlfn.LET(
    _xlpm.dist, SQRT(MMULT((Training!$K$2:$R$616 - K129:R129)^2, _xlfn.SEQUENCE(8,1,1,0))),
    _xlpm.sorted, _xlfn.SORTBY(Training!$I$2:$I$616, _xlpm.dist, 1),
    _xlfn.MODE.SNGL(INDEX(_xlpm.sorted, {1,2,3}))
)</f>
        <v>0</v>
      </c>
      <c r="U129" t="str">
        <f t="shared" si="18"/>
        <v>COCOK</v>
      </c>
      <c r="V129" s="7" t="str">
        <f t="shared" si="19"/>
        <v>TN</v>
      </c>
    </row>
    <row r="130" spans="1:22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  <c r="J130" s="12"/>
      <c r="K130">
        <f t="shared" si="10"/>
        <v>5.8823529411764705E-2</v>
      </c>
      <c r="L130">
        <f t="shared" si="11"/>
        <v>0.5879396984924623</v>
      </c>
      <c r="M130">
        <f t="shared" si="12"/>
        <v>0.72131147540983609</v>
      </c>
      <c r="N130">
        <f t="shared" si="13"/>
        <v>0.24242424242424243</v>
      </c>
      <c r="O130">
        <f t="shared" si="14"/>
        <v>0.17139479905437352</v>
      </c>
      <c r="P130">
        <f t="shared" si="15"/>
        <v>0.51415797317436662</v>
      </c>
      <c r="Q130">
        <f t="shared" si="16"/>
        <v>0.13877028181041845</v>
      </c>
      <c r="R130">
        <f t="shared" si="17"/>
        <v>0.31666666666666665</v>
      </c>
      <c r="S130" s="13"/>
      <c r="T130" s="3" cm="1">
        <f t="array" ref="T130">_xlfn.LET(
    _xlpm.dist, SQRT(MMULT((Training!$K$2:$R$616 - K130:R130)^2, _xlfn.SEQUENCE(8,1,1,0))),
    _xlpm.sorted, _xlfn.SORTBY(Training!$I$2:$I$616, _xlpm.dist, 1),
    _xlfn.MODE.SNGL(INDEX(_xlpm.sorted, {1,2,3}))
)</f>
        <v>1</v>
      </c>
      <c r="U130" t="str">
        <f t="shared" si="18"/>
        <v>COCOK</v>
      </c>
      <c r="V130" s="7" t="str">
        <f t="shared" si="19"/>
        <v>TP</v>
      </c>
    </row>
    <row r="131" spans="1:22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  <c r="J131" s="12"/>
      <c r="K131">
        <f t="shared" ref="K131:K154" si="20">(A131-0)/(17-0)</f>
        <v>0</v>
      </c>
      <c r="L131">
        <f t="shared" ref="L131:L154" si="21">(B131-0)/(199-0)</f>
        <v>0.52763819095477382</v>
      </c>
      <c r="M131">
        <f t="shared" ref="M131:M154" si="22">(C131-0)/(122-0)</f>
        <v>0.68852459016393441</v>
      </c>
      <c r="N131">
        <f t="shared" ref="N131:N154" si="23">(D131-0)/(99-0)</f>
        <v>0</v>
      </c>
      <c r="O131">
        <f t="shared" ref="O131:O154" si="24">(E131-0)/(846-0)</f>
        <v>0</v>
      </c>
      <c r="P131">
        <f t="shared" ref="P131:P154" si="25">(F131-0)/(67.1-0)</f>
        <v>0.41579731743666171</v>
      </c>
      <c r="Q131">
        <f t="shared" ref="Q131:Q154" si="26">(G131-0.078)/(2.42-0.078)</f>
        <v>0.28309137489325364</v>
      </c>
      <c r="R131">
        <f t="shared" ref="R131:R154" si="27">(H131-21)/(81-21)</f>
        <v>0.68333333333333335</v>
      </c>
      <c r="S131" s="13"/>
      <c r="T131" s="3" cm="1">
        <f t="array" ref="T131">_xlfn.LET(
    _xlpm.dist, SQRT(MMULT((Training!$K$2:$R$616 - K131:R131)^2, _xlfn.SEQUENCE(8,1,1,0))),
    _xlpm.sorted, _xlfn.SORTBY(Training!$I$2:$I$616, _xlpm.dist, 1),
    _xlfn.MODE.SNGL(INDEX(_xlpm.sorted, {1,2,3}))
)</f>
        <v>0</v>
      </c>
      <c r="U131" t="str">
        <f t="shared" ref="U131:U154" si="28">IF(T131=I131, "COCOK", "TIDAK")</f>
        <v>TIDAK</v>
      </c>
      <c r="V131" s="7" t="str">
        <f t="shared" ref="V131:V154" si="29">IF(AND(T131=1,I131=1),"TP",IF(AND(T131=0,I131=0),"TN",IF(AND(T131=1,I131=0),"FP","FN")))</f>
        <v>FN</v>
      </c>
    </row>
    <row r="132" spans="1:22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  <c r="J132" s="12"/>
      <c r="K132">
        <f t="shared" si="20"/>
        <v>0.23529411764705882</v>
      </c>
      <c r="L132">
        <f t="shared" si="21"/>
        <v>0.8693467336683417</v>
      </c>
      <c r="M132">
        <f t="shared" si="22"/>
        <v>0.57377049180327866</v>
      </c>
      <c r="N132">
        <f t="shared" si="23"/>
        <v>0.14141414141414141</v>
      </c>
      <c r="O132">
        <f t="shared" si="24"/>
        <v>0.19858156028368795</v>
      </c>
      <c r="P132">
        <f t="shared" si="25"/>
        <v>0.44262295081967218</v>
      </c>
      <c r="Q132">
        <f t="shared" si="26"/>
        <v>0.12083689154568743</v>
      </c>
      <c r="R132">
        <f t="shared" si="27"/>
        <v>0.2</v>
      </c>
      <c r="S132" s="13"/>
      <c r="T132" s="3" cm="1">
        <f t="array" ref="T132">_xlfn.LET(
    _xlpm.dist, SQRT(MMULT((Training!$K$2:$R$616 - K132:R132)^2, _xlfn.SEQUENCE(8,1,1,0))),
    _xlpm.sorted, _xlfn.SORTBY(Training!$I$2:$I$616, _xlpm.dist, 1),
    _xlfn.MODE.SNGL(INDEX(_xlpm.sorted, {1,2,3}))
)</f>
        <v>1</v>
      </c>
      <c r="U132" t="str">
        <f t="shared" si="28"/>
        <v>COCOK</v>
      </c>
      <c r="V132" s="7" t="str">
        <f t="shared" si="29"/>
        <v>TP</v>
      </c>
    </row>
    <row r="133" spans="1:22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  <c r="J133" s="12"/>
      <c r="K133">
        <f t="shared" si="20"/>
        <v>0.52941176470588236</v>
      </c>
      <c r="L133">
        <f t="shared" si="21"/>
        <v>0.61306532663316582</v>
      </c>
      <c r="M133">
        <f t="shared" si="22"/>
        <v>0.45901639344262296</v>
      </c>
      <c r="N133">
        <f t="shared" si="23"/>
        <v>0</v>
      </c>
      <c r="O133">
        <f t="shared" si="24"/>
        <v>0</v>
      </c>
      <c r="P133">
        <f t="shared" si="25"/>
        <v>0.49627421758569301</v>
      </c>
      <c r="Q133">
        <f t="shared" si="26"/>
        <v>0.44235695986336465</v>
      </c>
      <c r="R133">
        <f t="shared" si="27"/>
        <v>0.2</v>
      </c>
      <c r="S133" s="13"/>
      <c r="T133" s="3" cm="1">
        <f t="array" ref="T133">_xlfn.LET(
    _xlpm.dist, SQRT(MMULT((Training!$K$2:$R$616 - K133:R133)^2, _xlfn.SEQUENCE(8,1,1,0))),
    _xlpm.sorted, _xlfn.SORTBY(Training!$I$2:$I$616, _xlpm.dist, 1),
    _xlfn.MODE.SNGL(INDEX(_xlpm.sorted, {1,2,3}))
)</f>
        <v>1</v>
      </c>
      <c r="U133" t="str">
        <f t="shared" si="28"/>
        <v>COCOK</v>
      </c>
      <c r="V133" s="7" t="str">
        <f t="shared" si="29"/>
        <v>TP</v>
      </c>
    </row>
    <row r="134" spans="1:22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  <c r="J134" s="12"/>
      <c r="K134">
        <f t="shared" si="20"/>
        <v>0.17647058823529413</v>
      </c>
      <c r="L134">
        <f t="shared" si="21"/>
        <v>0.85427135678391963</v>
      </c>
      <c r="M134">
        <f t="shared" si="22"/>
        <v>0.52459016393442626</v>
      </c>
      <c r="N134">
        <f t="shared" si="23"/>
        <v>0.37373737373737376</v>
      </c>
      <c r="O134">
        <f t="shared" si="24"/>
        <v>0.26595744680851063</v>
      </c>
      <c r="P134">
        <f t="shared" si="25"/>
        <v>0.51415797317436662</v>
      </c>
      <c r="Q134">
        <f t="shared" si="26"/>
        <v>0.11870196413321946</v>
      </c>
      <c r="R134">
        <f t="shared" si="27"/>
        <v>0.15</v>
      </c>
      <c r="S134" s="13"/>
      <c r="T134" s="3" cm="1">
        <f t="array" ref="T134">_xlfn.LET(
    _xlpm.dist, SQRT(MMULT((Training!$K$2:$R$616 - K134:R134)^2, _xlfn.SEQUENCE(8,1,1,0))),
    _xlpm.sorted, _xlfn.SORTBY(Training!$I$2:$I$616, _xlpm.dist, 1),
    _xlfn.MODE.SNGL(INDEX(_xlpm.sorted, {1,2,3}))
)</f>
        <v>1</v>
      </c>
      <c r="U134" t="str">
        <f t="shared" si="28"/>
        <v>COCOK</v>
      </c>
      <c r="V134" s="7" t="str">
        <f t="shared" si="29"/>
        <v>TP</v>
      </c>
    </row>
    <row r="135" spans="1:22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  <c r="J135" s="12"/>
      <c r="K135">
        <f t="shared" si="20"/>
        <v>0.47058823529411764</v>
      </c>
      <c r="L135">
        <f t="shared" si="21"/>
        <v>0.42211055276381909</v>
      </c>
      <c r="M135">
        <f t="shared" si="22"/>
        <v>0.60655737704918034</v>
      </c>
      <c r="N135">
        <f t="shared" si="23"/>
        <v>0.31313131313131315</v>
      </c>
      <c r="O135">
        <f t="shared" si="24"/>
        <v>0</v>
      </c>
      <c r="P135">
        <f t="shared" si="25"/>
        <v>0.57078986587183311</v>
      </c>
      <c r="Q135">
        <f t="shared" si="26"/>
        <v>0.16182749786507258</v>
      </c>
      <c r="R135">
        <f t="shared" si="27"/>
        <v>0.3</v>
      </c>
      <c r="S135" s="13"/>
      <c r="T135" s="3" cm="1">
        <f t="array" ref="T135">_xlfn.LET(
    _xlpm.dist, SQRT(MMULT((Training!$K$2:$R$616 - K135:R135)^2, _xlfn.SEQUENCE(8,1,1,0))),
    _xlpm.sorted, _xlfn.SORTBY(Training!$I$2:$I$616, _xlpm.dist, 1),
    _xlfn.MODE.SNGL(INDEX(_xlpm.sorted, {1,2,3}))
)</f>
        <v>0</v>
      </c>
      <c r="U135" t="str">
        <f t="shared" si="28"/>
        <v>COCOK</v>
      </c>
      <c r="V135" s="7" t="str">
        <f t="shared" si="29"/>
        <v>TN</v>
      </c>
    </row>
    <row r="136" spans="1:22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  <c r="J136" s="12"/>
      <c r="K136">
        <f t="shared" si="20"/>
        <v>0.11764705882352941</v>
      </c>
      <c r="L136">
        <f t="shared" si="21"/>
        <v>0.48241206030150752</v>
      </c>
      <c r="M136">
        <f t="shared" si="22"/>
        <v>0.55737704918032782</v>
      </c>
      <c r="N136">
        <f t="shared" si="23"/>
        <v>0.13131313131313133</v>
      </c>
      <c r="O136">
        <f t="shared" si="24"/>
        <v>5.7919621749408984E-2</v>
      </c>
      <c r="P136">
        <f t="shared" si="25"/>
        <v>0.31445603576751124</v>
      </c>
      <c r="Q136">
        <f t="shared" si="26"/>
        <v>0.24295473953885569</v>
      </c>
      <c r="R136">
        <f t="shared" si="27"/>
        <v>8.3333333333333329E-2</v>
      </c>
      <c r="S136" s="13"/>
      <c r="T136" s="3" cm="1">
        <f t="array" ref="T136">_xlfn.LET(
    _xlpm.dist, SQRT(MMULT((Training!$K$2:$R$616 - K136:R136)^2, _xlfn.SEQUENCE(8,1,1,0))),
    _xlpm.sorted, _xlfn.SORTBY(Training!$I$2:$I$616, _xlpm.dist, 1),
    _xlfn.MODE.SNGL(INDEX(_xlpm.sorted, {1,2,3}))
)</f>
        <v>0</v>
      </c>
      <c r="U136" t="str">
        <f t="shared" si="28"/>
        <v>COCOK</v>
      </c>
      <c r="V136" s="7" t="str">
        <f t="shared" si="29"/>
        <v>TN</v>
      </c>
    </row>
    <row r="137" spans="1:22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  <c r="J137" s="12"/>
      <c r="K137">
        <f t="shared" si="20"/>
        <v>0.11764705882352941</v>
      </c>
      <c r="L137">
        <f t="shared" si="21"/>
        <v>0.62814070351758799</v>
      </c>
      <c r="M137">
        <f t="shared" si="22"/>
        <v>0.49180327868852458</v>
      </c>
      <c r="N137">
        <f t="shared" si="23"/>
        <v>0.20202020202020202</v>
      </c>
      <c r="O137">
        <f t="shared" si="24"/>
        <v>0.16548463356973994</v>
      </c>
      <c r="P137">
        <f t="shared" si="25"/>
        <v>0.50372578241430699</v>
      </c>
      <c r="Q137">
        <f t="shared" si="26"/>
        <v>4.2698548249359503E-3</v>
      </c>
      <c r="R137">
        <f t="shared" si="27"/>
        <v>0.16666666666666666</v>
      </c>
      <c r="S137" s="13"/>
      <c r="T137" s="3" cm="1">
        <f t="array" ref="T137">_xlfn.LET(
    _xlpm.dist, SQRT(MMULT((Training!$K$2:$R$616 - K137:R137)^2, _xlfn.SEQUENCE(8,1,1,0))),
    _xlpm.sorted, _xlfn.SORTBY(Training!$I$2:$I$616, _xlpm.dist, 1),
    _xlfn.MODE.SNGL(INDEX(_xlpm.sorted, {1,2,3}))
)</f>
        <v>0</v>
      </c>
      <c r="U137" t="str">
        <f t="shared" si="28"/>
        <v>COCOK</v>
      </c>
      <c r="V137" s="7" t="str">
        <f t="shared" si="29"/>
        <v>TN</v>
      </c>
    </row>
    <row r="138" spans="1:22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  <c r="J138" s="12"/>
      <c r="K138">
        <f t="shared" si="20"/>
        <v>0</v>
      </c>
      <c r="L138">
        <f t="shared" si="21"/>
        <v>0.50251256281407031</v>
      </c>
      <c r="M138">
        <f t="shared" si="22"/>
        <v>0.57377049180327866</v>
      </c>
      <c r="N138">
        <f t="shared" si="23"/>
        <v>0.26262626262626265</v>
      </c>
      <c r="O138">
        <f t="shared" si="24"/>
        <v>5.9101654846335699E-2</v>
      </c>
      <c r="P138">
        <f t="shared" si="25"/>
        <v>0.45901639344262302</v>
      </c>
      <c r="Q138">
        <f t="shared" si="26"/>
        <v>0.22160546541417592</v>
      </c>
      <c r="R138">
        <f t="shared" si="27"/>
        <v>0</v>
      </c>
      <c r="S138" s="13"/>
      <c r="T138" s="3" cm="1">
        <f t="array" ref="T138">_xlfn.LET(
    _xlpm.dist, SQRT(MMULT((Training!$K$2:$R$616 - K138:R138)^2, _xlfn.SEQUENCE(8,1,1,0))),
    _xlpm.sorted, _xlfn.SORTBY(Training!$I$2:$I$616, _xlpm.dist, 1),
    _xlfn.MODE.SNGL(INDEX(_xlpm.sorted, {1,2,3}))
)</f>
        <v>0</v>
      </c>
      <c r="U138" t="str">
        <f t="shared" si="28"/>
        <v>COCOK</v>
      </c>
      <c r="V138" s="7" t="str">
        <f t="shared" si="29"/>
        <v>TN</v>
      </c>
    </row>
    <row r="139" spans="1:22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  <c r="J139" s="12"/>
      <c r="K139">
        <f t="shared" si="20"/>
        <v>0</v>
      </c>
      <c r="L139">
        <f t="shared" si="21"/>
        <v>0.46733668341708545</v>
      </c>
      <c r="M139">
        <f t="shared" si="22"/>
        <v>0.49180327868852458</v>
      </c>
      <c r="N139">
        <f t="shared" si="23"/>
        <v>0.25252525252525254</v>
      </c>
      <c r="O139">
        <f t="shared" si="24"/>
        <v>0.10874704491725769</v>
      </c>
      <c r="P139">
        <f t="shared" si="25"/>
        <v>0.42771982116244411</v>
      </c>
      <c r="Q139">
        <f t="shared" si="26"/>
        <v>0.19385140905209222</v>
      </c>
      <c r="R139">
        <f t="shared" si="27"/>
        <v>1.6666666666666666E-2</v>
      </c>
      <c r="S139" s="13"/>
      <c r="T139" s="3" cm="1">
        <f t="array" ref="T139">_xlfn.LET(
    _xlpm.dist, SQRT(MMULT((Training!$K$2:$R$616 - K139:R139)^2, _xlfn.SEQUENCE(8,1,1,0))),
    _xlpm.sorted, _xlfn.SORTBY(Training!$I$2:$I$616, _xlpm.dist, 1),
    _xlfn.MODE.SNGL(INDEX(_xlpm.sorted, {1,2,3}))
)</f>
        <v>0</v>
      </c>
      <c r="U139" t="str">
        <f t="shared" si="28"/>
        <v>COCOK</v>
      </c>
      <c r="V139" s="7" t="str">
        <f t="shared" si="29"/>
        <v>TN</v>
      </c>
    </row>
    <row r="140" spans="1:22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  <c r="J140" s="12"/>
      <c r="K140">
        <f t="shared" si="20"/>
        <v>0</v>
      </c>
      <c r="L140">
        <f t="shared" si="21"/>
        <v>0.64824120603015079</v>
      </c>
      <c r="M140">
        <f t="shared" si="22"/>
        <v>0.65573770491803274</v>
      </c>
      <c r="N140">
        <f t="shared" si="23"/>
        <v>0</v>
      </c>
      <c r="O140">
        <f t="shared" si="24"/>
        <v>0</v>
      </c>
      <c r="P140">
        <f t="shared" si="25"/>
        <v>0.46497764530551416</v>
      </c>
      <c r="Q140">
        <f t="shared" si="26"/>
        <v>0.266865926558497</v>
      </c>
      <c r="R140">
        <f t="shared" si="27"/>
        <v>0.13333333333333333</v>
      </c>
      <c r="S140" s="13"/>
      <c r="T140" s="3" cm="1">
        <f t="array" ref="T140">_xlfn.LET(
    _xlpm.dist, SQRT(MMULT((Training!$K$2:$R$616 - K140:R140)^2, _xlfn.SEQUENCE(8,1,1,0))),
    _xlpm.sorted, _xlfn.SORTBY(Training!$I$2:$I$616, _xlpm.dist, 1),
    _xlfn.MODE.SNGL(INDEX(_xlpm.sorted, {1,2,3}))
)</f>
        <v>0</v>
      </c>
      <c r="U140" t="str">
        <f t="shared" si="28"/>
        <v>COCOK</v>
      </c>
      <c r="V140" s="7" t="str">
        <f t="shared" si="29"/>
        <v>TN</v>
      </c>
    </row>
    <row r="141" spans="1:22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  <c r="J141" s="12"/>
      <c r="K141">
        <f t="shared" si="20"/>
        <v>0.29411764705882354</v>
      </c>
      <c r="L141">
        <f t="shared" si="21"/>
        <v>0.52763819095477382</v>
      </c>
      <c r="M141">
        <f t="shared" si="22"/>
        <v>0.5901639344262295</v>
      </c>
      <c r="N141">
        <f t="shared" si="23"/>
        <v>0.29292929292929293</v>
      </c>
      <c r="O141">
        <f t="shared" si="24"/>
        <v>0.38416075650118203</v>
      </c>
      <c r="P141">
        <f t="shared" si="25"/>
        <v>0.54992548435171384</v>
      </c>
      <c r="Q141">
        <f t="shared" si="26"/>
        <v>3.4585824081981215E-2</v>
      </c>
      <c r="R141">
        <f t="shared" si="27"/>
        <v>0.11666666666666667</v>
      </c>
      <c r="S141" s="13"/>
      <c r="T141" s="3" cm="1">
        <f t="array" ref="T141">_xlfn.LET(
    _xlpm.dist, SQRT(MMULT((Training!$K$2:$R$616 - K141:R141)^2, _xlfn.SEQUENCE(8,1,1,0))),
    _xlpm.sorted, _xlfn.SORTBY(Training!$I$2:$I$616, _xlpm.dist, 1),
    _xlfn.MODE.SNGL(INDEX(_xlpm.sorted, {1,2,3}))
)</f>
        <v>0</v>
      </c>
      <c r="U141" t="str">
        <f t="shared" si="28"/>
        <v>COCOK</v>
      </c>
      <c r="V141" s="7" t="str">
        <f t="shared" si="29"/>
        <v>TN</v>
      </c>
    </row>
    <row r="142" spans="1:22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  <c r="J142" s="12"/>
      <c r="K142">
        <f t="shared" si="20"/>
        <v>0.17647058823529413</v>
      </c>
      <c r="L142">
        <f t="shared" si="21"/>
        <v>0.64321608040201006</v>
      </c>
      <c r="M142">
        <f t="shared" si="22"/>
        <v>0.63934426229508201</v>
      </c>
      <c r="N142">
        <f t="shared" si="23"/>
        <v>0</v>
      </c>
      <c r="O142">
        <f t="shared" si="24"/>
        <v>0</v>
      </c>
      <c r="P142">
        <f t="shared" si="25"/>
        <v>0.31445603576751124</v>
      </c>
      <c r="Q142">
        <f t="shared" si="26"/>
        <v>8.1127241673783088E-2</v>
      </c>
      <c r="R142">
        <f t="shared" si="27"/>
        <v>0.56666666666666665</v>
      </c>
      <c r="S142" s="13"/>
      <c r="T142" s="3" cm="1">
        <f t="array" ref="T142">_xlfn.LET(
    _xlpm.dist, SQRT(MMULT((Training!$K$2:$R$616 - K142:R142)^2, _xlfn.SEQUENCE(8,1,1,0))),
    _xlpm.sorted, _xlfn.SORTBY(Training!$I$2:$I$616, _xlpm.dist, 1),
    _xlfn.MODE.SNGL(INDEX(_xlpm.sorted, {1,2,3}))
)</f>
        <v>1</v>
      </c>
      <c r="U142" t="str">
        <f t="shared" si="28"/>
        <v>TIDAK</v>
      </c>
      <c r="V142" s="7" t="str">
        <f t="shared" si="29"/>
        <v>FP</v>
      </c>
    </row>
    <row r="143" spans="1:22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  <c r="J143" s="12"/>
      <c r="K143">
        <f t="shared" si="20"/>
        <v>0.29411764705882354</v>
      </c>
      <c r="L143">
        <f t="shared" si="21"/>
        <v>0.53266331658291455</v>
      </c>
      <c r="M143">
        <f t="shared" si="22"/>
        <v>0.67213114754098358</v>
      </c>
      <c r="N143">
        <f t="shared" si="23"/>
        <v>0.30303030303030304</v>
      </c>
      <c r="O143">
        <f t="shared" si="24"/>
        <v>0</v>
      </c>
      <c r="P143">
        <f t="shared" si="25"/>
        <v>0.58867362146050672</v>
      </c>
      <c r="Q143">
        <f t="shared" si="26"/>
        <v>8.881298035866779E-2</v>
      </c>
      <c r="R143">
        <f t="shared" si="27"/>
        <v>0.28333333333333333</v>
      </c>
      <c r="S143" s="13"/>
      <c r="T143" s="3" cm="1">
        <f t="array" ref="T143">_xlfn.LET(
    _xlpm.dist, SQRT(MMULT((Training!$K$2:$R$616 - K143:R143)^2, _xlfn.SEQUENCE(8,1,1,0))),
    _xlpm.sorted, _xlfn.SORTBY(Training!$I$2:$I$616, _xlpm.dist, 1),
    _xlfn.MODE.SNGL(INDEX(_xlpm.sorted, {1,2,3}))
)</f>
        <v>0</v>
      </c>
      <c r="U143" t="str">
        <f t="shared" si="28"/>
        <v>COCOK</v>
      </c>
      <c r="V143" s="7" t="str">
        <f t="shared" si="29"/>
        <v>TN</v>
      </c>
    </row>
    <row r="144" spans="1:22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  <c r="J144" s="12"/>
      <c r="K144">
        <f t="shared" si="20"/>
        <v>0.11764705882352941</v>
      </c>
      <c r="L144">
        <f t="shared" si="21"/>
        <v>0.542713567839196</v>
      </c>
      <c r="M144">
        <f t="shared" si="22"/>
        <v>0.42622950819672129</v>
      </c>
      <c r="N144">
        <f t="shared" si="23"/>
        <v>0.26262626262626265</v>
      </c>
      <c r="O144">
        <f t="shared" si="24"/>
        <v>7.4468085106382975E-2</v>
      </c>
      <c r="P144">
        <f t="shared" si="25"/>
        <v>0.4843517138599106</v>
      </c>
      <c r="Q144">
        <f t="shared" si="26"/>
        <v>0.10247651579846284</v>
      </c>
      <c r="R144">
        <f t="shared" si="27"/>
        <v>1.6666666666666666E-2</v>
      </c>
      <c r="S144" s="13"/>
      <c r="T144" s="3" cm="1">
        <f t="array" ref="T144">_xlfn.LET(
    _xlpm.dist, SQRT(MMULT((Training!$K$2:$R$616 - K144:R144)^2, _xlfn.SEQUENCE(8,1,1,0))),
    _xlpm.sorted, _xlfn.SORTBY(Training!$I$2:$I$616, _xlpm.dist, 1),
    _xlfn.MODE.SNGL(INDEX(_xlpm.sorted, {1,2,3}))
)</f>
        <v>0</v>
      </c>
      <c r="U144" t="str">
        <f t="shared" si="28"/>
        <v>COCOK</v>
      </c>
      <c r="V144" s="7" t="str">
        <f t="shared" si="29"/>
        <v>TN</v>
      </c>
    </row>
    <row r="145" spans="1:22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  <c r="J145" s="12"/>
      <c r="K145">
        <f t="shared" si="20"/>
        <v>0.58823529411764708</v>
      </c>
      <c r="L145">
        <f t="shared" si="21"/>
        <v>0.542713567839196</v>
      </c>
      <c r="M145">
        <f t="shared" si="22"/>
        <v>0.54098360655737709</v>
      </c>
      <c r="N145">
        <f t="shared" si="23"/>
        <v>0</v>
      </c>
      <c r="O145">
        <f t="shared" si="24"/>
        <v>0</v>
      </c>
      <c r="P145">
        <f t="shared" si="25"/>
        <v>0.48286140089418778</v>
      </c>
      <c r="Q145">
        <f t="shared" si="26"/>
        <v>8.2835183603757467E-2</v>
      </c>
      <c r="R145">
        <f t="shared" si="27"/>
        <v>0.35</v>
      </c>
      <c r="S145" s="13"/>
      <c r="T145" s="3" cm="1">
        <f t="array" ref="T145">_xlfn.LET(
    _xlpm.dist, SQRT(MMULT((Training!$K$2:$R$616 - K145:R145)^2, _xlfn.SEQUENCE(8,1,1,0))),
    _xlpm.sorted, _xlfn.SORTBY(Training!$I$2:$I$616, _xlpm.dist, 1),
    _xlfn.MODE.SNGL(INDEX(_xlpm.sorted, {1,2,3}))
)</f>
        <v>0</v>
      </c>
      <c r="U145" t="str">
        <f t="shared" si="28"/>
        <v>TIDAK</v>
      </c>
      <c r="V145" s="7" t="str">
        <f t="shared" si="29"/>
        <v>FN</v>
      </c>
    </row>
    <row r="146" spans="1:22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  <c r="J146" s="12"/>
      <c r="K146">
        <f t="shared" si="20"/>
        <v>0.23529411764705882</v>
      </c>
      <c r="L146">
        <f t="shared" si="21"/>
        <v>0.77386934673366836</v>
      </c>
      <c r="M146">
        <f t="shared" si="22"/>
        <v>0.50819672131147542</v>
      </c>
      <c r="N146">
        <f t="shared" si="23"/>
        <v>0.31313131313131315</v>
      </c>
      <c r="O146">
        <f t="shared" si="24"/>
        <v>0.33569739952718675</v>
      </c>
      <c r="P146">
        <f t="shared" si="25"/>
        <v>0.48882265275707898</v>
      </c>
      <c r="Q146">
        <f t="shared" si="26"/>
        <v>6.7890691716481627E-2</v>
      </c>
      <c r="R146">
        <f t="shared" si="27"/>
        <v>3.3333333333333333E-2</v>
      </c>
      <c r="S146" s="13"/>
      <c r="T146" s="3" cm="1">
        <f t="array" ref="T146">_xlfn.LET(
    _xlpm.dist, SQRT(MMULT((Training!$K$2:$R$616 - K146:R146)^2, _xlfn.SEQUENCE(8,1,1,0))),
    _xlpm.sorted, _xlfn.SORTBY(Training!$I$2:$I$616, _xlpm.dist, 1),
    _xlfn.MODE.SNGL(INDEX(_xlpm.sorted, {1,2,3}))
)</f>
        <v>1</v>
      </c>
      <c r="U146" t="str">
        <f t="shared" si="28"/>
        <v>TIDAK</v>
      </c>
      <c r="V146" s="7" t="str">
        <f t="shared" si="29"/>
        <v>FP</v>
      </c>
    </row>
    <row r="147" spans="1:22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  <c r="J147" s="12"/>
      <c r="K147">
        <f t="shared" si="20"/>
        <v>0</v>
      </c>
      <c r="L147">
        <f t="shared" si="21"/>
        <v>0.51256281407035176</v>
      </c>
      <c r="M147">
        <f t="shared" si="22"/>
        <v>0.61475409836065575</v>
      </c>
      <c r="N147">
        <f t="shared" si="23"/>
        <v>0.23232323232323232</v>
      </c>
      <c r="O147">
        <f t="shared" si="24"/>
        <v>0</v>
      </c>
      <c r="P147">
        <f t="shared" si="25"/>
        <v>0</v>
      </c>
      <c r="Q147">
        <f t="shared" si="26"/>
        <v>0.21093082835183599</v>
      </c>
      <c r="R147">
        <f t="shared" si="27"/>
        <v>0</v>
      </c>
      <c r="S147" s="13"/>
      <c r="T147" s="3" cm="1">
        <f t="array" ref="T147">_xlfn.LET(
    _xlpm.dist, SQRT(MMULT((Training!$K$2:$R$616 - K147:R147)^2, _xlfn.SEQUENCE(8,1,1,0))),
    _xlpm.sorted, _xlfn.SORTBY(Training!$I$2:$I$616, _xlpm.dist, 1),
    _xlfn.MODE.SNGL(INDEX(_xlpm.sorted, {1,2,3}))
)</f>
        <v>0</v>
      </c>
      <c r="U147" t="str">
        <f t="shared" si="28"/>
        <v>COCOK</v>
      </c>
      <c r="V147" s="7" t="str">
        <f t="shared" si="29"/>
        <v>TN</v>
      </c>
    </row>
    <row r="148" spans="1:22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  <c r="J148" s="12"/>
      <c r="K148">
        <f t="shared" si="20"/>
        <v>0.52941176470588236</v>
      </c>
      <c r="L148">
        <f t="shared" si="21"/>
        <v>0.28643216080402012</v>
      </c>
      <c r="M148">
        <f t="shared" si="22"/>
        <v>0.65573770491803274</v>
      </c>
      <c r="N148">
        <f t="shared" si="23"/>
        <v>0.37373737373737376</v>
      </c>
      <c r="O148">
        <f t="shared" si="24"/>
        <v>0</v>
      </c>
      <c r="P148">
        <f t="shared" si="25"/>
        <v>0.48882265275707898</v>
      </c>
      <c r="Q148">
        <f t="shared" si="26"/>
        <v>7.6857386848847142E-3</v>
      </c>
      <c r="R148">
        <f t="shared" si="27"/>
        <v>0.33333333333333331</v>
      </c>
      <c r="S148" s="13"/>
      <c r="T148" s="3" cm="1">
        <f t="array" ref="T148">_xlfn.LET(
    _xlpm.dist, SQRT(MMULT((Training!$K$2:$R$616 - K148:R148)^2, _xlfn.SEQUENCE(8,1,1,0))),
    _xlpm.sorted, _xlfn.SORTBY(Training!$I$2:$I$616, _xlpm.dist, 1),
    _xlfn.MODE.SNGL(INDEX(_xlpm.sorted, {1,2,3}))
)</f>
        <v>0</v>
      </c>
      <c r="U148" t="str">
        <f t="shared" si="28"/>
        <v>COCOK</v>
      </c>
      <c r="V148" s="7" t="str">
        <f t="shared" si="29"/>
        <v>TN</v>
      </c>
    </row>
    <row r="149" spans="1:22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  <c r="J149" s="12"/>
      <c r="K149">
        <f t="shared" si="20"/>
        <v>0.11764705882352941</v>
      </c>
      <c r="L149">
        <f t="shared" si="21"/>
        <v>0.53266331658291455</v>
      </c>
      <c r="M149">
        <f t="shared" si="22"/>
        <v>0.52459016393442626</v>
      </c>
      <c r="N149">
        <f t="shared" si="23"/>
        <v>0.35353535353535354</v>
      </c>
      <c r="O149">
        <f t="shared" si="24"/>
        <v>0.14066193853427897</v>
      </c>
      <c r="P149">
        <f t="shared" si="25"/>
        <v>0.45454545454545459</v>
      </c>
      <c r="Q149">
        <f t="shared" si="26"/>
        <v>0.56447480785653281</v>
      </c>
      <c r="R149">
        <f t="shared" si="27"/>
        <v>0.21666666666666667</v>
      </c>
      <c r="S149" s="13"/>
      <c r="T149" s="3" cm="1">
        <f t="array" ref="T149">_xlfn.LET(
    _xlpm.dist, SQRT(MMULT((Training!$K$2:$R$616 - K149:R149)^2, _xlfn.SEQUENCE(8,1,1,0))),
    _xlpm.sorted, _xlfn.SORTBY(Training!$I$2:$I$616, _xlpm.dist, 1),
    _xlfn.MODE.SNGL(INDEX(_xlpm.sorted, {1,2,3}))
)</f>
        <v>0</v>
      </c>
      <c r="U149" t="str">
        <f t="shared" si="28"/>
        <v>COCOK</v>
      </c>
      <c r="V149" s="7" t="str">
        <f t="shared" si="29"/>
        <v>TN</v>
      </c>
    </row>
    <row r="150" spans="1:22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  <c r="J150" s="12"/>
      <c r="K150">
        <f t="shared" si="20"/>
        <v>0.29411764705882354</v>
      </c>
      <c r="L150">
        <f t="shared" si="21"/>
        <v>0.7386934673366834</v>
      </c>
      <c r="M150">
        <f t="shared" si="22"/>
        <v>0.63934426229508201</v>
      </c>
      <c r="N150">
        <f t="shared" si="23"/>
        <v>0</v>
      </c>
      <c r="O150">
        <f t="shared" si="24"/>
        <v>0</v>
      </c>
      <c r="P150">
        <f t="shared" si="25"/>
        <v>0.50223546944858433</v>
      </c>
      <c r="Q150">
        <f t="shared" si="26"/>
        <v>5.9777967549103334E-2</v>
      </c>
      <c r="R150">
        <f t="shared" si="27"/>
        <v>0.73333333333333328</v>
      </c>
      <c r="S150" s="13"/>
      <c r="T150" s="3" cm="1">
        <f t="array" ref="T150">_xlfn.LET(
    _xlpm.dist, SQRT(MMULT((Training!$K$2:$R$616 - K150:R150)^2, _xlfn.SEQUENCE(8,1,1,0))),
    _xlpm.sorted, _xlfn.SORTBY(Training!$I$2:$I$616, _xlpm.dist, 1),
    _xlfn.MODE.SNGL(INDEX(_xlpm.sorted, {1,2,3}))
)</f>
        <v>0</v>
      </c>
      <c r="U150" t="str">
        <f t="shared" si="28"/>
        <v>COCOK</v>
      </c>
      <c r="V150" s="7" t="str">
        <f t="shared" si="29"/>
        <v>TN</v>
      </c>
    </row>
    <row r="151" spans="1:22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  <c r="J151" s="12"/>
      <c r="K151">
        <f t="shared" si="20"/>
        <v>0.11764705882352941</v>
      </c>
      <c r="L151">
        <f t="shared" si="21"/>
        <v>0.45226130653266333</v>
      </c>
      <c r="M151">
        <f t="shared" si="22"/>
        <v>0.57377049180327866</v>
      </c>
      <c r="N151">
        <f t="shared" si="23"/>
        <v>0.17171717171717171</v>
      </c>
      <c r="O151">
        <f t="shared" si="24"/>
        <v>0</v>
      </c>
      <c r="P151">
        <f t="shared" si="25"/>
        <v>0.40685543964232496</v>
      </c>
      <c r="Q151">
        <f t="shared" si="26"/>
        <v>2.9888983774551689E-3</v>
      </c>
      <c r="R151">
        <f t="shared" si="27"/>
        <v>1.6666666666666666E-2</v>
      </c>
      <c r="S151" s="13"/>
      <c r="T151" s="3" cm="1">
        <f t="array" ref="T151">_xlfn.LET(
    _xlpm.dist, SQRT(MMULT((Training!$K$2:$R$616 - K151:R151)^2, _xlfn.SEQUENCE(8,1,1,0))),
    _xlpm.sorted, _xlfn.SORTBY(Training!$I$2:$I$616, _xlpm.dist, 1),
    _xlfn.MODE.SNGL(INDEX(_xlpm.sorted, {1,2,3}))
)</f>
        <v>0</v>
      </c>
      <c r="U151" t="str">
        <f t="shared" si="28"/>
        <v>COCOK</v>
      </c>
      <c r="V151" s="7" t="str">
        <f t="shared" si="29"/>
        <v>TN</v>
      </c>
    </row>
    <row r="152" spans="1:22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  <c r="J152" s="12"/>
      <c r="K152">
        <f t="shared" si="20"/>
        <v>5.8823529411764705E-2</v>
      </c>
      <c r="L152">
        <f t="shared" si="21"/>
        <v>0.68341708542713564</v>
      </c>
      <c r="M152">
        <f t="shared" si="22"/>
        <v>0.60655737704918034</v>
      </c>
      <c r="N152">
        <f t="shared" si="23"/>
        <v>0.50505050505050508</v>
      </c>
      <c r="O152">
        <f t="shared" si="24"/>
        <v>0.24113475177304963</v>
      </c>
      <c r="P152">
        <f t="shared" si="25"/>
        <v>0.55737704918032793</v>
      </c>
      <c r="Q152">
        <f t="shared" si="26"/>
        <v>0.13706233988044406</v>
      </c>
      <c r="R152">
        <f t="shared" si="27"/>
        <v>0.05</v>
      </c>
      <c r="S152" s="13"/>
      <c r="T152" s="3" cm="1">
        <f t="array" ref="T152">_xlfn.LET(
    _xlpm.dist, SQRT(MMULT((Training!$K$2:$R$616 - K152:R152)^2, _xlfn.SEQUENCE(8,1,1,0))),
    _xlpm.sorted, _xlfn.SORTBY(Training!$I$2:$I$616, _xlpm.dist, 1),
    _xlfn.MODE.SNGL(INDEX(_xlpm.sorted, {1,2,3}))
)</f>
        <v>0</v>
      </c>
      <c r="U152" t="str">
        <f t="shared" si="28"/>
        <v>COCOK</v>
      </c>
      <c r="V152" s="7" t="str">
        <f t="shared" si="29"/>
        <v>TN</v>
      </c>
    </row>
    <row r="153" spans="1:22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  <c r="J153" s="12"/>
      <c r="K153">
        <f t="shared" si="20"/>
        <v>0.23529411764705882</v>
      </c>
      <c r="L153">
        <f t="shared" si="21"/>
        <v>0.57286432160804024</v>
      </c>
      <c r="M153">
        <f t="shared" si="22"/>
        <v>0.53278688524590168</v>
      </c>
      <c r="N153">
        <f t="shared" si="23"/>
        <v>0</v>
      </c>
      <c r="O153">
        <f t="shared" si="24"/>
        <v>0</v>
      </c>
      <c r="P153">
        <f t="shared" si="25"/>
        <v>0.3263785394932936</v>
      </c>
      <c r="Q153">
        <f t="shared" si="26"/>
        <v>0.15115286080273269</v>
      </c>
      <c r="R153">
        <f t="shared" si="27"/>
        <v>0.26666666666666666</v>
      </c>
      <c r="S153" s="13"/>
      <c r="T153" s="3" cm="1">
        <f t="array" ref="T153">_xlfn.LET(
    _xlpm.dist, SQRT(MMULT((Training!$K$2:$R$616 - K153:R153)^2, _xlfn.SEQUENCE(8,1,1,0))),
    _xlpm.sorted, _xlfn.SORTBY(Training!$I$2:$I$616, _xlpm.dist, 1),
    _xlfn.MODE.SNGL(INDEX(_xlpm.sorted, {1,2,3}))
)</f>
        <v>0</v>
      </c>
      <c r="U153" t="str">
        <f t="shared" si="28"/>
        <v>COCOK</v>
      </c>
      <c r="V153" s="7" t="str">
        <f t="shared" si="29"/>
        <v>TN</v>
      </c>
    </row>
    <row r="154" spans="1:22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  <c r="J154" s="12"/>
      <c r="K154">
        <f t="shared" si="20"/>
        <v>0.52941176470588236</v>
      </c>
      <c r="L154">
        <f t="shared" si="21"/>
        <v>0.7839195979899497</v>
      </c>
      <c r="M154">
        <f t="shared" si="22"/>
        <v>0.70491803278688525</v>
      </c>
      <c r="N154">
        <f t="shared" si="23"/>
        <v>0.28282828282828282</v>
      </c>
      <c r="O154">
        <f t="shared" si="24"/>
        <v>0.18321513002364065</v>
      </c>
      <c r="P154">
        <f t="shared" si="25"/>
        <v>0.51117734724292097</v>
      </c>
      <c r="Q154">
        <f t="shared" si="26"/>
        <v>0.47438087105038429</v>
      </c>
      <c r="R154">
        <f t="shared" si="27"/>
        <v>0.35</v>
      </c>
      <c r="S154" s="13"/>
      <c r="T154" s="3" cm="1">
        <f t="array" ref="T154">_xlfn.LET(
    _xlpm.dist, SQRT(MMULT((Training!$K$2:$R$616 - K154:R154)^2, _xlfn.SEQUENCE(8,1,1,0))),
    _xlpm.sorted, _xlfn.SORTBY(Training!$I$2:$I$616, _xlpm.dist, 1),
    _xlfn.MODE.SNGL(INDEX(_xlpm.sorted, {1,2,3}))
)</f>
        <v>1</v>
      </c>
      <c r="U154" t="str">
        <f t="shared" si="28"/>
        <v>COCOK</v>
      </c>
      <c r="V154" s="7" t="str">
        <f t="shared" si="29"/>
        <v>TP</v>
      </c>
    </row>
  </sheetData>
  <autoFilter ref="A1:V154" xr:uid="{00000000-0001-0000-0100-000000000000}"/>
  <mergeCells count="2">
    <mergeCell ref="J1:J154"/>
    <mergeCell ref="S1:S1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16"/>
  <sheetViews>
    <sheetView topLeftCell="A390" workbookViewId="0">
      <selection activeCell="K2" sqref="K2:R616"/>
    </sheetView>
  </sheetViews>
  <sheetFormatPr defaultRowHeight="14.4" x14ac:dyDescent="0.3"/>
  <cols>
    <col min="1" max="1" width="10.6640625" bestFit="1" customWidth="1"/>
    <col min="3" max="3" width="12.6640625" bestFit="1" customWidth="1"/>
    <col min="4" max="4" width="12" bestFit="1" customWidth="1"/>
    <col min="7" max="7" width="22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8" x14ac:dyDescent="0.3">
      <c r="A2">
        <v>1</v>
      </c>
      <c r="B2">
        <v>153</v>
      </c>
      <c r="C2">
        <v>82</v>
      </c>
      <c r="D2">
        <v>42</v>
      </c>
      <c r="E2">
        <v>485</v>
      </c>
      <c r="F2">
        <v>40.6</v>
      </c>
      <c r="G2">
        <v>0.68700000000000006</v>
      </c>
      <c r="H2">
        <v>23</v>
      </c>
      <c r="I2">
        <v>0</v>
      </c>
      <c r="K2">
        <f>(A2-0)/(17-0)</f>
        <v>5.8823529411764705E-2</v>
      </c>
      <c r="L2">
        <f>(B2-0)/(199-0)</f>
        <v>0.76884422110552764</v>
      </c>
      <c r="M2">
        <f>(C2-0)/(122-0)</f>
        <v>0.67213114754098358</v>
      </c>
      <c r="N2">
        <f>(D2-0)/(99-0)</f>
        <v>0.42424242424242425</v>
      </c>
      <c r="O2">
        <f>(E2-0)/(846-0)</f>
        <v>0.57328605200945626</v>
      </c>
      <c r="P2">
        <f>(F2-0)/(67.1-0)</f>
        <v>0.60506706408345756</v>
      </c>
      <c r="Q2">
        <f>(G2-0.078)/(2.42-0.078)</f>
        <v>0.26003415883859954</v>
      </c>
      <c r="R2">
        <f>(H2-21)/(81-21)</f>
        <v>3.3333333333333333E-2</v>
      </c>
    </row>
    <row r="3" spans="1:18" x14ac:dyDescent="0.3">
      <c r="A3">
        <v>8</v>
      </c>
      <c r="B3">
        <v>188</v>
      </c>
      <c r="C3">
        <v>78</v>
      </c>
      <c r="D3">
        <v>0</v>
      </c>
      <c r="E3">
        <v>0</v>
      </c>
      <c r="F3">
        <v>47.9</v>
      </c>
      <c r="G3">
        <v>0.13700000000000001</v>
      </c>
      <c r="H3">
        <v>43</v>
      </c>
      <c r="I3">
        <v>1</v>
      </c>
      <c r="K3">
        <f t="shared" ref="K3:K66" si="0">(A3-0)/(17-0)</f>
        <v>0.47058823529411764</v>
      </c>
      <c r="L3">
        <f t="shared" ref="L3:L66" si="1">(B3-0)/(199-0)</f>
        <v>0.94472361809045224</v>
      </c>
      <c r="M3">
        <f t="shared" ref="M3:M66" si="2">(C3-0)/(122-0)</f>
        <v>0.63934426229508201</v>
      </c>
      <c r="N3">
        <f t="shared" ref="N3:N66" si="3">(D3-0)/(99-0)</f>
        <v>0</v>
      </c>
      <c r="O3">
        <f t="shared" ref="O3:O66" si="4">(E3-0)/(846-0)</f>
        <v>0</v>
      </c>
      <c r="P3">
        <f t="shared" ref="P3:P66" si="5">(F3-0)/(67.1-0)</f>
        <v>0.71385991058122211</v>
      </c>
      <c r="Q3">
        <f t="shared" ref="Q3:Q66" si="6">(G3-0.078)/(2.42-0.078)</f>
        <v>2.5192143467122122E-2</v>
      </c>
      <c r="R3">
        <f t="shared" ref="R3:R66" si="7">(H3-21)/(81-21)</f>
        <v>0.36666666666666664</v>
      </c>
    </row>
    <row r="4" spans="1:18" x14ac:dyDescent="0.3">
      <c r="A4">
        <v>7</v>
      </c>
      <c r="B4">
        <v>152</v>
      </c>
      <c r="C4">
        <v>88</v>
      </c>
      <c r="D4">
        <v>44</v>
      </c>
      <c r="E4">
        <v>0</v>
      </c>
      <c r="F4">
        <v>50</v>
      </c>
      <c r="G4">
        <v>0.33700000000000002</v>
      </c>
      <c r="H4">
        <v>36</v>
      </c>
      <c r="I4">
        <v>1</v>
      </c>
      <c r="K4">
        <f t="shared" si="0"/>
        <v>0.41176470588235292</v>
      </c>
      <c r="L4">
        <f t="shared" si="1"/>
        <v>0.76381909547738691</v>
      </c>
      <c r="M4">
        <f t="shared" si="2"/>
        <v>0.72131147540983609</v>
      </c>
      <c r="N4">
        <f t="shared" si="3"/>
        <v>0.44444444444444442</v>
      </c>
      <c r="O4">
        <f t="shared" si="4"/>
        <v>0</v>
      </c>
      <c r="P4">
        <f t="shared" si="5"/>
        <v>0.7451564828614009</v>
      </c>
      <c r="Q4">
        <f t="shared" si="6"/>
        <v>0.11058923996584116</v>
      </c>
      <c r="R4">
        <f t="shared" si="7"/>
        <v>0.25</v>
      </c>
    </row>
    <row r="5" spans="1:18" x14ac:dyDescent="0.3">
      <c r="A5">
        <v>2</v>
      </c>
      <c r="B5">
        <v>99</v>
      </c>
      <c r="C5">
        <v>52</v>
      </c>
      <c r="D5">
        <v>15</v>
      </c>
      <c r="E5">
        <v>94</v>
      </c>
      <c r="F5">
        <v>24.6</v>
      </c>
      <c r="G5">
        <v>0.63700000000000001</v>
      </c>
      <c r="H5">
        <v>21</v>
      </c>
      <c r="I5">
        <v>0</v>
      </c>
      <c r="K5">
        <f t="shared" si="0"/>
        <v>0.11764705882352941</v>
      </c>
      <c r="L5">
        <f t="shared" si="1"/>
        <v>0.49748743718592964</v>
      </c>
      <c r="M5">
        <f t="shared" si="2"/>
        <v>0.42622950819672129</v>
      </c>
      <c r="N5">
        <f t="shared" si="3"/>
        <v>0.15151515151515152</v>
      </c>
      <c r="O5">
        <f t="shared" si="4"/>
        <v>0.1111111111111111</v>
      </c>
      <c r="P5">
        <f t="shared" si="5"/>
        <v>0.3666169895678093</v>
      </c>
      <c r="Q5">
        <f t="shared" si="6"/>
        <v>0.23868488471391974</v>
      </c>
      <c r="R5">
        <f t="shared" si="7"/>
        <v>0</v>
      </c>
    </row>
    <row r="6" spans="1:18" x14ac:dyDescent="0.3">
      <c r="A6">
        <v>1</v>
      </c>
      <c r="B6">
        <v>109</v>
      </c>
      <c r="C6">
        <v>56</v>
      </c>
      <c r="D6">
        <v>21</v>
      </c>
      <c r="E6">
        <v>135</v>
      </c>
      <c r="F6">
        <v>25.2</v>
      </c>
      <c r="G6">
        <v>0.83299999999999996</v>
      </c>
      <c r="H6">
        <v>23</v>
      </c>
      <c r="I6">
        <v>0</v>
      </c>
      <c r="K6">
        <f t="shared" si="0"/>
        <v>5.8823529411764705E-2</v>
      </c>
      <c r="L6">
        <f t="shared" si="1"/>
        <v>0.54773869346733672</v>
      </c>
      <c r="M6">
        <f t="shared" si="2"/>
        <v>0.45901639344262296</v>
      </c>
      <c r="N6">
        <f t="shared" si="3"/>
        <v>0.21212121212121213</v>
      </c>
      <c r="O6">
        <f t="shared" si="4"/>
        <v>0.15957446808510639</v>
      </c>
      <c r="P6">
        <f t="shared" si="5"/>
        <v>0.37555886736214605</v>
      </c>
      <c r="Q6">
        <f t="shared" si="6"/>
        <v>0.32237403928266439</v>
      </c>
      <c r="R6">
        <f t="shared" si="7"/>
        <v>3.3333333333333333E-2</v>
      </c>
    </row>
    <row r="7" spans="1:18" x14ac:dyDescent="0.3">
      <c r="A7">
        <v>2</v>
      </c>
      <c r="B7">
        <v>88</v>
      </c>
      <c r="C7">
        <v>74</v>
      </c>
      <c r="D7">
        <v>19</v>
      </c>
      <c r="E7">
        <v>53</v>
      </c>
      <c r="F7">
        <v>29</v>
      </c>
      <c r="G7">
        <v>0.22900000000000001</v>
      </c>
      <c r="H7">
        <v>22</v>
      </c>
      <c r="I7">
        <v>0</v>
      </c>
      <c r="K7">
        <f t="shared" si="0"/>
        <v>0.11764705882352941</v>
      </c>
      <c r="L7">
        <f t="shared" si="1"/>
        <v>0.44221105527638194</v>
      </c>
      <c r="M7">
        <f t="shared" si="2"/>
        <v>0.60655737704918034</v>
      </c>
      <c r="N7">
        <f t="shared" si="3"/>
        <v>0.19191919191919191</v>
      </c>
      <c r="O7">
        <f t="shared" si="4"/>
        <v>6.2647754137115833E-2</v>
      </c>
      <c r="P7">
        <f t="shared" si="5"/>
        <v>0.43219076005961254</v>
      </c>
      <c r="Q7">
        <f t="shared" si="6"/>
        <v>6.4474807856532881E-2</v>
      </c>
      <c r="R7">
        <f t="shared" si="7"/>
        <v>1.6666666666666666E-2</v>
      </c>
    </row>
    <row r="8" spans="1:18" x14ac:dyDescent="0.3">
      <c r="A8">
        <v>17</v>
      </c>
      <c r="B8">
        <v>163</v>
      </c>
      <c r="C8">
        <v>72</v>
      </c>
      <c r="D8">
        <v>41</v>
      </c>
      <c r="E8">
        <v>114</v>
      </c>
      <c r="F8">
        <v>40.9</v>
      </c>
      <c r="G8">
        <v>0.81699999999999995</v>
      </c>
      <c r="H8">
        <v>47</v>
      </c>
      <c r="I8">
        <v>1</v>
      </c>
      <c r="K8">
        <f t="shared" si="0"/>
        <v>1</v>
      </c>
      <c r="L8">
        <f t="shared" si="1"/>
        <v>0.81909547738693467</v>
      </c>
      <c r="M8">
        <f t="shared" si="2"/>
        <v>0.5901639344262295</v>
      </c>
      <c r="N8">
        <f t="shared" si="3"/>
        <v>0.41414141414141414</v>
      </c>
      <c r="O8">
        <f t="shared" si="4"/>
        <v>0.13475177304964539</v>
      </c>
      <c r="P8">
        <f t="shared" si="5"/>
        <v>0.60953800298062599</v>
      </c>
      <c r="Q8">
        <f t="shared" si="6"/>
        <v>0.31554227156276687</v>
      </c>
      <c r="R8">
        <f t="shared" si="7"/>
        <v>0.43333333333333335</v>
      </c>
    </row>
    <row r="9" spans="1:18" x14ac:dyDescent="0.3">
      <c r="A9">
        <v>4</v>
      </c>
      <c r="B9">
        <v>151</v>
      </c>
      <c r="C9">
        <v>90</v>
      </c>
      <c r="D9">
        <v>38</v>
      </c>
      <c r="E9">
        <v>0</v>
      </c>
      <c r="F9">
        <v>29.7</v>
      </c>
      <c r="G9">
        <v>0.29399999999999998</v>
      </c>
      <c r="H9">
        <v>36</v>
      </c>
      <c r="I9">
        <v>0</v>
      </c>
      <c r="K9">
        <f t="shared" si="0"/>
        <v>0.23529411764705882</v>
      </c>
      <c r="L9">
        <f t="shared" si="1"/>
        <v>0.75879396984924619</v>
      </c>
      <c r="M9">
        <f t="shared" si="2"/>
        <v>0.73770491803278693</v>
      </c>
      <c r="N9">
        <f t="shared" si="3"/>
        <v>0.38383838383838381</v>
      </c>
      <c r="O9">
        <f t="shared" si="4"/>
        <v>0</v>
      </c>
      <c r="P9">
        <f t="shared" si="5"/>
        <v>0.44262295081967218</v>
      </c>
      <c r="Q9">
        <f t="shared" si="6"/>
        <v>9.2228864218616549E-2</v>
      </c>
      <c r="R9">
        <f t="shared" si="7"/>
        <v>0.25</v>
      </c>
    </row>
    <row r="10" spans="1:18" x14ac:dyDescent="0.3">
      <c r="A10">
        <v>7</v>
      </c>
      <c r="B10">
        <v>102</v>
      </c>
      <c r="C10">
        <v>74</v>
      </c>
      <c r="D10">
        <v>40</v>
      </c>
      <c r="E10">
        <v>105</v>
      </c>
      <c r="F10">
        <v>37.200000000000003</v>
      </c>
      <c r="G10">
        <v>0.20399999999999999</v>
      </c>
      <c r="H10">
        <v>45</v>
      </c>
      <c r="I10">
        <v>0</v>
      </c>
      <c r="K10">
        <f t="shared" si="0"/>
        <v>0.41176470588235292</v>
      </c>
      <c r="L10">
        <f t="shared" si="1"/>
        <v>0.51256281407035176</v>
      </c>
      <c r="M10">
        <f t="shared" si="2"/>
        <v>0.60655737704918034</v>
      </c>
      <c r="N10">
        <f t="shared" si="3"/>
        <v>0.40404040404040403</v>
      </c>
      <c r="O10">
        <f t="shared" si="4"/>
        <v>0.12411347517730496</v>
      </c>
      <c r="P10">
        <f t="shared" si="5"/>
        <v>0.55439642324888239</v>
      </c>
      <c r="Q10">
        <f t="shared" si="6"/>
        <v>5.3800170794192997E-2</v>
      </c>
      <c r="R10">
        <f t="shared" si="7"/>
        <v>0.4</v>
      </c>
    </row>
    <row r="11" spans="1:18" x14ac:dyDescent="0.3">
      <c r="A11">
        <v>0</v>
      </c>
      <c r="B11">
        <v>114</v>
      </c>
      <c r="C11">
        <v>80</v>
      </c>
      <c r="D11">
        <v>34</v>
      </c>
      <c r="E11">
        <v>285</v>
      </c>
      <c r="F11">
        <v>44.2</v>
      </c>
      <c r="G11">
        <v>0.16700000000000001</v>
      </c>
      <c r="H11">
        <v>27</v>
      </c>
      <c r="I11">
        <v>0</v>
      </c>
      <c r="K11">
        <f t="shared" si="0"/>
        <v>0</v>
      </c>
      <c r="L11">
        <f t="shared" si="1"/>
        <v>0.57286432160804024</v>
      </c>
      <c r="M11">
        <f t="shared" si="2"/>
        <v>0.65573770491803274</v>
      </c>
      <c r="N11">
        <f t="shared" si="3"/>
        <v>0.34343434343434343</v>
      </c>
      <c r="O11">
        <f t="shared" si="4"/>
        <v>0.33687943262411346</v>
      </c>
      <c r="P11">
        <f t="shared" si="5"/>
        <v>0.65871833084947851</v>
      </c>
      <c r="Q11">
        <f t="shared" si="6"/>
        <v>3.8001707941929974E-2</v>
      </c>
      <c r="R11">
        <f t="shared" si="7"/>
        <v>0.1</v>
      </c>
    </row>
    <row r="12" spans="1:18" x14ac:dyDescent="0.3">
      <c r="A12">
        <v>2</v>
      </c>
      <c r="B12">
        <v>100</v>
      </c>
      <c r="C12">
        <v>64</v>
      </c>
      <c r="D12">
        <v>23</v>
      </c>
      <c r="E12">
        <v>0</v>
      </c>
      <c r="F12">
        <v>29.7</v>
      </c>
      <c r="G12">
        <v>0.36799999999999999</v>
      </c>
      <c r="H12">
        <v>21</v>
      </c>
      <c r="I12">
        <v>0</v>
      </c>
      <c r="K12">
        <f t="shared" si="0"/>
        <v>0.11764705882352941</v>
      </c>
      <c r="L12">
        <f t="shared" si="1"/>
        <v>0.50251256281407031</v>
      </c>
      <c r="M12">
        <f t="shared" si="2"/>
        <v>0.52459016393442626</v>
      </c>
      <c r="N12">
        <f t="shared" si="3"/>
        <v>0.23232323232323232</v>
      </c>
      <c r="O12">
        <f t="shared" si="4"/>
        <v>0</v>
      </c>
      <c r="P12">
        <f t="shared" si="5"/>
        <v>0.44262295081967218</v>
      </c>
      <c r="Q12">
        <f t="shared" si="6"/>
        <v>0.1238257899231426</v>
      </c>
      <c r="R12">
        <f t="shared" si="7"/>
        <v>0</v>
      </c>
    </row>
    <row r="13" spans="1:18" x14ac:dyDescent="0.3">
      <c r="A13">
        <v>0</v>
      </c>
      <c r="B13">
        <v>131</v>
      </c>
      <c r="C13">
        <v>88</v>
      </c>
      <c r="D13">
        <v>0</v>
      </c>
      <c r="E13">
        <v>0</v>
      </c>
      <c r="F13">
        <v>31.6</v>
      </c>
      <c r="G13">
        <v>0.74299999999999999</v>
      </c>
      <c r="H13">
        <v>32</v>
      </c>
      <c r="I13">
        <v>1</v>
      </c>
      <c r="K13">
        <f t="shared" si="0"/>
        <v>0</v>
      </c>
      <c r="L13">
        <f t="shared" si="1"/>
        <v>0.65829145728643212</v>
      </c>
      <c r="M13">
        <f t="shared" si="2"/>
        <v>0.72131147540983609</v>
      </c>
      <c r="N13">
        <f t="shared" si="3"/>
        <v>0</v>
      </c>
      <c r="O13">
        <f t="shared" si="4"/>
        <v>0</v>
      </c>
      <c r="P13">
        <f t="shared" si="5"/>
        <v>0.47093889716840542</v>
      </c>
      <c r="Q13">
        <f t="shared" si="6"/>
        <v>0.28394534585824083</v>
      </c>
      <c r="R13">
        <f t="shared" si="7"/>
        <v>0.18333333333333332</v>
      </c>
    </row>
    <row r="14" spans="1:18" x14ac:dyDescent="0.3">
      <c r="A14">
        <v>6</v>
      </c>
      <c r="B14">
        <v>104</v>
      </c>
      <c r="C14">
        <v>74</v>
      </c>
      <c r="D14">
        <v>18</v>
      </c>
      <c r="E14">
        <v>156</v>
      </c>
      <c r="F14">
        <v>29.9</v>
      </c>
      <c r="G14">
        <v>0.72199999999999998</v>
      </c>
      <c r="H14">
        <v>41</v>
      </c>
      <c r="I14">
        <v>1</v>
      </c>
      <c r="K14">
        <f t="shared" si="0"/>
        <v>0.35294117647058826</v>
      </c>
      <c r="L14">
        <f t="shared" si="1"/>
        <v>0.52261306532663321</v>
      </c>
      <c r="M14">
        <f t="shared" si="2"/>
        <v>0.60655737704918034</v>
      </c>
      <c r="N14">
        <f t="shared" si="3"/>
        <v>0.18181818181818182</v>
      </c>
      <c r="O14">
        <f t="shared" si="4"/>
        <v>0.18439716312056736</v>
      </c>
      <c r="P14">
        <f t="shared" si="5"/>
        <v>0.44560357675111772</v>
      </c>
      <c r="Q14">
        <f t="shared" si="6"/>
        <v>0.2749786507258753</v>
      </c>
      <c r="R14">
        <f t="shared" si="7"/>
        <v>0.33333333333333331</v>
      </c>
    </row>
    <row r="15" spans="1:18" x14ac:dyDescent="0.3">
      <c r="A15">
        <v>3</v>
      </c>
      <c r="B15">
        <v>148</v>
      </c>
      <c r="C15">
        <v>66</v>
      </c>
      <c r="D15">
        <v>25</v>
      </c>
      <c r="E15">
        <v>0</v>
      </c>
      <c r="F15">
        <v>32.5</v>
      </c>
      <c r="G15">
        <v>0.25600000000000001</v>
      </c>
      <c r="H15">
        <v>22</v>
      </c>
      <c r="I15">
        <v>0</v>
      </c>
      <c r="K15">
        <f t="shared" si="0"/>
        <v>0.17647058823529413</v>
      </c>
      <c r="L15">
        <f t="shared" si="1"/>
        <v>0.74371859296482412</v>
      </c>
      <c r="M15">
        <f t="shared" si="2"/>
        <v>0.54098360655737709</v>
      </c>
      <c r="N15">
        <f t="shared" si="3"/>
        <v>0.25252525252525254</v>
      </c>
      <c r="O15">
        <f t="shared" si="4"/>
        <v>0</v>
      </c>
      <c r="P15">
        <f t="shared" si="5"/>
        <v>0.4843517138599106</v>
      </c>
      <c r="Q15">
        <f t="shared" si="6"/>
        <v>7.6003415883859948E-2</v>
      </c>
      <c r="R15">
        <f t="shared" si="7"/>
        <v>1.6666666666666666E-2</v>
      </c>
    </row>
    <row r="16" spans="1:18" x14ac:dyDescent="0.3">
      <c r="A16">
        <v>4</v>
      </c>
      <c r="B16">
        <v>120</v>
      </c>
      <c r="C16">
        <v>68</v>
      </c>
      <c r="D16">
        <v>0</v>
      </c>
      <c r="E16">
        <v>0</v>
      </c>
      <c r="F16">
        <v>29.6</v>
      </c>
      <c r="G16">
        <v>0.70899999999999996</v>
      </c>
      <c r="H16">
        <v>34</v>
      </c>
      <c r="I16">
        <v>0</v>
      </c>
      <c r="K16">
        <f t="shared" si="0"/>
        <v>0.23529411764705882</v>
      </c>
      <c r="L16">
        <f t="shared" si="1"/>
        <v>0.60301507537688437</v>
      </c>
      <c r="M16">
        <f t="shared" si="2"/>
        <v>0.55737704918032782</v>
      </c>
      <c r="N16">
        <f t="shared" si="3"/>
        <v>0</v>
      </c>
      <c r="O16">
        <f t="shared" si="4"/>
        <v>0</v>
      </c>
      <c r="P16">
        <f t="shared" si="5"/>
        <v>0.44113263785394941</v>
      </c>
      <c r="Q16">
        <f t="shared" si="6"/>
        <v>0.26942783945345855</v>
      </c>
      <c r="R16">
        <f t="shared" si="7"/>
        <v>0.21666666666666667</v>
      </c>
    </row>
    <row r="17" spans="1:18" x14ac:dyDescent="0.3">
      <c r="A17">
        <v>4</v>
      </c>
      <c r="B17">
        <v>110</v>
      </c>
      <c r="C17">
        <v>66</v>
      </c>
      <c r="D17">
        <v>0</v>
      </c>
      <c r="E17">
        <v>0</v>
      </c>
      <c r="F17">
        <v>31.9</v>
      </c>
      <c r="G17">
        <v>0.47099999999999997</v>
      </c>
      <c r="H17">
        <v>29</v>
      </c>
      <c r="I17">
        <v>0</v>
      </c>
      <c r="K17">
        <f t="shared" si="0"/>
        <v>0.23529411764705882</v>
      </c>
      <c r="L17">
        <f t="shared" si="1"/>
        <v>0.55276381909547734</v>
      </c>
      <c r="M17">
        <f t="shared" si="2"/>
        <v>0.54098360655737709</v>
      </c>
      <c r="N17">
        <f t="shared" si="3"/>
        <v>0</v>
      </c>
      <c r="O17">
        <f t="shared" si="4"/>
        <v>0</v>
      </c>
      <c r="P17">
        <f t="shared" si="5"/>
        <v>0.4754098360655738</v>
      </c>
      <c r="Q17">
        <f t="shared" si="6"/>
        <v>0.16780529461998289</v>
      </c>
      <c r="R17">
        <f t="shared" si="7"/>
        <v>0.13333333333333333</v>
      </c>
    </row>
    <row r="18" spans="1:18" x14ac:dyDescent="0.3">
      <c r="A18">
        <v>3</v>
      </c>
      <c r="B18">
        <v>111</v>
      </c>
      <c r="C18">
        <v>90</v>
      </c>
      <c r="D18">
        <v>12</v>
      </c>
      <c r="E18">
        <v>78</v>
      </c>
      <c r="F18">
        <v>28.4</v>
      </c>
      <c r="G18">
        <v>0.495</v>
      </c>
      <c r="H18">
        <v>29</v>
      </c>
      <c r="I18">
        <v>0</v>
      </c>
      <c r="K18">
        <f t="shared" si="0"/>
        <v>0.17647058823529413</v>
      </c>
      <c r="L18">
        <f t="shared" si="1"/>
        <v>0.55778894472361806</v>
      </c>
      <c r="M18">
        <f t="shared" si="2"/>
        <v>0.73770491803278693</v>
      </c>
      <c r="N18">
        <f t="shared" si="3"/>
        <v>0.12121212121212122</v>
      </c>
      <c r="O18">
        <f t="shared" si="4"/>
        <v>9.2198581560283682E-2</v>
      </c>
      <c r="P18">
        <f t="shared" si="5"/>
        <v>0.42324888226527574</v>
      </c>
      <c r="Q18">
        <f t="shared" si="6"/>
        <v>0.1780529461998292</v>
      </c>
      <c r="R18">
        <f t="shared" si="7"/>
        <v>0.13333333333333333</v>
      </c>
    </row>
    <row r="19" spans="1:18" x14ac:dyDescent="0.3">
      <c r="A19">
        <v>6</v>
      </c>
      <c r="B19">
        <v>102</v>
      </c>
      <c r="C19">
        <v>82</v>
      </c>
      <c r="D19">
        <v>0</v>
      </c>
      <c r="E19">
        <v>0</v>
      </c>
      <c r="F19">
        <v>30.8</v>
      </c>
      <c r="G19">
        <v>0.18</v>
      </c>
      <c r="H19">
        <v>36</v>
      </c>
      <c r="I19">
        <v>1</v>
      </c>
      <c r="K19">
        <f t="shared" si="0"/>
        <v>0.35294117647058826</v>
      </c>
      <c r="L19">
        <f t="shared" si="1"/>
        <v>0.51256281407035176</v>
      </c>
      <c r="M19">
        <f t="shared" si="2"/>
        <v>0.67213114754098358</v>
      </c>
      <c r="N19">
        <f t="shared" si="3"/>
        <v>0</v>
      </c>
      <c r="O19">
        <f t="shared" si="4"/>
        <v>0</v>
      </c>
      <c r="P19">
        <f t="shared" si="5"/>
        <v>0.45901639344262302</v>
      </c>
      <c r="Q19">
        <f t="shared" si="6"/>
        <v>4.3552519214346705E-2</v>
      </c>
      <c r="R19">
        <f t="shared" si="7"/>
        <v>0.25</v>
      </c>
    </row>
    <row r="20" spans="1:18" x14ac:dyDescent="0.3">
      <c r="A20">
        <v>6</v>
      </c>
      <c r="B20">
        <v>134</v>
      </c>
      <c r="C20">
        <v>70</v>
      </c>
      <c r="D20">
        <v>23</v>
      </c>
      <c r="E20">
        <v>130</v>
      </c>
      <c r="F20">
        <v>35.4</v>
      </c>
      <c r="G20">
        <v>0.54200000000000004</v>
      </c>
      <c r="H20">
        <v>29</v>
      </c>
      <c r="I20">
        <v>1</v>
      </c>
      <c r="K20">
        <f t="shared" si="0"/>
        <v>0.35294117647058826</v>
      </c>
      <c r="L20">
        <f t="shared" si="1"/>
        <v>0.6733668341708543</v>
      </c>
      <c r="M20">
        <f t="shared" si="2"/>
        <v>0.57377049180327866</v>
      </c>
      <c r="N20">
        <f t="shared" si="3"/>
        <v>0.23232323232323232</v>
      </c>
      <c r="O20">
        <f t="shared" si="4"/>
        <v>0.15366430260047281</v>
      </c>
      <c r="P20">
        <f t="shared" si="5"/>
        <v>0.5275707898658718</v>
      </c>
      <c r="Q20">
        <f t="shared" si="6"/>
        <v>0.19812126387702819</v>
      </c>
      <c r="R20">
        <f t="shared" si="7"/>
        <v>0.13333333333333333</v>
      </c>
    </row>
    <row r="21" spans="1:18" x14ac:dyDescent="0.3">
      <c r="A21">
        <v>2</v>
      </c>
      <c r="B21">
        <v>87</v>
      </c>
      <c r="C21">
        <v>0</v>
      </c>
      <c r="D21">
        <v>23</v>
      </c>
      <c r="E21">
        <v>0</v>
      </c>
      <c r="F21">
        <v>28.9</v>
      </c>
      <c r="G21">
        <v>0.77300000000000002</v>
      </c>
      <c r="H21">
        <v>25</v>
      </c>
      <c r="I21">
        <v>0</v>
      </c>
      <c r="K21">
        <f t="shared" si="0"/>
        <v>0.11764705882352941</v>
      </c>
      <c r="L21">
        <f t="shared" si="1"/>
        <v>0.43718592964824121</v>
      </c>
      <c r="M21">
        <f t="shared" si="2"/>
        <v>0</v>
      </c>
      <c r="N21">
        <f t="shared" si="3"/>
        <v>0.23232323232323232</v>
      </c>
      <c r="O21">
        <f t="shared" si="4"/>
        <v>0</v>
      </c>
      <c r="P21">
        <f t="shared" si="5"/>
        <v>0.43070044709388972</v>
      </c>
      <c r="Q21">
        <f t="shared" si="6"/>
        <v>0.29675491033304868</v>
      </c>
      <c r="R21">
        <f t="shared" si="7"/>
        <v>6.6666666666666666E-2</v>
      </c>
    </row>
    <row r="22" spans="1:18" x14ac:dyDescent="0.3">
      <c r="A22">
        <v>1</v>
      </c>
      <c r="B22">
        <v>79</v>
      </c>
      <c r="C22">
        <v>60</v>
      </c>
      <c r="D22">
        <v>42</v>
      </c>
      <c r="E22">
        <v>48</v>
      </c>
      <c r="F22">
        <v>43.5</v>
      </c>
      <c r="G22">
        <v>0.67800000000000005</v>
      </c>
      <c r="H22">
        <v>23</v>
      </c>
      <c r="I22">
        <v>0</v>
      </c>
      <c r="K22">
        <f t="shared" si="0"/>
        <v>5.8823529411764705E-2</v>
      </c>
      <c r="L22">
        <f t="shared" si="1"/>
        <v>0.39698492462311558</v>
      </c>
      <c r="M22">
        <f t="shared" si="2"/>
        <v>0.49180327868852458</v>
      </c>
      <c r="N22">
        <f t="shared" si="3"/>
        <v>0.42424242424242425</v>
      </c>
      <c r="O22">
        <f t="shared" si="4"/>
        <v>5.6737588652482268E-2</v>
      </c>
      <c r="P22">
        <f t="shared" si="5"/>
        <v>0.64828614008941887</v>
      </c>
      <c r="Q22">
        <f t="shared" si="6"/>
        <v>0.25619128949615716</v>
      </c>
      <c r="R22">
        <f t="shared" si="7"/>
        <v>3.3333333333333333E-2</v>
      </c>
    </row>
    <row r="23" spans="1:18" x14ac:dyDescent="0.3">
      <c r="A23">
        <v>2</v>
      </c>
      <c r="B23">
        <v>75</v>
      </c>
      <c r="C23">
        <v>64</v>
      </c>
      <c r="D23">
        <v>24</v>
      </c>
      <c r="E23">
        <v>55</v>
      </c>
      <c r="F23">
        <v>29.7</v>
      </c>
      <c r="G23">
        <v>0.37</v>
      </c>
      <c r="H23">
        <v>33</v>
      </c>
      <c r="I23">
        <v>0</v>
      </c>
      <c r="K23">
        <f t="shared" si="0"/>
        <v>0.11764705882352941</v>
      </c>
      <c r="L23">
        <f t="shared" si="1"/>
        <v>0.37688442211055279</v>
      </c>
      <c r="M23">
        <f t="shared" si="2"/>
        <v>0.52459016393442626</v>
      </c>
      <c r="N23">
        <f t="shared" si="3"/>
        <v>0.24242424242424243</v>
      </c>
      <c r="O23">
        <f t="shared" si="4"/>
        <v>6.5011820330969264E-2</v>
      </c>
      <c r="P23">
        <f t="shared" si="5"/>
        <v>0.44262295081967218</v>
      </c>
      <c r="Q23">
        <f t="shared" si="6"/>
        <v>0.12467976088812979</v>
      </c>
      <c r="R23">
        <f t="shared" si="7"/>
        <v>0.2</v>
      </c>
    </row>
    <row r="24" spans="1:18" x14ac:dyDescent="0.3">
      <c r="A24">
        <v>8</v>
      </c>
      <c r="B24">
        <v>179</v>
      </c>
      <c r="C24">
        <v>72</v>
      </c>
      <c r="D24">
        <v>42</v>
      </c>
      <c r="E24">
        <v>130</v>
      </c>
      <c r="F24">
        <v>32.700000000000003</v>
      </c>
      <c r="G24">
        <v>0.71899999999999997</v>
      </c>
      <c r="H24">
        <v>36</v>
      </c>
      <c r="I24">
        <v>1</v>
      </c>
      <c r="K24">
        <f t="shared" si="0"/>
        <v>0.47058823529411764</v>
      </c>
      <c r="L24">
        <f t="shared" si="1"/>
        <v>0.89949748743718594</v>
      </c>
      <c r="M24">
        <f t="shared" si="2"/>
        <v>0.5901639344262295</v>
      </c>
      <c r="N24">
        <f t="shared" si="3"/>
        <v>0.42424242424242425</v>
      </c>
      <c r="O24">
        <f t="shared" si="4"/>
        <v>0.15366430260047281</v>
      </c>
      <c r="P24">
        <f t="shared" si="5"/>
        <v>0.48733233979135626</v>
      </c>
      <c r="Q24">
        <f t="shared" si="6"/>
        <v>0.27369769427839452</v>
      </c>
      <c r="R24">
        <f t="shared" si="7"/>
        <v>0.25</v>
      </c>
    </row>
    <row r="25" spans="1:18" x14ac:dyDescent="0.3">
      <c r="A25">
        <v>6</v>
      </c>
      <c r="B25">
        <v>85</v>
      </c>
      <c r="C25">
        <v>78</v>
      </c>
      <c r="D25">
        <v>0</v>
      </c>
      <c r="E25">
        <v>0</v>
      </c>
      <c r="F25">
        <v>31.2</v>
      </c>
      <c r="G25">
        <v>0.38200000000000001</v>
      </c>
      <c r="H25">
        <v>42</v>
      </c>
      <c r="I25">
        <v>0</v>
      </c>
      <c r="K25">
        <f t="shared" si="0"/>
        <v>0.35294117647058826</v>
      </c>
      <c r="L25">
        <f t="shared" si="1"/>
        <v>0.42713567839195982</v>
      </c>
      <c r="M25">
        <f t="shared" si="2"/>
        <v>0.63934426229508201</v>
      </c>
      <c r="N25">
        <f t="shared" si="3"/>
        <v>0</v>
      </c>
      <c r="O25">
        <f t="shared" si="4"/>
        <v>0</v>
      </c>
      <c r="P25">
        <f t="shared" si="5"/>
        <v>0.46497764530551416</v>
      </c>
      <c r="Q25">
        <f t="shared" si="6"/>
        <v>0.12980358667805295</v>
      </c>
      <c r="R25">
        <f t="shared" si="7"/>
        <v>0.35</v>
      </c>
    </row>
    <row r="26" spans="1:18" x14ac:dyDescent="0.3">
      <c r="A26">
        <v>0</v>
      </c>
      <c r="B26">
        <v>129</v>
      </c>
      <c r="C26">
        <v>110</v>
      </c>
      <c r="D26">
        <v>46</v>
      </c>
      <c r="E26">
        <v>130</v>
      </c>
      <c r="F26">
        <v>67.099999999999994</v>
      </c>
      <c r="G26">
        <v>0.31900000000000001</v>
      </c>
      <c r="H26">
        <v>26</v>
      </c>
      <c r="I26">
        <v>1</v>
      </c>
      <c r="K26">
        <f t="shared" si="0"/>
        <v>0</v>
      </c>
      <c r="L26">
        <f t="shared" si="1"/>
        <v>0.64824120603015079</v>
      </c>
      <c r="M26">
        <f t="shared" si="2"/>
        <v>0.90163934426229508</v>
      </c>
      <c r="N26">
        <f t="shared" si="3"/>
        <v>0.46464646464646464</v>
      </c>
      <c r="O26">
        <f t="shared" si="4"/>
        <v>0.15366430260047281</v>
      </c>
      <c r="P26">
        <f t="shared" si="5"/>
        <v>1</v>
      </c>
      <c r="Q26">
        <f t="shared" si="6"/>
        <v>0.10290350128095645</v>
      </c>
      <c r="R26">
        <f t="shared" si="7"/>
        <v>8.3333333333333329E-2</v>
      </c>
    </row>
    <row r="27" spans="1:18" x14ac:dyDescent="0.3">
      <c r="A27">
        <v>5</v>
      </c>
      <c r="B27">
        <v>143</v>
      </c>
      <c r="C27">
        <v>78</v>
      </c>
      <c r="D27">
        <v>0</v>
      </c>
      <c r="E27">
        <v>0</v>
      </c>
      <c r="F27">
        <v>45</v>
      </c>
      <c r="G27">
        <v>0.19</v>
      </c>
      <c r="H27">
        <v>47</v>
      </c>
      <c r="I27">
        <v>0</v>
      </c>
      <c r="K27">
        <f t="shared" si="0"/>
        <v>0.29411764705882354</v>
      </c>
      <c r="L27">
        <f t="shared" si="1"/>
        <v>0.71859296482412061</v>
      </c>
      <c r="M27">
        <f t="shared" si="2"/>
        <v>0.63934426229508201</v>
      </c>
      <c r="N27">
        <f t="shared" si="3"/>
        <v>0</v>
      </c>
      <c r="O27">
        <f t="shared" si="4"/>
        <v>0</v>
      </c>
      <c r="P27">
        <f t="shared" si="5"/>
        <v>0.67064083457526091</v>
      </c>
      <c r="Q27">
        <f t="shared" si="6"/>
        <v>4.7822374039282661E-2</v>
      </c>
      <c r="R27">
        <f t="shared" si="7"/>
        <v>0.43333333333333335</v>
      </c>
    </row>
    <row r="28" spans="1:18" x14ac:dyDescent="0.3">
      <c r="A28">
        <v>5</v>
      </c>
      <c r="B28">
        <v>130</v>
      </c>
      <c r="C28">
        <v>82</v>
      </c>
      <c r="D28">
        <v>0</v>
      </c>
      <c r="E28">
        <v>0</v>
      </c>
      <c r="F28">
        <v>39.1</v>
      </c>
      <c r="G28">
        <v>0.95599999999999996</v>
      </c>
      <c r="H28">
        <v>37</v>
      </c>
      <c r="I28">
        <v>1</v>
      </c>
      <c r="K28">
        <f t="shared" si="0"/>
        <v>0.29411764705882354</v>
      </c>
      <c r="L28">
        <f t="shared" si="1"/>
        <v>0.65326633165829151</v>
      </c>
      <c r="M28">
        <f t="shared" si="2"/>
        <v>0.67213114754098358</v>
      </c>
      <c r="N28">
        <f t="shared" si="3"/>
        <v>0</v>
      </c>
      <c r="O28">
        <f t="shared" si="4"/>
        <v>0</v>
      </c>
      <c r="P28">
        <f t="shared" si="5"/>
        <v>0.58271236959761552</v>
      </c>
      <c r="Q28">
        <f t="shared" si="6"/>
        <v>0.37489325362937659</v>
      </c>
      <c r="R28">
        <f t="shared" si="7"/>
        <v>0.26666666666666666</v>
      </c>
    </row>
    <row r="29" spans="1:18" x14ac:dyDescent="0.3">
      <c r="A29">
        <v>6</v>
      </c>
      <c r="B29">
        <v>87</v>
      </c>
      <c r="C29">
        <v>80</v>
      </c>
      <c r="D29">
        <v>0</v>
      </c>
      <c r="E29">
        <v>0</v>
      </c>
      <c r="F29">
        <v>23.2</v>
      </c>
      <c r="G29">
        <v>8.4000000000000005E-2</v>
      </c>
      <c r="H29">
        <v>32</v>
      </c>
      <c r="I29">
        <v>0</v>
      </c>
      <c r="K29">
        <f t="shared" si="0"/>
        <v>0.35294117647058826</v>
      </c>
      <c r="L29">
        <f t="shared" si="1"/>
        <v>0.43718592964824121</v>
      </c>
      <c r="M29">
        <f t="shared" si="2"/>
        <v>0.65573770491803274</v>
      </c>
      <c r="N29">
        <f t="shared" si="3"/>
        <v>0</v>
      </c>
      <c r="O29">
        <f t="shared" si="4"/>
        <v>0</v>
      </c>
      <c r="P29">
        <f t="shared" si="5"/>
        <v>0.34575260804769004</v>
      </c>
      <c r="Q29">
        <f t="shared" si="6"/>
        <v>2.5619128949615736E-3</v>
      </c>
      <c r="R29">
        <f t="shared" si="7"/>
        <v>0.18333333333333332</v>
      </c>
    </row>
    <row r="30" spans="1:18" x14ac:dyDescent="0.3">
      <c r="A30">
        <v>0</v>
      </c>
      <c r="B30">
        <v>119</v>
      </c>
      <c r="C30">
        <v>64</v>
      </c>
      <c r="D30">
        <v>18</v>
      </c>
      <c r="E30">
        <v>92</v>
      </c>
      <c r="F30">
        <v>34.9</v>
      </c>
      <c r="G30">
        <v>0.72499999999999998</v>
      </c>
      <c r="H30">
        <v>23</v>
      </c>
      <c r="I30">
        <v>0</v>
      </c>
      <c r="K30">
        <f t="shared" si="0"/>
        <v>0</v>
      </c>
      <c r="L30">
        <f t="shared" si="1"/>
        <v>0.59798994974874375</v>
      </c>
      <c r="M30">
        <f t="shared" si="2"/>
        <v>0.52459016393442626</v>
      </c>
      <c r="N30">
        <f t="shared" si="3"/>
        <v>0.18181818181818182</v>
      </c>
      <c r="O30">
        <f t="shared" si="4"/>
        <v>0.10874704491725769</v>
      </c>
      <c r="P30">
        <f t="shared" si="5"/>
        <v>0.52011922503725783</v>
      </c>
      <c r="Q30">
        <f t="shared" si="6"/>
        <v>0.27625960717335613</v>
      </c>
      <c r="R30">
        <f t="shared" si="7"/>
        <v>3.3333333333333333E-2</v>
      </c>
    </row>
    <row r="31" spans="1:18" x14ac:dyDescent="0.3">
      <c r="A31">
        <v>1</v>
      </c>
      <c r="B31">
        <v>0</v>
      </c>
      <c r="C31">
        <v>74</v>
      </c>
      <c r="D31">
        <v>20</v>
      </c>
      <c r="E31">
        <v>23</v>
      </c>
      <c r="F31">
        <v>27.7</v>
      </c>
      <c r="G31">
        <v>0.29899999999999999</v>
      </c>
      <c r="H31">
        <v>21</v>
      </c>
      <c r="I31">
        <v>0</v>
      </c>
      <c r="K31">
        <f t="shared" si="0"/>
        <v>5.8823529411764705E-2</v>
      </c>
      <c r="L31">
        <f t="shared" si="1"/>
        <v>0</v>
      </c>
      <c r="M31">
        <f t="shared" si="2"/>
        <v>0.60655737704918034</v>
      </c>
      <c r="N31">
        <f t="shared" si="3"/>
        <v>0.20202020202020202</v>
      </c>
      <c r="O31">
        <f t="shared" si="4"/>
        <v>2.7186761229314422E-2</v>
      </c>
      <c r="P31">
        <f t="shared" si="5"/>
        <v>0.4128166915052161</v>
      </c>
      <c r="Q31">
        <f t="shared" si="6"/>
        <v>9.4363791631084534E-2</v>
      </c>
      <c r="R31">
        <f t="shared" si="7"/>
        <v>0</v>
      </c>
    </row>
    <row r="32" spans="1:18" x14ac:dyDescent="0.3">
      <c r="A32">
        <v>5</v>
      </c>
      <c r="B32">
        <v>73</v>
      </c>
      <c r="C32">
        <v>60</v>
      </c>
      <c r="D32">
        <v>0</v>
      </c>
      <c r="E32">
        <v>0</v>
      </c>
      <c r="F32">
        <v>26.8</v>
      </c>
      <c r="G32">
        <v>0.26800000000000002</v>
      </c>
      <c r="H32">
        <v>27</v>
      </c>
      <c r="I32">
        <v>0</v>
      </c>
      <c r="K32">
        <f t="shared" si="0"/>
        <v>0.29411764705882354</v>
      </c>
      <c r="L32">
        <f t="shared" si="1"/>
        <v>0.36683417085427134</v>
      </c>
      <c r="M32">
        <f t="shared" si="2"/>
        <v>0.49180327868852458</v>
      </c>
      <c r="N32">
        <f t="shared" si="3"/>
        <v>0</v>
      </c>
      <c r="O32">
        <f t="shared" si="4"/>
        <v>0</v>
      </c>
      <c r="P32">
        <f t="shared" si="5"/>
        <v>0.39940387481371092</v>
      </c>
      <c r="Q32">
        <f t="shared" si="6"/>
        <v>8.1127241673783088E-2</v>
      </c>
      <c r="R32">
        <f t="shared" si="7"/>
        <v>0.1</v>
      </c>
    </row>
    <row r="33" spans="1:18" x14ac:dyDescent="0.3">
      <c r="A33">
        <v>4</v>
      </c>
      <c r="B33">
        <v>141</v>
      </c>
      <c r="C33">
        <v>74</v>
      </c>
      <c r="D33">
        <v>0</v>
      </c>
      <c r="E33">
        <v>0</v>
      </c>
      <c r="F33">
        <v>27.6</v>
      </c>
      <c r="G33">
        <v>0.24399999999999999</v>
      </c>
      <c r="H33">
        <v>40</v>
      </c>
      <c r="I33">
        <v>0</v>
      </c>
      <c r="K33">
        <f t="shared" si="0"/>
        <v>0.23529411764705882</v>
      </c>
      <c r="L33">
        <f t="shared" si="1"/>
        <v>0.70854271356783916</v>
      </c>
      <c r="M33">
        <f t="shared" si="2"/>
        <v>0.60655737704918034</v>
      </c>
      <c r="N33">
        <f t="shared" si="3"/>
        <v>0</v>
      </c>
      <c r="O33">
        <f t="shared" si="4"/>
        <v>0</v>
      </c>
      <c r="P33">
        <f t="shared" si="5"/>
        <v>0.41132637853949333</v>
      </c>
      <c r="Q33">
        <f t="shared" si="6"/>
        <v>7.0879590093936795E-2</v>
      </c>
      <c r="R33">
        <f t="shared" si="7"/>
        <v>0.31666666666666665</v>
      </c>
    </row>
    <row r="34" spans="1:18" x14ac:dyDescent="0.3">
      <c r="A34">
        <v>7</v>
      </c>
      <c r="B34">
        <v>194</v>
      </c>
      <c r="C34">
        <v>68</v>
      </c>
      <c r="D34">
        <v>28</v>
      </c>
      <c r="E34">
        <v>0</v>
      </c>
      <c r="F34">
        <v>35.9</v>
      </c>
      <c r="G34">
        <v>0.745</v>
      </c>
      <c r="H34">
        <v>41</v>
      </c>
      <c r="I34">
        <v>1</v>
      </c>
      <c r="K34">
        <f t="shared" si="0"/>
        <v>0.41176470588235292</v>
      </c>
      <c r="L34">
        <f t="shared" si="1"/>
        <v>0.97487437185929648</v>
      </c>
      <c r="M34">
        <f t="shared" si="2"/>
        <v>0.55737704918032782</v>
      </c>
      <c r="N34">
        <f t="shared" si="3"/>
        <v>0.28282828282828282</v>
      </c>
      <c r="O34">
        <f t="shared" si="4"/>
        <v>0</v>
      </c>
      <c r="P34">
        <f t="shared" si="5"/>
        <v>0.53502235469448589</v>
      </c>
      <c r="Q34">
        <f t="shared" si="6"/>
        <v>0.28479931682322801</v>
      </c>
      <c r="R34">
        <f t="shared" si="7"/>
        <v>0.33333333333333331</v>
      </c>
    </row>
    <row r="35" spans="1:18" x14ac:dyDescent="0.3">
      <c r="A35">
        <v>8</v>
      </c>
      <c r="B35">
        <v>181</v>
      </c>
      <c r="C35">
        <v>68</v>
      </c>
      <c r="D35">
        <v>36</v>
      </c>
      <c r="E35">
        <v>495</v>
      </c>
      <c r="F35">
        <v>30.1</v>
      </c>
      <c r="G35">
        <v>0.61499999999999999</v>
      </c>
      <c r="H35">
        <v>60</v>
      </c>
      <c r="I35">
        <v>1</v>
      </c>
      <c r="K35">
        <f t="shared" si="0"/>
        <v>0.47058823529411764</v>
      </c>
      <c r="L35">
        <f t="shared" si="1"/>
        <v>0.90954773869346739</v>
      </c>
      <c r="M35">
        <f t="shared" si="2"/>
        <v>0.55737704918032782</v>
      </c>
      <c r="N35">
        <f t="shared" si="3"/>
        <v>0.36363636363636365</v>
      </c>
      <c r="O35">
        <f t="shared" si="4"/>
        <v>0.58510638297872342</v>
      </c>
      <c r="P35">
        <f t="shared" si="5"/>
        <v>0.44858420268256338</v>
      </c>
      <c r="Q35">
        <f t="shared" si="6"/>
        <v>0.22929120409906065</v>
      </c>
      <c r="R35">
        <f t="shared" si="7"/>
        <v>0.65</v>
      </c>
    </row>
    <row r="36" spans="1:18" x14ac:dyDescent="0.3">
      <c r="A36">
        <v>1</v>
      </c>
      <c r="B36">
        <v>128</v>
      </c>
      <c r="C36">
        <v>98</v>
      </c>
      <c r="D36">
        <v>41</v>
      </c>
      <c r="E36">
        <v>58</v>
      </c>
      <c r="F36">
        <v>32</v>
      </c>
      <c r="G36">
        <v>1.321</v>
      </c>
      <c r="H36">
        <v>33</v>
      </c>
      <c r="I36">
        <v>1</v>
      </c>
      <c r="K36">
        <f t="shared" si="0"/>
        <v>5.8823529411764705E-2</v>
      </c>
      <c r="L36">
        <f t="shared" si="1"/>
        <v>0.64321608040201006</v>
      </c>
      <c r="M36">
        <f t="shared" si="2"/>
        <v>0.80327868852459017</v>
      </c>
      <c r="N36">
        <f t="shared" si="3"/>
        <v>0.41414141414141414</v>
      </c>
      <c r="O36">
        <f t="shared" si="4"/>
        <v>6.8557919621749411E-2</v>
      </c>
      <c r="P36">
        <f t="shared" si="5"/>
        <v>0.47690014903129663</v>
      </c>
      <c r="Q36">
        <f t="shared" si="6"/>
        <v>0.53074295473953881</v>
      </c>
      <c r="R36">
        <f t="shared" si="7"/>
        <v>0.2</v>
      </c>
    </row>
    <row r="37" spans="1:18" x14ac:dyDescent="0.3">
      <c r="A37">
        <v>8</v>
      </c>
      <c r="B37">
        <v>109</v>
      </c>
      <c r="C37">
        <v>76</v>
      </c>
      <c r="D37">
        <v>39</v>
      </c>
      <c r="E37">
        <v>114</v>
      </c>
      <c r="F37">
        <v>27.9</v>
      </c>
      <c r="G37">
        <v>0.64</v>
      </c>
      <c r="H37">
        <v>31</v>
      </c>
      <c r="I37">
        <v>1</v>
      </c>
      <c r="K37">
        <f t="shared" si="0"/>
        <v>0.47058823529411764</v>
      </c>
      <c r="L37">
        <f t="shared" si="1"/>
        <v>0.54773869346733672</v>
      </c>
      <c r="M37">
        <f t="shared" si="2"/>
        <v>0.62295081967213117</v>
      </c>
      <c r="N37">
        <f t="shared" si="3"/>
        <v>0.39393939393939392</v>
      </c>
      <c r="O37">
        <f t="shared" si="4"/>
        <v>0.13475177304964539</v>
      </c>
      <c r="P37">
        <f t="shared" si="5"/>
        <v>0.41579731743666171</v>
      </c>
      <c r="Q37">
        <f t="shared" si="6"/>
        <v>0.23996584116140052</v>
      </c>
      <c r="R37">
        <f t="shared" si="7"/>
        <v>0.16666666666666666</v>
      </c>
    </row>
    <row r="38" spans="1:18" x14ac:dyDescent="0.3">
      <c r="A38">
        <v>5</v>
      </c>
      <c r="B38">
        <v>139</v>
      </c>
      <c r="C38">
        <v>80</v>
      </c>
      <c r="D38">
        <v>35</v>
      </c>
      <c r="E38">
        <v>160</v>
      </c>
      <c r="F38">
        <v>31.6</v>
      </c>
      <c r="G38">
        <v>0.36099999999999999</v>
      </c>
      <c r="H38">
        <v>25</v>
      </c>
      <c r="I38">
        <v>1</v>
      </c>
      <c r="K38">
        <f t="shared" si="0"/>
        <v>0.29411764705882354</v>
      </c>
      <c r="L38">
        <f t="shared" si="1"/>
        <v>0.69849246231155782</v>
      </c>
      <c r="M38">
        <f t="shared" si="2"/>
        <v>0.65573770491803274</v>
      </c>
      <c r="N38">
        <f t="shared" si="3"/>
        <v>0.35353535353535354</v>
      </c>
      <c r="O38">
        <f t="shared" si="4"/>
        <v>0.18912529550827423</v>
      </c>
      <c r="P38">
        <f t="shared" si="5"/>
        <v>0.47093889716840542</v>
      </c>
      <c r="Q38">
        <f t="shared" si="6"/>
        <v>0.12083689154568743</v>
      </c>
      <c r="R38">
        <f t="shared" si="7"/>
        <v>6.6666666666666666E-2</v>
      </c>
    </row>
    <row r="39" spans="1:18" x14ac:dyDescent="0.3">
      <c r="A39">
        <v>3</v>
      </c>
      <c r="B39">
        <v>111</v>
      </c>
      <c r="C39">
        <v>62</v>
      </c>
      <c r="D39">
        <v>0</v>
      </c>
      <c r="E39">
        <v>0</v>
      </c>
      <c r="F39">
        <v>22.6</v>
      </c>
      <c r="G39">
        <v>0.14199999999999999</v>
      </c>
      <c r="H39">
        <v>21</v>
      </c>
      <c r="I39">
        <v>0</v>
      </c>
      <c r="K39">
        <f t="shared" si="0"/>
        <v>0.17647058823529413</v>
      </c>
      <c r="L39">
        <f t="shared" si="1"/>
        <v>0.55778894472361806</v>
      </c>
      <c r="M39">
        <f t="shared" si="2"/>
        <v>0.50819672131147542</v>
      </c>
      <c r="N39">
        <f t="shared" si="3"/>
        <v>0</v>
      </c>
      <c r="O39">
        <f t="shared" si="4"/>
        <v>0</v>
      </c>
      <c r="P39">
        <f t="shared" si="5"/>
        <v>0.33681073025335323</v>
      </c>
      <c r="Q39">
        <f t="shared" si="6"/>
        <v>2.7327070879590087E-2</v>
      </c>
      <c r="R39">
        <f t="shared" si="7"/>
        <v>0</v>
      </c>
    </row>
    <row r="40" spans="1:18" x14ac:dyDescent="0.3">
      <c r="A40">
        <v>9</v>
      </c>
      <c r="B40">
        <v>123</v>
      </c>
      <c r="C40">
        <v>70</v>
      </c>
      <c r="D40">
        <v>44</v>
      </c>
      <c r="E40">
        <v>94</v>
      </c>
      <c r="F40">
        <v>33.1</v>
      </c>
      <c r="G40">
        <v>0.374</v>
      </c>
      <c r="H40">
        <v>40</v>
      </c>
      <c r="I40">
        <v>0</v>
      </c>
      <c r="K40">
        <f t="shared" si="0"/>
        <v>0.52941176470588236</v>
      </c>
      <c r="L40">
        <f t="shared" si="1"/>
        <v>0.61809045226130654</v>
      </c>
      <c r="M40">
        <f t="shared" si="2"/>
        <v>0.57377049180327866</v>
      </c>
      <c r="N40">
        <f t="shared" si="3"/>
        <v>0.44444444444444442</v>
      </c>
      <c r="O40">
        <f t="shared" si="4"/>
        <v>0.1111111111111111</v>
      </c>
      <c r="P40">
        <f t="shared" si="5"/>
        <v>0.49329359165424747</v>
      </c>
      <c r="Q40">
        <f t="shared" si="6"/>
        <v>0.12638770281810419</v>
      </c>
      <c r="R40">
        <f t="shared" si="7"/>
        <v>0.31666666666666665</v>
      </c>
    </row>
    <row r="41" spans="1:18" x14ac:dyDescent="0.3">
      <c r="A41">
        <v>7</v>
      </c>
      <c r="B41">
        <v>159</v>
      </c>
      <c r="C41">
        <v>66</v>
      </c>
      <c r="D41">
        <v>0</v>
      </c>
      <c r="E41">
        <v>0</v>
      </c>
      <c r="F41">
        <v>30.4</v>
      </c>
      <c r="G41">
        <v>0.38300000000000001</v>
      </c>
      <c r="H41">
        <v>36</v>
      </c>
      <c r="I41">
        <v>1</v>
      </c>
      <c r="K41">
        <f t="shared" si="0"/>
        <v>0.41176470588235292</v>
      </c>
      <c r="L41">
        <f t="shared" si="1"/>
        <v>0.79899497487437188</v>
      </c>
      <c r="M41">
        <f t="shared" si="2"/>
        <v>0.54098360655737709</v>
      </c>
      <c r="N41">
        <f t="shared" si="3"/>
        <v>0</v>
      </c>
      <c r="O41">
        <f t="shared" si="4"/>
        <v>0</v>
      </c>
      <c r="P41">
        <f t="shared" si="5"/>
        <v>0.45305514157973176</v>
      </c>
      <c r="Q41">
        <f t="shared" si="6"/>
        <v>0.13023057216054654</v>
      </c>
      <c r="R41">
        <f t="shared" si="7"/>
        <v>0.25</v>
      </c>
    </row>
    <row r="42" spans="1:18" x14ac:dyDescent="0.3">
      <c r="A42">
        <v>11</v>
      </c>
      <c r="B42">
        <v>135</v>
      </c>
      <c r="C42">
        <v>0</v>
      </c>
      <c r="D42">
        <v>0</v>
      </c>
      <c r="E42">
        <v>0</v>
      </c>
      <c r="F42">
        <v>52.3</v>
      </c>
      <c r="G42">
        <v>0.57799999999999996</v>
      </c>
      <c r="H42">
        <v>40</v>
      </c>
      <c r="I42">
        <v>1</v>
      </c>
      <c r="K42">
        <f t="shared" si="0"/>
        <v>0.6470588235294118</v>
      </c>
      <c r="L42">
        <f t="shared" si="1"/>
        <v>0.67839195979899503</v>
      </c>
      <c r="M42">
        <f t="shared" si="2"/>
        <v>0</v>
      </c>
      <c r="N42">
        <f t="shared" si="3"/>
        <v>0</v>
      </c>
      <c r="O42">
        <f t="shared" si="4"/>
        <v>0</v>
      </c>
      <c r="P42">
        <f t="shared" si="5"/>
        <v>0.77943368107302535</v>
      </c>
      <c r="Q42">
        <f t="shared" si="6"/>
        <v>0.21349274124679757</v>
      </c>
      <c r="R42">
        <f t="shared" si="7"/>
        <v>0.31666666666666665</v>
      </c>
    </row>
    <row r="43" spans="1:18" x14ac:dyDescent="0.3">
      <c r="A43">
        <v>8</v>
      </c>
      <c r="B43">
        <v>85</v>
      </c>
      <c r="C43">
        <v>55</v>
      </c>
      <c r="D43">
        <v>20</v>
      </c>
      <c r="E43">
        <v>0</v>
      </c>
      <c r="F43">
        <v>24.4</v>
      </c>
      <c r="G43">
        <v>0.13600000000000001</v>
      </c>
      <c r="H43">
        <v>42</v>
      </c>
      <c r="I43">
        <v>0</v>
      </c>
      <c r="K43">
        <f t="shared" si="0"/>
        <v>0.47058823529411764</v>
      </c>
      <c r="L43">
        <f t="shared" si="1"/>
        <v>0.42713567839195982</v>
      </c>
      <c r="M43">
        <f t="shared" si="2"/>
        <v>0.45081967213114754</v>
      </c>
      <c r="N43">
        <f t="shared" si="3"/>
        <v>0.20202020202020202</v>
      </c>
      <c r="O43">
        <f t="shared" si="4"/>
        <v>0</v>
      </c>
      <c r="P43">
        <f t="shared" si="5"/>
        <v>0.36363636363636365</v>
      </c>
      <c r="Q43">
        <f t="shared" si="6"/>
        <v>2.4765157984628527E-2</v>
      </c>
      <c r="R43">
        <f t="shared" si="7"/>
        <v>0.35</v>
      </c>
    </row>
    <row r="44" spans="1:18" x14ac:dyDescent="0.3">
      <c r="A44">
        <v>5</v>
      </c>
      <c r="B44">
        <v>158</v>
      </c>
      <c r="C44">
        <v>84</v>
      </c>
      <c r="D44">
        <v>41</v>
      </c>
      <c r="E44">
        <v>210</v>
      </c>
      <c r="F44">
        <v>39.4</v>
      </c>
      <c r="G44">
        <v>0.39500000000000002</v>
      </c>
      <c r="H44">
        <v>29</v>
      </c>
      <c r="I44">
        <v>1</v>
      </c>
      <c r="K44">
        <f t="shared" si="0"/>
        <v>0.29411764705882354</v>
      </c>
      <c r="L44">
        <f t="shared" si="1"/>
        <v>0.79396984924623115</v>
      </c>
      <c r="M44">
        <f t="shared" si="2"/>
        <v>0.68852459016393441</v>
      </c>
      <c r="N44">
        <f t="shared" si="3"/>
        <v>0.41414141414141414</v>
      </c>
      <c r="O44">
        <f t="shared" si="4"/>
        <v>0.24822695035460993</v>
      </c>
      <c r="P44">
        <f t="shared" si="5"/>
        <v>0.58718330849478395</v>
      </c>
      <c r="Q44">
        <f t="shared" si="6"/>
        <v>0.13535439795046969</v>
      </c>
      <c r="R44">
        <f t="shared" si="7"/>
        <v>0.13333333333333333</v>
      </c>
    </row>
    <row r="45" spans="1:18" x14ac:dyDescent="0.3">
      <c r="A45">
        <v>1</v>
      </c>
      <c r="B45">
        <v>105</v>
      </c>
      <c r="C45">
        <v>58</v>
      </c>
      <c r="D45">
        <v>0</v>
      </c>
      <c r="E45">
        <v>0</v>
      </c>
      <c r="F45">
        <v>24.3</v>
      </c>
      <c r="G45">
        <v>0.187</v>
      </c>
      <c r="H45">
        <v>21</v>
      </c>
      <c r="I45">
        <v>0</v>
      </c>
      <c r="K45">
        <f t="shared" si="0"/>
        <v>5.8823529411764705E-2</v>
      </c>
      <c r="L45">
        <f t="shared" si="1"/>
        <v>0.52763819095477382</v>
      </c>
      <c r="M45">
        <f t="shared" si="2"/>
        <v>0.47540983606557374</v>
      </c>
      <c r="N45">
        <f t="shared" si="3"/>
        <v>0</v>
      </c>
      <c r="O45">
        <f t="shared" si="4"/>
        <v>0</v>
      </c>
      <c r="P45">
        <f t="shared" si="5"/>
        <v>0.36214605067064087</v>
      </c>
      <c r="Q45">
        <f t="shared" si="6"/>
        <v>4.654141759180188E-2</v>
      </c>
      <c r="R45">
        <f t="shared" si="7"/>
        <v>0</v>
      </c>
    </row>
    <row r="46" spans="1:18" x14ac:dyDescent="0.3">
      <c r="A46">
        <v>3</v>
      </c>
      <c r="B46">
        <v>107</v>
      </c>
      <c r="C46">
        <v>62</v>
      </c>
      <c r="D46">
        <v>13</v>
      </c>
      <c r="E46">
        <v>48</v>
      </c>
      <c r="F46">
        <v>22.9</v>
      </c>
      <c r="G46">
        <v>0.67800000000000005</v>
      </c>
      <c r="H46">
        <v>23</v>
      </c>
      <c r="I46">
        <v>1</v>
      </c>
      <c r="K46">
        <f t="shared" si="0"/>
        <v>0.17647058823529413</v>
      </c>
      <c r="L46">
        <f t="shared" si="1"/>
        <v>0.53768844221105527</v>
      </c>
      <c r="M46">
        <f t="shared" si="2"/>
        <v>0.50819672131147542</v>
      </c>
      <c r="N46">
        <f t="shared" si="3"/>
        <v>0.13131313131313133</v>
      </c>
      <c r="O46">
        <f t="shared" si="4"/>
        <v>5.6737588652482268E-2</v>
      </c>
      <c r="P46">
        <f t="shared" si="5"/>
        <v>0.3412816691505216</v>
      </c>
      <c r="Q46">
        <f t="shared" si="6"/>
        <v>0.25619128949615716</v>
      </c>
      <c r="R46">
        <f t="shared" si="7"/>
        <v>3.3333333333333333E-2</v>
      </c>
    </row>
    <row r="47" spans="1:18" x14ac:dyDescent="0.3">
      <c r="A47">
        <v>4</v>
      </c>
      <c r="B47">
        <v>109</v>
      </c>
      <c r="C47">
        <v>64</v>
      </c>
      <c r="D47">
        <v>44</v>
      </c>
      <c r="E47">
        <v>99</v>
      </c>
      <c r="F47">
        <v>34.799999999999997</v>
      </c>
      <c r="G47">
        <v>0.90500000000000003</v>
      </c>
      <c r="H47">
        <v>26</v>
      </c>
      <c r="I47">
        <v>1</v>
      </c>
      <c r="K47">
        <f t="shared" si="0"/>
        <v>0.23529411764705882</v>
      </c>
      <c r="L47">
        <f t="shared" si="1"/>
        <v>0.54773869346733672</v>
      </c>
      <c r="M47">
        <f t="shared" si="2"/>
        <v>0.52459016393442626</v>
      </c>
      <c r="N47">
        <f t="shared" si="3"/>
        <v>0.44444444444444442</v>
      </c>
      <c r="O47">
        <f t="shared" si="4"/>
        <v>0.11702127659574468</v>
      </c>
      <c r="P47">
        <f t="shared" si="5"/>
        <v>0.51862891207153505</v>
      </c>
      <c r="Q47">
        <f t="shared" si="6"/>
        <v>0.35311699402220326</v>
      </c>
      <c r="R47">
        <f t="shared" si="7"/>
        <v>8.3333333333333329E-2</v>
      </c>
    </row>
    <row r="48" spans="1:18" x14ac:dyDescent="0.3">
      <c r="A48">
        <v>4</v>
      </c>
      <c r="B48">
        <v>148</v>
      </c>
      <c r="C48">
        <v>60</v>
      </c>
      <c r="D48">
        <v>27</v>
      </c>
      <c r="E48">
        <v>318</v>
      </c>
      <c r="F48">
        <v>30.9</v>
      </c>
      <c r="G48">
        <v>0.15</v>
      </c>
      <c r="H48">
        <v>29</v>
      </c>
      <c r="I48">
        <v>1</v>
      </c>
      <c r="K48">
        <f t="shared" si="0"/>
        <v>0.23529411764705882</v>
      </c>
      <c r="L48">
        <f t="shared" si="1"/>
        <v>0.74371859296482412</v>
      </c>
      <c r="M48">
        <f t="shared" si="2"/>
        <v>0.49180327868852458</v>
      </c>
      <c r="N48">
        <f t="shared" si="3"/>
        <v>0.27272727272727271</v>
      </c>
      <c r="O48">
        <f t="shared" si="4"/>
        <v>0.37588652482269502</v>
      </c>
      <c r="P48">
        <f t="shared" si="5"/>
        <v>0.46050670640834579</v>
      </c>
      <c r="Q48">
        <f t="shared" si="6"/>
        <v>3.0742954739538853E-2</v>
      </c>
      <c r="R48">
        <f t="shared" si="7"/>
        <v>0.13333333333333333</v>
      </c>
    </row>
    <row r="49" spans="1:18" x14ac:dyDescent="0.3">
      <c r="A49">
        <v>0</v>
      </c>
      <c r="B49">
        <v>113</v>
      </c>
      <c r="C49">
        <v>80</v>
      </c>
      <c r="D49">
        <v>16</v>
      </c>
      <c r="E49">
        <v>0</v>
      </c>
      <c r="F49">
        <v>31</v>
      </c>
      <c r="G49">
        <v>0.874</v>
      </c>
      <c r="H49">
        <v>21</v>
      </c>
      <c r="I49">
        <v>0</v>
      </c>
      <c r="K49">
        <f t="shared" si="0"/>
        <v>0</v>
      </c>
      <c r="L49">
        <f t="shared" si="1"/>
        <v>0.56783919597989951</v>
      </c>
      <c r="M49">
        <f t="shared" si="2"/>
        <v>0.65573770491803274</v>
      </c>
      <c r="N49">
        <f t="shared" si="3"/>
        <v>0.16161616161616163</v>
      </c>
      <c r="O49">
        <f t="shared" si="4"/>
        <v>0</v>
      </c>
      <c r="P49">
        <f t="shared" si="5"/>
        <v>0.46199701937406862</v>
      </c>
      <c r="Q49">
        <f t="shared" si="6"/>
        <v>0.33988044406490181</v>
      </c>
      <c r="R49">
        <f t="shared" si="7"/>
        <v>0</v>
      </c>
    </row>
    <row r="50" spans="1:18" x14ac:dyDescent="0.3">
      <c r="A50">
        <v>1</v>
      </c>
      <c r="B50">
        <v>138</v>
      </c>
      <c r="C50">
        <v>82</v>
      </c>
      <c r="D50">
        <v>0</v>
      </c>
      <c r="E50">
        <v>0</v>
      </c>
      <c r="F50">
        <v>40.1</v>
      </c>
      <c r="G50">
        <v>0.23599999999999999</v>
      </c>
      <c r="H50">
        <v>28</v>
      </c>
      <c r="I50">
        <v>0</v>
      </c>
      <c r="K50">
        <f t="shared" si="0"/>
        <v>5.8823529411764705E-2</v>
      </c>
      <c r="L50">
        <f t="shared" si="1"/>
        <v>0.69346733668341709</v>
      </c>
      <c r="M50">
        <f t="shared" si="2"/>
        <v>0.67213114754098358</v>
      </c>
      <c r="N50">
        <f t="shared" si="3"/>
        <v>0</v>
      </c>
      <c r="O50">
        <f t="shared" si="4"/>
        <v>0</v>
      </c>
      <c r="P50">
        <f t="shared" si="5"/>
        <v>0.59761549925484359</v>
      </c>
      <c r="Q50">
        <f t="shared" si="6"/>
        <v>6.7463706233988036E-2</v>
      </c>
      <c r="R50">
        <f t="shared" si="7"/>
        <v>0.11666666666666667</v>
      </c>
    </row>
    <row r="51" spans="1:18" x14ac:dyDescent="0.3">
      <c r="A51">
        <v>0</v>
      </c>
      <c r="B51">
        <v>108</v>
      </c>
      <c r="C51">
        <v>68</v>
      </c>
      <c r="D51">
        <v>20</v>
      </c>
      <c r="E51">
        <v>0</v>
      </c>
      <c r="F51">
        <v>27.3</v>
      </c>
      <c r="G51">
        <v>0.78700000000000003</v>
      </c>
      <c r="H51">
        <v>32</v>
      </c>
      <c r="I51">
        <v>0</v>
      </c>
      <c r="K51">
        <f t="shared" si="0"/>
        <v>0</v>
      </c>
      <c r="L51">
        <f t="shared" si="1"/>
        <v>0.542713567839196</v>
      </c>
      <c r="M51">
        <f t="shared" si="2"/>
        <v>0.55737704918032782</v>
      </c>
      <c r="N51">
        <f t="shared" si="3"/>
        <v>0.20202020202020202</v>
      </c>
      <c r="O51">
        <f t="shared" si="4"/>
        <v>0</v>
      </c>
      <c r="P51">
        <f t="shared" si="5"/>
        <v>0.40685543964232496</v>
      </c>
      <c r="Q51">
        <f t="shared" si="6"/>
        <v>0.30273270708795902</v>
      </c>
      <c r="R51">
        <f t="shared" si="7"/>
        <v>0.18333333333333332</v>
      </c>
    </row>
    <row r="52" spans="1:18" x14ac:dyDescent="0.3">
      <c r="A52">
        <v>2</v>
      </c>
      <c r="B52">
        <v>99</v>
      </c>
      <c r="C52">
        <v>70</v>
      </c>
      <c r="D52">
        <v>16</v>
      </c>
      <c r="E52">
        <v>44</v>
      </c>
      <c r="F52">
        <v>20.399999999999999</v>
      </c>
      <c r="G52">
        <v>0.23499999999999999</v>
      </c>
      <c r="H52">
        <v>27</v>
      </c>
      <c r="I52">
        <v>0</v>
      </c>
      <c r="K52">
        <f t="shared" si="0"/>
        <v>0.11764705882352941</v>
      </c>
      <c r="L52">
        <f t="shared" si="1"/>
        <v>0.49748743718592964</v>
      </c>
      <c r="M52">
        <f t="shared" si="2"/>
        <v>0.57377049180327866</v>
      </c>
      <c r="N52">
        <f t="shared" si="3"/>
        <v>0.16161616161616163</v>
      </c>
      <c r="O52">
        <f t="shared" si="4"/>
        <v>5.2009456264775412E-2</v>
      </c>
      <c r="P52">
        <f t="shared" si="5"/>
        <v>0.30402384500745155</v>
      </c>
      <c r="Q52">
        <f t="shared" si="6"/>
        <v>6.703672075149443E-2</v>
      </c>
      <c r="R52">
        <f t="shared" si="7"/>
        <v>0.1</v>
      </c>
    </row>
    <row r="53" spans="1:18" x14ac:dyDescent="0.3">
      <c r="A53">
        <v>6</v>
      </c>
      <c r="B53">
        <v>103</v>
      </c>
      <c r="C53">
        <v>72</v>
      </c>
      <c r="D53">
        <v>32</v>
      </c>
      <c r="E53">
        <v>190</v>
      </c>
      <c r="F53">
        <v>37.700000000000003</v>
      </c>
      <c r="G53">
        <v>0.32400000000000001</v>
      </c>
      <c r="H53">
        <v>55</v>
      </c>
      <c r="I53">
        <v>0</v>
      </c>
      <c r="K53">
        <f t="shared" si="0"/>
        <v>0.35294117647058826</v>
      </c>
      <c r="L53">
        <f t="shared" si="1"/>
        <v>0.51758793969849248</v>
      </c>
      <c r="M53">
        <f t="shared" si="2"/>
        <v>0.5901639344262295</v>
      </c>
      <c r="N53">
        <f t="shared" si="3"/>
        <v>0.32323232323232326</v>
      </c>
      <c r="O53">
        <f t="shared" si="4"/>
        <v>0.22458628841607564</v>
      </c>
      <c r="P53">
        <f t="shared" si="5"/>
        <v>0.56184798807749636</v>
      </c>
      <c r="Q53">
        <f t="shared" si="6"/>
        <v>0.10503842869342442</v>
      </c>
      <c r="R53">
        <f t="shared" si="7"/>
        <v>0.56666666666666665</v>
      </c>
    </row>
    <row r="54" spans="1:18" x14ac:dyDescent="0.3">
      <c r="A54">
        <v>5</v>
      </c>
      <c r="B54">
        <v>111</v>
      </c>
      <c r="C54">
        <v>72</v>
      </c>
      <c r="D54">
        <v>28</v>
      </c>
      <c r="E54">
        <v>0</v>
      </c>
      <c r="F54">
        <v>23.9</v>
      </c>
      <c r="G54">
        <v>0.40699999999999997</v>
      </c>
      <c r="H54">
        <v>27</v>
      </c>
      <c r="I54">
        <v>0</v>
      </c>
      <c r="K54">
        <f t="shared" si="0"/>
        <v>0.29411764705882354</v>
      </c>
      <c r="L54">
        <f t="shared" si="1"/>
        <v>0.55778894472361806</v>
      </c>
      <c r="M54">
        <f t="shared" si="2"/>
        <v>0.5901639344262295</v>
      </c>
      <c r="N54">
        <f t="shared" si="3"/>
        <v>0.28282828282828282</v>
      </c>
      <c r="O54">
        <f t="shared" si="4"/>
        <v>0</v>
      </c>
      <c r="P54">
        <f t="shared" si="5"/>
        <v>0.35618479880774961</v>
      </c>
      <c r="Q54">
        <f t="shared" si="6"/>
        <v>0.14047822374039282</v>
      </c>
      <c r="R54">
        <f t="shared" si="7"/>
        <v>0.1</v>
      </c>
    </row>
    <row r="55" spans="1:18" x14ac:dyDescent="0.3">
      <c r="A55">
        <v>8</v>
      </c>
      <c r="B55">
        <v>196</v>
      </c>
      <c r="C55">
        <v>76</v>
      </c>
      <c r="D55">
        <v>29</v>
      </c>
      <c r="E55">
        <v>280</v>
      </c>
      <c r="F55">
        <v>37.5</v>
      </c>
      <c r="G55">
        <v>0.60499999999999998</v>
      </c>
      <c r="H55">
        <v>57</v>
      </c>
      <c r="I55">
        <v>1</v>
      </c>
      <c r="K55">
        <f t="shared" si="0"/>
        <v>0.47058823529411764</v>
      </c>
      <c r="L55">
        <f t="shared" si="1"/>
        <v>0.98492462311557794</v>
      </c>
      <c r="M55">
        <f t="shared" si="2"/>
        <v>0.62295081967213117</v>
      </c>
      <c r="N55">
        <f t="shared" si="3"/>
        <v>0.29292929292929293</v>
      </c>
      <c r="O55">
        <f t="shared" si="4"/>
        <v>0.33096926713947988</v>
      </c>
      <c r="P55">
        <f t="shared" si="5"/>
        <v>0.55886736214605071</v>
      </c>
      <c r="Q55">
        <f t="shared" si="6"/>
        <v>0.22502134927412468</v>
      </c>
      <c r="R55">
        <f t="shared" si="7"/>
        <v>0.6</v>
      </c>
    </row>
    <row r="56" spans="1:18" x14ac:dyDescent="0.3">
      <c r="A56">
        <v>5</v>
      </c>
      <c r="B56">
        <v>162</v>
      </c>
      <c r="C56">
        <v>104</v>
      </c>
      <c r="D56">
        <v>0</v>
      </c>
      <c r="E56">
        <v>0</v>
      </c>
      <c r="F56">
        <v>37.700000000000003</v>
      </c>
      <c r="G56">
        <v>0.151</v>
      </c>
      <c r="H56">
        <v>52</v>
      </c>
      <c r="I56">
        <v>1</v>
      </c>
      <c r="K56">
        <f t="shared" si="0"/>
        <v>0.29411764705882354</v>
      </c>
      <c r="L56">
        <f t="shared" si="1"/>
        <v>0.81407035175879394</v>
      </c>
      <c r="M56">
        <f t="shared" si="2"/>
        <v>0.85245901639344257</v>
      </c>
      <c r="N56">
        <f t="shared" si="3"/>
        <v>0</v>
      </c>
      <c r="O56">
        <f t="shared" si="4"/>
        <v>0</v>
      </c>
      <c r="P56">
        <f t="shared" si="5"/>
        <v>0.56184798807749636</v>
      </c>
      <c r="Q56">
        <f t="shared" si="6"/>
        <v>3.1169940222032448E-2</v>
      </c>
      <c r="R56">
        <f t="shared" si="7"/>
        <v>0.51666666666666672</v>
      </c>
    </row>
    <row r="57" spans="1:18" x14ac:dyDescent="0.3">
      <c r="A57">
        <v>1</v>
      </c>
      <c r="B57">
        <v>96</v>
      </c>
      <c r="C57">
        <v>64</v>
      </c>
      <c r="D57">
        <v>27</v>
      </c>
      <c r="E57">
        <v>87</v>
      </c>
      <c r="F57">
        <v>33.200000000000003</v>
      </c>
      <c r="G57">
        <v>0.28899999999999998</v>
      </c>
      <c r="H57">
        <v>21</v>
      </c>
      <c r="I57">
        <v>0</v>
      </c>
      <c r="K57">
        <f t="shared" si="0"/>
        <v>5.8823529411764705E-2</v>
      </c>
      <c r="L57">
        <f t="shared" si="1"/>
        <v>0.48241206030150752</v>
      </c>
      <c r="M57">
        <f t="shared" si="2"/>
        <v>0.52459016393442626</v>
      </c>
      <c r="N57">
        <f t="shared" si="3"/>
        <v>0.27272727272727271</v>
      </c>
      <c r="O57">
        <f t="shared" si="4"/>
        <v>0.10283687943262411</v>
      </c>
      <c r="P57">
        <f t="shared" si="5"/>
        <v>0.49478390461997029</v>
      </c>
      <c r="Q57">
        <f t="shared" si="6"/>
        <v>9.0093936806148578E-2</v>
      </c>
      <c r="R57">
        <f t="shared" si="7"/>
        <v>0</v>
      </c>
    </row>
    <row r="58" spans="1:18" x14ac:dyDescent="0.3">
      <c r="A58">
        <v>7</v>
      </c>
      <c r="B58">
        <v>184</v>
      </c>
      <c r="C58">
        <v>84</v>
      </c>
      <c r="D58">
        <v>33</v>
      </c>
      <c r="E58">
        <v>0</v>
      </c>
      <c r="F58">
        <v>35.5</v>
      </c>
      <c r="G58">
        <v>0.35499999999999998</v>
      </c>
      <c r="H58">
        <v>41</v>
      </c>
      <c r="I58">
        <v>1</v>
      </c>
      <c r="K58">
        <f t="shared" si="0"/>
        <v>0.41176470588235292</v>
      </c>
      <c r="L58">
        <f t="shared" si="1"/>
        <v>0.92462311557788945</v>
      </c>
      <c r="M58">
        <f t="shared" si="2"/>
        <v>0.68852459016393441</v>
      </c>
      <c r="N58">
        <f t="shared" si="3"/>
        <v>0.33333333333333331</v>
      </c>
      <c r="O58">
        <f t="shared" si="4"/>
        <v>0</v>
      </c>
      <c r="P58">
        <f t="shared" si="5"/>
        <v>0.52906110283159469</v>
      </c>
      <c r="Q58">
        <f t="shared" si="6"/>
        <v>0.11827497865072585</v>
      </c>
      <c r="R58">
        <f t="shared" si="7"/>
        <v>0.33333333333333331</v>
      </c>
    </row>
    <row r="59" spans="1:18" x14ac:dyDescent="0.3">
      <c r="A59">
        <v>2</v>
      </c>
      <c r="B59">
        <v>81</v>
      </c>
      <c r="C59">
        <v>60</v>
      </c>
      <c r="D59">
        <v>22</v>
      </c>
      <c r="E59">
        <v>0</v>
      </c>
      <c r="F59">
        <v>27.7</v>
      </c>
      <c r="G59">
        <v>0.28999999999999998</v>
      </c>
      <c r="H59">
        <v>25</v>
      </c>
      <c r="I59">
        <v>0</v>
      </c>
      <c r="K59">
        <f t="shared" si="0"/>
        <v>0.11764705882352941</v>
      </c>
      <c r="L59">
        <f t="shared" si="1"/>
        <v>0.40703517587939697</v>
      </c>
      <c r="M59">
        <f t="shared" si="2"/>
        <v>0.49180327868852458</v>
      </c>
      <c r="N59">
        <f t="shared" si="3"/>
        <v>0.22222222222222221</v>
      </c>
      <c r="O59">
        <f t="shared" si="4"/>
        <v>0</v>
      </c>
      <c r="P59">
        <f t="shared" si="5"/>
        <v>0.4128166915052161</v>
      </c>
      <c r="Q59">
        <f t="shared" si="6"/>
        <v>9.0520922288642169E-2</v>
      </c>
      <c r="R59">
        <f t="shared" si="7"/>
        <v>6.6666666666666666E-2</v>
      </c>
    </row>
    <row r="60" spans="1:18" x14ac:dyDescent="0.3">
      <c r="A60">
        <v>0</v>
      </c>
      <c r="B60">
        <v>147</v>
      </c>
      <c r="C60">
        <v>85</v>
      </c>
      <c r="D60">
        <v>54</v>
      </c>
      <c r="E60">
        <v>0</v>
      </c>
      <c r="F60">
        <v>42.8</v>
      </c>
      <c r="G60">
        <v>0.375</v>
      </c>
      <c r="H60">
        <v>24</v>
      </c>
      <c r="I60">
        <v>0</v>
      </c>
      <c r="K60">
        <f t="shared" si="0"/>
        <v>0</v>
      </c>
      <c r="L60">
        <f t="shared" si="1"/>
        <v>0.7386934673366834</v>
      </c>
      <c r="M60">
        <f t="shared" si="2"/>
        <v>0.69672131147540983</v>
      </c>
      <c r="N60">
        <f t="shared" si="3"/>
        <v>0.54545454545454541</v>
      </c>
      <c r="O60">
        <f t="shared" si="4"/>
        <v>0</v>
      </c>
      <c r="P60">
        <f t="shared" si="5"/>
        <v>0.63785394932935913</v>
      </c>
      <c r="Q60">
        <f t="shared" si="6"/>
        <v>0.12681468830059778</v>
      </c>
      <c r="R60">
        <f t="shared" si="7"/>
        <v>0.05</v>
      </c>
    </row>
    <row r="61" spans="1:18" x14ac:dyDescent="0.3">
      <c r="A61">
        <v>7</v>
      </c>
      <c r="B61">
        <v>179</v>
      </c>
      <c r="C61">
        <v>95</v>
      </c>
      <c r="D61">
        <v>31</v>
      </c>
      <c r="E61">
        <v>0</v>
      </c>
      <c r="F61">
        <v>34.200000000000003</v>
      </c>
      <c r="G61">
        <v>0.16400000000000001</v>
      </c>
      <c r="H61">
        <v>60</v>
      </c>
      <c r="I61">
        <v>0</v>
      </c>
      <c r="K61">
        <f t="shared" si="0"/>
        <v>0.41176470588235292</v>
      </c>
      <c r="L61">
        <f t="shared" si="1"/>
        <v>0.89949748743718594</v>
      </c>
      <c r="M61">
        <f t="shared" si="2"/>
        <v>0.77868852459016391</v>
      </c>
      <c r="N61">
        <f t="shared" si="3"/>
        <v>0.31313131313131315</v>
      </c>
      <c r="O61">
        <f t="shared" si="4"/>
        <v>0</v>
      </c>
      <c r="P61">
        <f t="shared" si="5"/>
        <v>0.5096870342771983</v>
      </c>
      <c r="Q61">
        <f t="shared" si="6"/>
        <v>3.6720751494449193E-2</v>
      </c>
      <c r="R61">
        <f t="shared" si="7"/>
        <v>0.65</v>
      </c>
    </row>
    <row r="62" spans="1:18" x14ac:dyDescent="0.3">
      <c r="A62">
        <v>0</v>
      </c>
      <c r="B62">
        <v>140</v>
      </c>
      <c r="C62">
        <v>65</v>
      </c>
      <c r="D62">
        <v>26</v>
      </c>
      <c r="E62">
        <v>130</v>
      </c>
      <c r="F62">
        <v>42.6</v>
      </c>
      <c r="G62">
        <v>0.43099999999999999</v>
      </c>
      <c r="H62">
        <v>24</v>
      </c>
      <c r="I62">
        <v>1</v>
      </c>
      <c r="K62">
        <f t="shared" si="0"/>
        <v>0</v>
      </c>
      <c r="L62">
        <f t="shared" si="1"/>
        <v>0.70351758793969854</v>
      </c>
      <c r="M62">
        <f t="shared" si="2"/>
        <v>0.53278688524590168</v>
      </c>
      <c r="N62">
        <f t="shared" si="3"/>
        <v>0.26262626262626265</v>
      </c>
      <c r="O62">
        <f t="shared" si="4"/>
        <v>0.15366430260047281</v>
      </c>
      <c r="P62">
        <f t="shared" si="5"/>
        <v>0.63487332339791369</v>
      </c>
      <c r="Q62">
        <f t="shared" si="6"/>
        <v>0.15072587532023909</v>
      </c>
      <c r="R62">
        <f t="shared" si="7"/>
        <v>0.05</v>
      </c>
    </row>
    <row r="63" spans="1:18" x14ac:dyDescent="0.3">
      <c r="A63">
        <v>9</v>
      </c>
      <c r="B63">
        <v>112</v>
      </c>
      <c r="C63">
        <v>82</v>
      </c>
      <c r="D63">
        <v>32</v>
      </c>
      <c r="E63">
        <v>175</v>
      </c>
      <c r="F63">
        <v>34.200000000000003</v>
      </c>
      <c r="G63">
        <v>0.26</v>
      </c>
      <c r="H63">
        <v>36</v>
      </c>
      <c r="I63">
        <v>1</v>
      </c>
      <c r="K63">
        <f t="shared" si="0"/>
        <v>0.52941176470588236</v>
      </c>
      <c r="L63">
        <f t="shared" si="1"/>
        <v>0.56281407035175879</v>
      </c>
      <c r="M63">
        <f t="shared" si="2"/>
        <v>0.67213114754098358</v>
      </c>
      <c r="N63">
        <f t="shared" si="3"/>
        <v>0.32323232323232326</v>
      </c>
      <c r="O63">
        <f t="shared" si="4"/>
        <v>0.20685579196217493</v>
      </c>
      <c r="P63">
        <f t="shared" si="5"/>
        <v>0.5096870342771983</v>
      </c>
      <c r="Q63">
        <f t="shared" si="6"/>
        <v>7.7711357813834328E-2</v>
      </c>
      <c r="R63">
        <f t="shared" si="7"/>
        <v>0.25</v>
      </c>
    </row>
    <row r="64" spans="1:18" x14ac:dyDescent="0.3">
      <c r="A64">
        <v>12</v>
      </c>
      <c r="B64">
        <v>151</v>
      </c>
      <c r="C64">
        <v>70</v>
      </c>
      <c r="D64">
        <v>40</v>
      </c>
      <c r="E64">
        <v>271</v>
      </c>
      <c r="F64">
        <v>41.8</v>
      </c>
      <c r="G64">
        <v>0.74199999999999999</v>
      </c>
      <c r="H64">
        <v>38</v>
      </c>
      <c r="I64">
        <v>1</v>
      </c>
      <c r="K64">
        <f t="shared" si="0"/>
        <v>0.70588235294117652</v>
      </c>
      <c r="L64">
        <f t="shared" si="1"/>
        <v>0.75879396984924619</v>
      </c>
      <c r="M64">
        <f t="shared" si="2"/>
        <v>0.57377049180327866</v>
      </c>
      <c r="N64">
        <f t="shared" si="3"/>
        <v>0.40404040404040403</v>
      </c>
      <c r="O64">
        <f t="shared" si="4"/>
        <v>0.3203309692671395</v>
      </c>
      <c r="P64">
        <f t="shared" si="5"/>
        <v>0.62295081967213117</v>
      </c>
      <c r="Q64">
        <f t="shared" si="6"/>
        <v>0.28351836037574724</v>
      </c>
      <c r="R64">
        <f t="shared" si="7"/>
        <v>0.28333333333333333</v>
      </c>
    </row>
    <row r="65" spans="1:18" x14ac:dyDescent="0.3">
      <c r="A65">
        <v>5</v>
      </c>
      <c r="B65">
        <v>109</v>
      </c>
      <c r="C65">
        <v>62</v>
      </c>
      <c r="D65">
        <v>41</v>
      </c>
      <c r="E65">
        <v>129</v>
      </c>
      <c r="F65">
        <v>35.799999999999997</v>
      </c>
      <c r="G65">
        <v>0.51400000000000001</v>
      </c>
      <c r="H65">
        <v>25</v>
      </c>
      <c r="I65">
        <v>1</v>
      </c>
      <c r="K65">
        <f t="shared" si="0"/>
        <v>0.29411764705882354</v>
      </c>
      <c r="L65">
        <f t="shared" si="1"/>
        <v>0.54773869346733672</v>
      </c>
      <c r="M65">
        <f t="shared" si="2"/>
        <v>0.50819672131147542</v>
      </c>
      <c r="N65">
        <f t="shared" si="3"/>
        <v>0.41414141414141414</v>
      </c>
      <c r="O65">
        <f t="shared" si="4"/>
        <v>0.1524822695035461</v>
      </c>
      <c r="P65">
        <f t="shared" si="5"/>
        <v>0.53353204172876301</v>
      </c>
      <c r="Q65">
        <f t="shared" si="6"/>
        <v>0.18616567036720752</v>
      </c>
      <c r="R65">
        <f t="shared" si="7"/>
        <v>6.6666666666666666E-2</v>
      </c>
    </row>
    <row r="66" spans="1:18" x14ac:dyDescent="0.3">
      <c r="A66">
        <v>6</v>
      </c>
      <c r="B66">
        <v>125</v>
      </c>
      <c r="C66">
        <v>68</v>
      </c>
      <c r="D66">
        <v>30</v>
      </c>
      <c r="E66">
        <v>120</v>
      </c>
      <c r="F66">
        <v>30</v>
      </c>
      <c r="G66">
        <v>0.46400000000000002</v>
      </c>
      <c r="H66">
        <v>32</v>
      </c>
      <c r="I66">
        <v>0</v>
      </c>
      <c r="K66">
        <f t="shared" si="0"/>
        <v>0.35294117647058826</v>
      </c>
      <c r="L66">
        <f t="shared" si="1"/>
        <v>0.62814070351758799</v>
      </c>
      <c r="M66">
        <f t="shared" si="2"/>
        <v>0.55737704918032782</v>
      </c>
      <c r="N66">
        <f t="shared" si="3"/>
        <v>0.30303030303030304</v>
      </c>
      <c r="O66">
        <f t="shared" si="4"/>
        <v>0.14184397163120568</v>
      </c>
      <c r="P66">
        <f t="shared" si="5"/>
        <v>0.44709388971684055</v>
      </c>
      <c r="Q66">
        <f t="shared" si="6"/>
        <v>0.16481639624252775</v>
      </c>
      <c r="R66">
        <f t="shared" si="7"/>
        <v>0.18333333333333332</v>
      </c>
    </row>
    <row r="67" spans="1:18" x14ac:dyDescent="0.3">
      <c r="A67">
        <v>5</v>
      </c>
      <c r="B67">
        <v>85</v>
      </c>
      <c r="C67">
        <v>74</v>
      </c>
      <c r="D67">
        <v>22</v>
      </c>
      <c r="E67">
        <v>0</v>
      </c>
      <c r="F67">
        <v>29</v>
      </c>
      <c r="G67">
        <v>1.224</v>
      </c>
      <c r="H67">
        <v>32</v>
      </c>
      <c r="I67">
        <v>1</v>
      </c>
      <c r="K67">
        <f t="shared" ref="K67:K130" si="8">(A67-0)/(17-0)</f>
        <v>0.29411764705882354</v>
      </c>
      <c r="L67">
        <f t="shared" ref="L67:L130" si="9">(B67-0)/(199-0)</f>
        <v>0.42713567839195982</v>
      </c>
      <c r="M67">
        <f t="shared" ref="M67:M130" si="10">(C67-0)/(122-0)</f>
        <v>0.60655737704918034</v>
      </c>
      <c r="N67">
        <f t="shared" ref="N67:N130" si="11">(D67-0)/(99-0)</f>
        <v>0.22222222222222221</v>
      </c>
      <c r="O67">
        <f t="shared" ref="O67:O130" si="12">(E67-0)/(846-0)</f>
        <v>0</v>
      </c>
      <c r="P67">
        <f t="shared" ref="P67:P130" si="13">(F67-0)/(67.1-0)</f>
        <v>0.43219076005961254</v>
      </c>
      <c r="Q67">
        <f t="shared" ref="Q67:Q130" si="14">(G67-0.078)/(2.42-0.078)</f>
        <v>0.48932536293766005</v>
      </c>
      <c r="R67">
        <f t="shared" ref="R67:R130" si="15">(H67-21)/(81-21)</f>
        <v>0.18333333333333332</v>
      </c>
    </row>
    <row r="68" spans="1:18" x14ac:dyDescent="0.3">
      <c r="A68">
        <v>5</v>
      </c>
      <c r="B68">
        <v>112</v>
      </c>
      <c r="C68">
        <v>66</v>
      </c>
      <c r="D68">
        <v>0</v>
      </c>
      <c r="E68">
        <v>0</v>
      </c>
      <c r="F68">
        <v>37.799999999999997</v>
      </c>
      <c r="G68">
        <v>0.26100000000000001</v>
      </c>
      <c r="H68">
        <v>41</v>
      </c>
      <c r="I68">
        <v>1</v>
      </c>
      <c r="K68">
        <f t="shared" si="8"/>
        <v>0.29411764705882354</v>
      </c>
      <c r="L68">
        <f t="shared" si="9"/>
        <v>0.56281407035175879</v>
      </c>
      <c r="M68">
        <f t="shared" si="10"/>
        <v>0.54098360655737709</v>
      </c>
      <c r="N68">
        <f t="shared" si="11"/>
        <v>0</v>
      </c>
      <c r="O68">
        <f t="shared" si="12"/>
        <v>0</v>
      </c>
      <c r="P68">
        <f t="shared" si="13"/>
        <v>0.56333830104321914</v>
      </c>
      <c r="Q68">
        <f t="shared" si="14"/>
        <v>7.813834329632792E-2</v>
      </c>
      <c r="R68">
        <f t="shared" si="15"/>
        <v>0.33333333333333331</v>
      </c>
    </row>
    <row r="69" spans="1:18" x14ac:dyDescent="0.3">
      <c r="A69">
        <v>0</v>
      </c>
      <c r="B69">
        <v>177</v>
      </c>
      <c r="C69">
        <v>60</v>
      </c>
      <c r="D69">
        <v>29</v>
      </c>
      <c r="E69">
        <v>478</v>
      </c>
      <c r="F69">
        <v>34.6</v>
      </c>
      <c r="G69">
        <v>1.0720000000000001</v>
      </c>
      <c r="H69">
        <v>21</v>
      </c>
      <c r="I69">
        <v>1</v>
      </c>
      <c r="K69">
        <f t="shared" si="8"/>
        <v>0</v>
      </c>
      <c r="L69">
        <f t="shared" si="9"/>
        <v>0.88944723618090449</v>
      </c>
      <c r="M69">
        <f t="shared" si="10"/>
        <v>0.49180327868852458</v>
      </c>
      <c r="N69">
        <f t="shared" si="11"/>
        <v>0.29292929292929293</v>
      </c>
      <c r="O69">
        <f t="shared" si="12"/>
        <v>0.56501182033096931</v>
      </c>
      <c r="P69">
        <f t="shared" si="13"/>
        <v>0.51564828614008951</v>
      </c>
      <c r="Q69">
        <f t="shared" si="14"/>
        <v>0.4244235695986337</v>
      </c>
      <c r="R69">
        <f t="shared" si="15"/>
        <v>0</v>
      </c>
    </row>
    <row r="70" spans="1:18" x14ac:dyDescent="0.3">
      <c r="A70">
        <v>2</v>
      </c>
      <c r="B70">
        <v>158</v>
      </c>
      <c r="C70">
        <v>90</v>
      </c>
      <c r="D70">
        <v>0</v>
      </c>
      <c r="E70">
        <v>0</v>
      </c>
      <c r="F70">
        <v>31.6</v>
      </c>
      <c r="G70">
        <v>0.80500000000000005</v>
      </c>
      <c r="H70">
        <v>66</v>
      </c>
      <c r="I70">
        <v>1</v>
      </c>
      <c r="K70">
        <f t="shared" si="8"/>
        <v>0.11764705882352941</v>
      </c>
      <c r="L70">
        <f t="shared" si="9"/>
        <v>0.79396984924623115</v>
      </c>
      <c r="M70">
        <f t="shared" si="10"/>
        <v>0.73770491803278693</v>
      </c>
      <c r="N70">
        <f t="shared" si="11"/>
        <v>0</v>
      </c>
      <c r="O70">
        <f t="shared" si="12"/>
        <v>0</v>
      </c>
      <c r="P70">
        <f t="shared" si="13"/>
        <v>0.47093889716840542</v>
      </c>
      <c r="Q70">
        <f t="shared" si="14"/>
        <v>0.31041844577284378</v>
      </c>
      <c r="R70">
        <f t="shared" si="15"/>
        <v>0.75</v>
      </c>
    </row>
    <row r="71" spans="1:18" x14ac:dyDescent="0.3">
      <c r="A71">
        <v>7</v>
      </c>
      <c r="B71">
        <v>119</v>
      </c>
      <c r="C71">
        <v>0</v>
      </c>
      <c r="D71">
        <v>0</v>
      </c>
      <c r="E71">
        <v>0</v>
      </c>
      <c r="F71">
        <v>25.2</v>
      </c>
      <c r="G71">
        <v>0.20899999999999999</v>
      </c>
      <c r="H71">
        <v>37</v>
      </c>
      <c r="I71">
        <v>0</v>
      </c>
      <c r="K71">
        <f t="shared" si="8"/>
        <v>0.41176470588235292</v>
      </c>
      <c r="L71">
        <f t="shared" si="9"/>
        <v>0.59798994974874375</v>
      </c>
      <c r="M71">
        <f t="shared" si="10"/>
        <v>0</v>
      </c>
      <c r="N71">
        <f t="shared" si="11"/>
        <v>0</v>
      </c>
      <c r="O71">
        <f t="shared" si="12"/>
        <v>0</v>
      </c>
      <c r="P71">
        <f t="shared" si="13"/>
        <v>0.37555886736214605</v>
      </c>
      <c r="Q71">
        <f t="shared" si="14"/>
        <v>5.5935098206660976E-2</v>
      </c>
      <c r="R71">
        <f t="shared" si="15"/>
        <v>0.26666666666666666</v>
      </c>
    </row>
    <row r="72" spans="1:18" x14ac:dyDescent="0.3">
      <c r="A72">
        <v>7</v>
      </c>
      <c r="B72">
        <v>142</v>
      </c>
      <c r="C72">
        <v>60</v>
      </c>
      <c r="D72">
        <v>33</v>
      </c>
      <c r="E72">
        <v>190</v>
      </c>
      <c r="F72">
        <v>28.8</v>
      </c>
      <c r="G72">
        <v>0.68700000000000006</v>
      </c>
      <c r="H72">
        <v>61</v>
      </c>
      <c r="I72">
        <v>0</v>
      </c>
      <c r="K72">
        <f t="shared" si="8"/>
        <v>0.41176470588235292</v>
      </c>
      <c r="L72">
        <f t="shared" si="9"/>
        <v>0.71356783919597988</v>
      </c>
      <c r="M72">
        <f t="shared" si="10"/>
        <v>0.49180327868852458</v>
      </c>
      <c r="N72">
        <f t="shared" si="11"/>
        <v>0.33333333333333331</v>
      </c>
      <c r="O72">
        <f t="shared" si="12"/>
        <v>0.22458628841607564</v>
      </c>
      <c r="P72">
        <f t="shared" si="13"/>
        <v>0.42921013412816694</v>
      </c>
      <c r="Q72">
        <f t="shared" si="14"/>
        <v>0.26003415883859954</v>
      </c>
      <c r="R72">
        <f t="shared" si="15"/>
        <v>0.66666666666666663</v>
      </c>
    </row>
    <row r="73" spans="1:18" x14ac:dyDescent="0.3">
      <c r="A73">
        <v>1</v>
      </c>
      <c r="B73">
        <v>100</v>
      </c>
      <c r="C73">
        <v>66</v>
      </c>
      <c r="D73">
        <v>15</v>
      </c>
      <c r="E73">
        <v>56</v>
      </c>
      <c r="F73">
        <v>23.6</v>
      </c>
      <c r="G73">
        <v>0.66600000000000004</v>
      </c>
      <c r="H73">
        <v>26</v>
      </c>
      <c r="I73">
        <v>0</v>
      </c>
      <c r="K73">
        <f t="shared" si="8"/>
        <v>5.8823529411764705E-2</v>
      </c>
      <c r="L73">
        <f t="shared" si="9"/>
        <v>0.50251256281407031</v>
      </c>
      <c r="M73">
        <f t="shared" si="10"/>
        <v>0.54098360655737709</v>
      </c>
      <c r="N73">
        <f t="shared" si="11"/>
        <v>0.15151515151515152</v>
      </c>
      <c r="O73">
        <f t="shared" si="12"/>
        <v>6.6193853427895979E-2</v>
      </c>
      <c r="P73">
        <f t="shared" si="13"/>
        <v>0.35171385991058129</v>
      </c>
      <c r="Q73">
        <f t="shared" si="14"/>
        <v>0.25106746370623401</v>
      </c>
      <c r="R73">
        <f t="shared" si="15"/>
        <v>8.3333333333333329E-2</v>
      </c>
    </row>
    <row r="74" spans="1:18" x14ac:dyDescent="0.3">
      <c r="A74">
        <v>1</v>
      </c>
      <c r="B74">
        <v>87</v>
      </c>
      <c r="C74">
        <v>78</v>
      </c>
      <c r="D74">
        <v>27</v>
      </c>
      <c r="E74">
        <v>32</v>
      </c>
      <c r="F74">
        <v>34.6</v>
      </c>
      <c r="G74">
        <v>0.10100000000000001</v>
      </c>
      <c r="H74">
        <v>22</v>
      </c>
      <c r="I74">
        <v>0</v>
      </c>
      <c r="K74">
        <f t="shared" si="8"/>
        <v>5.8823529411764705E-2</v>
      </c>
      <c r="L74">
        <f t="shared" si="9"/>
        <v>0.43718592964824121</v>
      </c>
      <c r="M74">
        <f t="shared" si="10"/>
        <v>0.63934426229508201</v>
      </c>
      <c r="N74">
        <f t="shared" si="11"/>
        <v>0.27272727272727271</v>
      </c>
      <c r="O74">
        <f t="shared" si="12"/>
        <v>3.7825059101654845E-2</v>
      </c>
      <c r="P74">
        <f t="shared" si="13"/>
        <v>0.51564828614008951</v>
      </c>
      <c r="Q74">
        <f t="shared" si="14"/>
        <v>9.8206660973526923E-3</v>
      </c>
      <c r="R74">
        <f t="shared" si="15"/>
        <v>1.6666666666666666E-2</v>
      </c>
    </row>
    <row r="75" spans="1:18" x14ac:dyDescent="0.3">
      <c r="A75">
        <v>0</v>
      </c>
      <c r="B75">
        <v>101</v>
      </c>
      <c r="C75">
        <v>76</v>
      </c>
      <c r="D75">
        <v>0</v>
      </c>
      <c r="E75">
        <v>0</v>
      </c>
      <c r="F75">
        <v>35.700000000000003</v>
      </c>
      <c r="G75">
        <v>0.19800000000000001</v>
      </c>
      <c r="H75">
        <v>26</v>
      </c>
      <c r="I75">
        <v>0</v>
      </c>
      <c r="K75">
        <f t="shared" si="8"/>
        <v>0</v>
      </c>
      <c r="L75">
        <f t="shared" si="9"/>
        <v>0.50753768844221103</v>
      </c>
      <c r="M75">
        <f t="shared" si="10"/>
        <v>0.62295081967213117</v>
      </c>
      <c r="N75">
        <f t="shared" si="11"/>
        <v>0</v>
      </c>
      <c r="O75">
        <f t="shared" si="12"/>
        <v>0</v>
      </c>
      <c r="P75">
        <f t="shared" si="13"/>
        <v>0.53204172876304034</v>
      </c>
      <c r="Q75">
        <f t="shared" si="14"/>
        <v>5.1238257899231428E-2</v>
      </c>
      <c r="R75">
        <f t="shared" si="15"/>
        <v>8.3333333333333329E-2</v>
      </c>
    </row>
    <row r="76" spans="1:18" x14ac:dyDescent="0.3">
      <c r="A76">
        <v>3</v>
      </c>
      <c r="B76">
        <v>162</v>
      </c>
      <c r="C76">
        <v>52</v>
      </c>
      <c r="D76">
        <v>38</v>
      </c>
      <c r="E76">
        <v>0</v>
      </c>
      <c r="F76">
        <v>37.200000000000003</v>
      </c>
      <c r="G76">
        <v>0.65200000000000002</v>
      </c>
      <c r="H76">
        <v>24</v>
      </c>
      <c r="I76">
        <v>1</v>
      </c>
      <c r="K76">
        <f t="shared" si="8"/>
        <v>0.17647058823529413</v>
      </c>
      <c r="L76">
        <f t="shared" si="9"/>
        <v>0.81407035175879394</v>
      </c>
      <c r="M76">
        <f t="shared" si="10"/>
        <v>0.42622950819672129</v>
      </c>
      <c r="N76">
        <f t="shared" si="11"/>
        <v>0.38383838383838381</v>
      </c>
      <c r="O76">
        <f t="shared" si="12"/>
        <v>0</v>
      </c>
      <c r="P76">
        <f t="shared" si="13"/>
        <v>0.55439642324888239</v>
      </c>
      <c r="Q76">
        <f t="shared" si="14"/>
        <v>0.24508966695132367</v>
      </c>
      <c r="R76">
        <f t="shared" si="15"/>
        <v>0.05</v>
      </c>
    </row>
    <row r="77" spans="1:18" x14ac:dyDescent="0.3">
      <c r="A77">
        <v>4</v>
      </c>
      <c r="B77">
        <v>197</v>
      </c>
      <c r="C77">
        <v>70</v>
      </c>
      <c r="D77">
        <v>39</v>
      </c>
      <c r="E77">
        <v>744</v>
      </c>
      <c r="F77">
        <v>36.700000000000003</v>
      </c>
      <c r="G77">
        <v>2.3290000000000002</v>
      </c>
      <c r="H77">
        <v>31</v>
      </c>
      <c r="I77">
        <v>0</v>
      </c>
      <c r="K77">
        <f t="shared" si="8"/>
        <v>0.23529411764705882</v>
      </c>
      <c r="L77">
        <f t="shared" si="9"/>
        <v>0.98994974874371855</v>
      </c>
      <c r="M77">
        <f t="shared" si="10"/>
        <v>0.57377049180327866</v>
      </c>
      <c r="N77">
        <f t="shared" si="11"/>
        <v>0.39393939393939392</v>
      </c>
      <c r="O77">
        <f t="shared" si="12"/>
        <v>0.87943262411347523</v>
      </c>
      <c r="P77">
        <f t="shared" si="13"/>
        <v>0.5469448584202683</v>
      </c>
      <c r="Q77">
        <f t="shared" si="14"/>
        <v>0.9611443210930829</v>
      </c>
      <c r="R77">
        <f t="shared" si="15"/>
        <v>0.16666666666666666</v>
      </c>
    </row>
    <row r="78" spans="1:18" x14ac:dyDescent="0.3">
      <c r="A78">
        <v>0</v>
      </c>
      <c r="B78">
        <v>117</v>
      </c>
      <c r="C78">
        <v>80</v>
      </c>
      <c r="D78">
        <v>31</v>
      </c>
      <c r="E78">
        <v>53</v>
      </c>
      <c r="F78">
        <v>45.2</v>
      </c>
      <c r="G78">
        <v>8.8999999999999996E-2</v>
      </c>
      <c r="H78">
        <v>24</v>
      </c>
      <c r="I78">
        <v>0</v>
      </c>
      <c r="K78">
        <f t="shared" si="8"/>
        <v>0</v>
      </c>
      <c r="L78">
        <f t="shared" si="9"/>
        <v>0.5879396984924623</v>
      </c>
      <c r="M78">
        <f t="shared" si="10"/>
        <v>0.65573770491803274</v>
      </c>
      <c r="N78">
        <f t="shared" si="11"/>
        <v>0.31313131313131315</v>
      </c>
      <c r="O78">
        <f t="shared" si="12"/>
        <v>6.2647754137115833E-2</v>
      </c>
      <c r="P78">
        <f t="shared" si="13"/>
        <v>0.67362146050670646</v>
      </c>
      <c r="Q78">
        <f t="shared" si="14"/>
        <v>4.6968403074295452E-3</v>
      </c>
      <c r="R78">
        <f t="shared" si="15"/>
        <v>0.05</v>
      </c>
    </row>
    <row r="79" spans="1:18" x14ac:dyDescent="0.3">
      <c r="A79">
        <v>4</v>
      </c>
      <c r="B79">
        <v>142</v>
      </c>
      <c r="C79">
        <v>86</v>
      </c>
      <c r="D79">
        <v>0</v>
      </c>
      <c r="E79">
        <v>0</v>
      </c>
      <c r="F79">
        <v>44</v>
      </c>
      <c r="G79">
        <v>0.64500000000000002</v>
      </c>
      <c r="H79">
        <v>22</v>
      </c>
      <c r="I79">
        <v>1</v>
      </c>
      <c r="K79">
        <f t="shared" si="8"/>
        <v>0.23529411764705882</v>
      </c>
      <c r="L79">
        <f t="shared" si="9"/>
        <v>0.71356783919597988</v>
      </c>
      <c r="M79">
        <f t="shared" si="10"/>
        <v>0.70491803278688525</v>
      </c>
      <c r="N79">
        <f t="shared" si="11"/>
        <v>0</v>
      </c>
      <c r="O79">
        <f t="shared" si="12"/>
        <v>0</v>
      </c>
      <c r="P79">
        <f t="shared" si="13"/>
        <v>0.65573770491803285</v>
      </c>
      <c r="Q79">
        <f t="shared" si="14"/>
        <v>0.2421007685738685</v>
      </c>
      <c r="R79">
        <f t="shared" si="15"/>
        <v>1.6666666666666666E-2</v>
      </c>
    </row>
    <row r="80" spans="1:18" x14ac:dyDescent="0.3">
      <c r="A80">
        <v>6</v>
      </c>
      <c r="B80">
        <v>134</v>
      </c>
      <c r="C80">
        <v>80</v>
      </c>
      <c r="D80">
        <v>37</v>
      </c>
      <c r="E80">
        <v>370</v>
      </c>
      <c r="F80">
        <v>46.2</v>
      </c>
      <c r="G80">
        <v>0.23799999999999999</v>
      </c>
      <c r="H80">
        <v>46</v>
      </c>
      <c r="I80">
        <v>1</v>
      </c>
      <c r="K80">
        <f t="shared" si="8"/>
        <v>0.35294117647058826</v>
      </c>
      <c r="L80">
        <f t="shared" si="9"/>
        <v>0.6733668341708543</v>
      </c>
      <c r="M80">
        <f t="shared" si="10"/>
        <v>0.65573770491803274</v>
      </c>
      <c r="N80">
        <f t="shared" si="11"/>
        <v>0.37373737373737376</v>
      </c>
      <c r="O80">
        <f t="shared" si="12"/>
        <v>0.43735224586288418</v>
      </c>
      <c r="P80">
        <f t="shared" si="13"/>
        <v>0.68852459016393452</v>
      </c>
      <c r="Q80">
        <f t="shared" si="14"/>
        <v>6.8317677198975219E-2</v>
      </c>
      <c r="R80">
        <f t="shared" si="15"/>
        <v>0.41666666666666669</v>
      </c>
    </row>
    <row r="81" spans="1:18" x14ac:dyDescent="0.3">
      <c r="A81">
        <v>1</v>
      </c>
      <c r="B81">
        <v>79</v>
      </c>
      <c r="C81">
        <v>80</v>
      </c>
      <c r="D81">
        <v>25</v>
      </c>
      <c r="E81">
        <v>37</v>
      </c>
      <c r="F81">
        <v>25.4</v>
      </c>
      <c r="G81">
        <v>0.58299999999999996</v>
      </c>
      <c r="H81">
        <v>22</v>
      </c>
      <c r="I81">
        <v>0</v>
      </c>
      <c r="K81">
        <f t="shared" si="8"/>
        <v>5.8823529411764705E-2</v>
      </c>
      <c r="L81">
        <f t="shared" si="9"/>
        <v>0.39698492462311558</v>
      </c>
      <c r="M81">
        <f t="shared" si="10"/>
        <v>0.65573770491803274</v>
      </c>
      <c r="N81">
        <f t="shared" si="11"/>
        <v>0.25252525252525254</v>
      </c>
      <c r="O81">
        <f t="shared" si="12"/>
        <v>4.3735224586288417E-2</v>
      </c>
      <c r="P81">
        <f t="shared" si="13"/>
        <v>0.37853949329359166</v>
      </c>
      <c r="Q81">
        <f t="shared" si="14"/>
        <v>0.21562766865926558</v>
      </c>
      <c r="R81">
        <f t="shared" si="15"/>
        <v>1.6666666666666666E-2</v>
      </c>
    </row>
    <row r="82" spans="1:18" x14ac:dyDescent="0.3">
      <c r="A82">
        <v>4</v>
      </c>
      <c r="B82">
        <v>122</v>
      </c>
      <c r="C82">
        <v>68</v>
      </c>
      <c r="D82">
        <v>0</v>
      </c>
      <c r="E82">
        <v>0</v>
      </c>
      <c r="F82">
        <v>35</v>
      </c>
      <c r="G82">
        <v>0.39400000000000002</v>
      </c>
      <c r="H82">
        <v>29</v>
      </c>
      <c r="I82">
        <v>0</v>
      </c>
      <c r="K82">
        <f t="shared" si="8"/>
        <v>0.23529411764705882</v>
      </c>
      <c r="L82">
        <f t="shared" si="9"/>
        <v>0.61306532663316582</v>
      </c>
      <c r="M82">
        <f t="shared" si="10"/>
        <v>0.55737704918032782</v>
      </c>
      <c r="N82">
        <f t="shared" si="11"/>
        <v>0</v>
      </c>
      <c r="O82">
        <f t="shared" si="12"/>
        <v>0</v>
      </c>
      <c r="P82">
        <f t="shared" si="13"/>
        <v>0.52160953800298071</v>
      </c>
      <c r="Q82">
        <f t="shared" si="14"/>
        <v>0.1349274124679761</v>
      </c>
      <c r="R82">
        <f t="shared" si="15"/>
        <v>0.13333333333333333</v>
      </c>
    </row>
    <row r="83" spans="1:18" x14ac:dyDescent="0.3">
      <c r="A83">
        <v>3</v>
      </c>
      <c r="B83">
        <v>74</v>
      </c>
      <c r="C83">
        <v>68</v>
      </c>
      <c r="D83">
        <v>28</v>
      </c>
      <c r="E83">
        <v>45</v>
      </c>
      <c r="F83">
        <v>29.7</v>
      </c>
      <c r="G83">
        <v>0.29299999999999998</v>
      </c>
      <c r="H83">
        <v>23</v>
      </c>
      <c r="I83">
        <v>0</v>
      </c>
      <c r="K83">
        <f t="shared" si="8"/>
        <v>0.17647058823529413</v>
      </c>
      <c r="L83">
        <f t="shared" si="9"/>
        <v>0.37185929648241206</v>
      </c>
      <c r="M83">
        <f t="shared" si="10"/>
        <v>0.55737704918032782</v>
      </c>
      <c r="N83">
        <f t="shared" si="11"/>
        <v>0.28282828282828282</v>
      </c>
      <c r="O83">
        <f t="shared" si="12"/>
        <v>5.3191489361702128E-2</v>
      </c>
      <c r="P83">
        <f t="shared" si="13"/>
        <v>0.44262295081967218</v>
      </c>
      <c r="Q83">
        <f t="shared" si="14"/>
        <v>9.1801878736122958E-2</v>
      </c>
      <c r="R83">
        <f t="shared" si="15"/>
        <v>3.3333333333333333E-2</v>
      </c>
    </row>
    <row r="84" spans="1:18" x14ac:dyDescent="0.3">
      <c r="A84">
        <v>4</v>
      </c>
      <c r="B84">
        <v>171</v>
      </c>
      <c r="C84">
        <v>72</v>
      </c>
      <c r="D84">
        <v>0</v>
      </c>
      <c r="E84">
        <v>0</v>
      </c>
      <c r="F84">
        <v>43.6</v>
      </c>
      <c r="G84">
        <v>0.47899999999999998</v>
      </c>
      <c r="H84">
        <v>26</v>
      </c>
      <c r="I84">
        <v>1</v>
      </c>
      <c r="K84">
        <f t="shared" si="8"/>
        <v>0.23529411764705882</v>
      </c>
      <c r="L84">
        <f t="shared" si="9"/>
        <v>0.85929648241206025</v>
      </c>
      <c r="M84">
        <f t="shared" si="10"/>
        <v>0.5901639344262295</v>
      </c>
      <c r="N84">
        <f t="shared" si="11"/>
        <v>0</v>
      </c>
      <c r="O84">
        <f t="shared" si="12"/>
        <v>0</v>
      </c>
      <c r="P84">
        <f t="shared" si="13"/>
        <v>0.64977645305514165</v>
      </c>
      <c r="Q84">
        <f t="shared" si="14"/>
        <v>0.17122117847993165</v>
      </c>
      <c r="R84">
        <f t="shared" si="15"/>
        <v>8.3333333333333329E-2</v>
      </c>
    </row>
    <row r="85" spans="1:18" x14ac:dyDescent="0.3">
      <c r="A85">
        <v>7</v>
      </c>
      <c r="B85">
        <v>181</v>
      </c>
      <c r="C85">
        <v>84</v>
      </c>
      <c r="D85">
        <v>21</v>
      </c>
      <c r="E85">
        <v>192</v>
      </c>
      <c r="F85">
        <v>35.9</v>
      </c>
      <c r="G85">
        <v>0.58599999999999997</v>
      </c>
      <c r="H85">
        <v>51</v>
      </c>
      <c r="I85">
        <v>1</v>
      </c>
      <c r="K85">
        <f t="shared" si="8"/>
        <v>0.41176470588235292</v>
      </c>
      <c r="L85">
        <f t="shared" si="9"/>
        <v>0.90954773869346739</v>
      </c>
      <c r="M85">
        <f t="shared" si="10"/>
        <v>0.68852459016393441</v>
      </c>
      <c r="N85">
        <f t="shared" si="11"/>
        <v>0.21212121212121213</v>
      </c>
      <c r="O85">
        <f t="shared" si="12"/>
        <v>0.22695035460992907</v>
      </c>
      <c r="P85">
        <f t="shared" si="13"/>
        <v>0.53502235469448589</v>
      </c>
      <c r="Q85">
        <f t="shared" si="14"/>
        <v>0.21690862510674636</v>
      </c>
      <c r="R85">
        <f t="shared" si="15"/>
        <v>0.5</v>
      </c>
    </row>
    <row r="86" spans="1:18" x14ac:dyDescent="0.3">
      <c r="A86">
        <v>0</v>
      </c>
      <c r="B86">
        <v>179</v>
      </c>
      <c r="C86">
        <v>90</v>
      </c>
      <c r="D86">
        <v>27</v>
      </c>
      <c r="E86">
        <v>0</v>
      </c>
      <c r="F86">
        <v>44.1</v>
      </c>
      <c r="G86">
        <v>0.68600000000000005</v>
      </c>
      <c r="H86">
        <v>23</v>
      </c>
      <c r="I86">
        <v>1</v>
      </c>
      <c r="K86">
        <f t="shared" si="8"/>
        <v>0</v>
      </c>
      <c r="L86">
        <f t="shared" si="9"/>
        <v>0.89949748743718594</v>
      </c>
      <c r="M86">
        <f t="shared" si="10"/>
        <v>0.73770491803278693</v>
      </c>
      <c r="N86">
        <f t="shared" si="11"/>
        <v>0.27272727272727271</v>
      </c>
      <c r="O86">
        <f t="shared" si="12"/>
        <v>0</v>
      </c>
      <c r="P86">
        <f t="shared" si="13"/>
        <v>0.65722801788375562</v>
      </c>
      <c r="Q86">
        <f t="shared" si="14"/>
        <v>0.25960717335610595</v>
      </c>
      <c r="R86">
        <f t="shared" si="15"/>
        <v>3.3333333333333333E-2</v>
      </c>
    </row>
    <row r="87" spans="1:18" x14ac:dyDescent="0.3">
      <c r="A87">
        <v>9</v>
      </c>
      <c r="B87">
        <v>164</v>
      </c>
      <c r="C87">
        <v>84</v>
      </c>
      <c r="D87">
        <v>21</v>
      </c>
      <c r="E87">
        <v>0</v>
      </c>
      <c r="F87">
        <v>30.8</v>
      </c>
      <c r="G87">
        <v>0.83099999999999996</v>
      </c>
      <c r="H87">
        <v>32</v>
      </c>
      <c r="I87">
        <v>1</v>
      </c>
      <c r="K87">
        <f t="shared" si="8"/>
        <v>0.52941176470588236</v>
      </c>
      <c r="L87">
        <f t="shared" si="9"/>
        <v>0.82412060301507539</v>
      </c>
      <c r="M87">
        <f t="shared" si="10"/>
        <v>0.68852459016393441</v>
      </c>
      <c r="N87">
        <f t="shared" si="11"/>
        <v>0.21212121212121213</v>
      </c>
      <c r="O87">
        <f t="shared" si="12"/>
        <v>0</v>
      </c>
      <c r="P87">
        <f t="shared" si="13"/>
        <v>0.45901639344262302</v>
      </c>
      <c r="Q87">
        <f t="shared" si="14"/>
        <v>0.32152006831767721</v>
      </c>
      <c r="R87">
        <f t="shared" si="15"/>
        <v>0.18333333333333332</v>
      </c>
    </row>
    <row r="88" spans="1:18" x14ac:dyDescent="0.3">
      <c r="A88">
        <v>0</v>
      </c>
      <c r="B88">
        <v>104</v>
      </c>
      <c r="C88">
        <v>76</v>
      </c>
      <c r="D88">
        <v>0</v>
      </c>
      <c r="E88">
        <v>0</v>
      </c>
      <c r="F88">
        <v>18.399999999999999</v>
      </c>
      <c r="G88">
        <v>0.58199999999999996</v>
      </c>
      <c r="H88">
        <v>27</v>
      </c>
      <c r="I88">
        <v>0</v>
      </c>
      <c r="K88">
        <f t="shared" si="8"/>
        <v>0</v>
      </c>
      <c r="L88">
        <f t="shared" si="9"/>
        <v>0.52261306532663321</v>
      </c>
      <c r="M88">
        <f t="shared" si="10"/>
        <v>0.62295081967213117</v>
      </c>
      <c r="N88">
        <f t="shared" si="11"/>
        <v>0</v>
      </c>
      <c r="O88">
        <f t="shared" si="12"/>
        <v>0</v>
      </c>
      <c r="P88">
        <f t="shared" si="13"/>
        <v>0.27421758569299554</v>
      </c>
      <c r="Q88">
        <f t="shared" si="14"/>
        <v>0.21520068317677199</v>
      </c>
      <c r="R88">
        <f t="shared" si="15"/>
        <v>0.1</v>
      </c>
    </row>
    <row r="89" spans="1:18" x14ac:dyDescent="0.3">
      <c r="A89">
        <v>1</v>
      </c>
      <c r="B89">
        <v>91</v>
      </c>
      <c r="C89">
        <v>64</v>
      </c>
      <c r="D89">
        <v>24</v>
      </c>
      <c r="E89">
        <v>0</v>
      </c>
      <c r="F89">
        <v>29.2</v>
      </c>
      <c r="G89">
        <v>0.192</v>
      </c>
      <c r="H89">
        <v>21</v>
      </c>
      <c r="I89">
        <v>0</v>
      </c>
      <c r="K89">
        <f t="shared" si="8"/>
        <v>5.8823529411764705E-2</v>
      </c>
      <c r="L89">
        <f t="shared" si="9"/>
        <v>0.457286432160804</v>
      </c>
      <c r="M89">
        <f t="shared" si="10"/>
        <v>0.52459016393442626</v>
      </c>
      <c r="N89">
        <f t="shared" si="11"/>
        <v>0.24242424242424243</v>
      </c>
      <c r="O89">
        <f t="shared" si="12"/>
        <v>0</v>
      </c>
      <c r="P89">
        <f t="shared" si="13"/>
        <v>0.43517138599105815</v>
      </c>
      <c r="Q89">
        <f t="shared" si="14"/>
        <v>4.8676345004269858E-2</v>
      </c>
      <c r="R89">
        <f t="shared" si="15"/>
        <v>0</v>
      </c>
    </row>
    <row r="90" spans="1:18" x14ac:dyDescent="0.3">
      <c r="A90">
        <v>4</v>
      </c>
      <c r="B90">
        <v>91</v>
      </c>
      <c r="C90">
        <v>70</v>
      </c>
      <c r="D90">
        <v>32</v>
      </c>
      <c r="E90">
        <v>88</v>
      </c>
      <c r="F90">
        <v>33.1</v>
      </c>
      <c r="G90">
        <v>0.44600000000000001</v>
      </c>
      <c r="H90">
        <v>22</v>
      </c>
      <c r="I90">
        <v>0</v>
      </c>
      <c r="K90">
        <f t="shared" si="8"/>
        <v>0.23529411764705882</v>
      </c>
      <c r="L90">
        <f t="shared" si="9"/>
        <v>0.457286432160804</v>
      </c>
      <c r="M90">
        <f t="shared" si="10"/>
        <v>0.57377049180327866</v>
      </c>
      <c r="N90">
        <f t="shared" si="11"/>
        <v>0.32323232323232326</v>
      </c>
      <c r="O90">
        <f t="shared" si="12"/>
        <v>0.10401891252955082</v>
      </c>
      <c r="P90">
        <f t="shared" si="13"/>
        <v>0.49329359165424747</v>
      </c>
      <c r="Q90">
        <f t="shared" si="14"/>
        <v>0.15713065755764302</v>
      </c>
      <c r="R90">
        <f t="shared" si="15"/>
        <v>1.6666666666666666E-2</v>
      </c>
    </row>
    <row r="91" spans="1:18" x14ac:dyDescent="0.3">
      <c r="A91">
        <v>3</v>
      </c>
      <c r="B91">
        <v>139</v>
      </c>
      <c r="C91">
        <v>54</v>
      </c>
      <c r="D91">
        <v>0</v>
      </c>
      <c r="E91">
        <v>0</v>
      </c>
      <c r="F91">
        <v>25.6</v>
      </c>
      <c r="G91">
        <v>0.40200000000000002</v>
      </c>
      <c r="H91">
        <v>22</v>
      </c>
      <c r="I91">
        <v>1</v>
      </c>
      <c r="K91">
        <f t="shared" si="8"/>
        <v>0.17647058823529413</v>
      </c>
      <c r="L91">
        <f t="shared" si="9"/>
        <v>0.69849246231155782</v>
      </c>
      <c r="M91">
        <f t="shared" si="10"/>
        <v>0.44262295081967212</v>
      </c>
      <c r="N91">
        <f t="shared" si="11"/>
        <v>0</v>
      </c>
      <c r="O91">
        <f t="shared" si="12"/>
        <v>0</v>
      </c>
      <c r="P91">
        <f t="shared" si="13"/>
        <v>0.38152011922503731</v>
      </c>
      <c r="Q91">
        <f t="shared" si="14"/>
        <v>0.13834329632792486</v>
      </c>
      <c r="R91">
        <f t="shared" si="15"/>
        <v>1.6666666666666666E-2</v>
      </c>
    </row>
    <row r="92" spans="1:18" x14ac:dyDescent="0.3">
      <c r="A92">
        <v>6</v>
      </c>
      <c r="B92">
        <v>119</v>
      </c>
      <c r="C92">
        <v>50</v>
      </c>
      <c r="D92">
        <v>22</v>
      </c>
      <c r="E92">
        <v>176</v>
      </c>
      <c r="F92">
        <v>27.1</v>
      </c>
      <c r="G92">
        <v>1.3180000000000001</v>
      </c>
      <c r="H92">
        <v>33</v>
      </c>
      <c r="I92">
        <v>1</v>
      </c>
      <c r="K92">
        <f t="shared" si="8"/>
        <v>0.35294117647058826</v>
      </c>
      <c r="L92">
        <f t="shared" si="9"/>
        <v>0.59798994974874375</v>
      </c>
      <c r="M92">
        <f t="shared" si="10"/>
        <v>0.4098360655737705</v>
      </c>
      <c r="N92">
        <f t="shared" si="11"/>
        <v>0.22222222222222221</v>
      </c>
      <c r="O92">
        <f t="shared" si="12"/>
        <v>0.20803782505910165</v>
      </c>
      <c r="P92">
        <f t="shared" si="13"/>
        <v>0.40387481371087935</v>
      </c>
      <c r="Q92">
        <f t="shared" si="14"/>
        <v>0.52946199829205809</v>
      </c>
      <c r="R92">
        <f t="shared" si="15"/>
        <v>0.2</v>
      </c>
    </row>
    <row r="93" spans="1:18" x14ac:dyDescent="0.3">
      <c r="A93">
        <v>2</v>
      </c>
      <c r="B93">
        <v>146</v>
      </c>
      <c r="C93">
        <v>76</v>
      </c>
      <c r="D93">
        <v>35</v>
      </c>
      <c r="E93">
        <v>194</v>
      </c>
      <c r="F93">
        <v>38.200000000000003</v>
      </c>
      <c r="G93">
        <v>0.32900000000000001</v>
      </c>
      <c r="H93">
        <v>29</v>
      </c>
      <c r="I93">
        <v>0</v>
      </c>
      <c r="K93">
        <f t="shared" si="8"/>
        <v>0.11764705882352941</v>
      </c>
      <c r="L93">
        <f t="shared" si="9"/>
        <v>0.73366834170854267</v>
      </c>
      <c r="M93">
        <f t="shared" si="10"/>
        <v>0.62295081967213117</v>
      </c>
      <c r="N93">
        <f t="shared" si="11"/>
        <v>0.35353535353535354</v>
      </c>
      <c r="O93">
        <f t="shared" si="12"/>
        <v>0.2293144208037825</v>
      </c>
      <c r="P93">
        <f t="shared" si="13"/>
        <v>0.56929955290611034</v>
      </c>
      <c r="Q93">
        <f t="shared" si="14"/>
        <v>0.10717335610589239</v>
      </c>
      <c r="R93">
        <f t="shared" si="15"/>
        <v>0.13333333333333333</v>
      </c>
    </row>
    <row r="94" spans="1:18" x14ac:dyDescent="0.3">
      <c r="A94">
        <v>9</v>
      </c>
      <c r="B94">
        <v>184</v>
      </c>
      <c r="C94">
        <v>85</v>
      </c>
      <c r="D94">
        <v>15</v>
      </c>
      <c r="E94">
        <v>0</v>
      </c>
      <c r="F94">
        <v>30</v>
      </c>
      <c r="G94">
        <v>1.2130000000000001</v>
      </c>
      <c r="H94">
        <v>49</v>
      </c>
      <c r="I94">
        <v>1</v>
      </c>
      <c r="K94">
        <f t="shared" si="8"/>
        <v>0.52941176470588236</v>
      </c>
      <c r="L94">
        <f t="shared" si="9"/>
        <v>0.92462311557788945</v>
      </c>
      <c r="M94">
        <f t="shared" si="10"/>
        <v>0.69672131147540983</v>
      </c>
      <c r="N94">
        <f t="shared" si="11"/>
        <v>0.15151515151515152</v>
      </c>
      <c r="O94">
        <f t="shared" si="12"/>
        <v>0</v>
      </c>
      <c r="P94">
        <f t="shared" si="13"/>
        <v>0.44709388971684055</v>
      </c>
      <c r="Q94">
        <f t="shared" si="14"/>
        <v>0.48462852263023054</v>
      </c>
      <c r="R94">
        <f t="shared" si="15"/>
        <v>0.46666666666666667</v>
      </c>
    </row>
    <row r="95" spans="1:18" x14ac:dyDescent="0.3">
      <c r="A95">
        <v>10</v>
      </c>
      <c r="B95">
        <v>122</v>
      </c>
      <c r="C95">
        <v>68</v>
      </c>
      <c r="D95">
        <v>0</v>
      </c>
      <c r="E95">
        <v>0</v>
      </c>
      <c r="F95">
        <v>31.2</v>
      </c>
      <c r="G95">
        <v>0.25800000000000001</v>
      </c>
      <c r="H95">
        <v>41</v>
      </c>
      <c r="I95">
        <v>0</v>
      </c>
      <c r="K95">
        <f t="shared" si="8"/>
        <v>0.58823529411764708</v>
      </c>
      <c r="L95">
        <f t="shared" si="9"/>
        <v>0.61306532663316582</v>
      </c>
      <c r="M95">
        <f t="shared" si="10"/>
        <v>0.55737704918032782</v>
      </c>
      <c r="N95">
        <f t="shared" si="11"/>
        <v>0</v>
      </c>
      <c r="O95">
        <f t="shared" si="12"/>
        <v>0</v>
      </c>
      <c r="P95">
        <f t="shared" si="13"/>
        <v>0.46497764530551416</v>
      </c>
      <c r="Q95">
        <f t="shared" si="14"/>
        <v>7.6857386848847131E-2</v>
      </c>
      <c r="R95">
        <f t="shared" si="15"/>
        <v>0.33333333333333331</v>
      </c>
    </row>
    <row r="96" spans="1:18" x14ac:dyDescent="0.3">
      <c r="A96">
        <v>0</v>
      </c>
      <c r="B96">
        <v>165</v>
      </c>
      <c r="C96">
        <v>90</v>
      </c>
      <c r="D96">
        <v>33</v>
      </c>
      <c r="E96">
        <v>680</v>
      </c>
      <c r="F96">
        <v>52.3</v>
      </c>
      <c r="G96">
        <v>0.42699999999999999</v>
      </c>
      <c r="H96">
        <v>23</v>
      </c>
      <c r="I96">
        <v>0</v>
      </c>
      <c r="K96">
        <f t="shared" si="8"/>
        <v>0</v>
      </c>
      <c r="L96">
        <f t="shared" si="9"/>
        <v>0.82914572864321612</v>
      </c>
      <c r="M96">
        <f t="shared" si="10"/>
        <v>0.73770491803278693</v>
      </c>
      <c r="N96">
        <f t="shared" si="11"/>
        <v>0.33333333333333331</v>
      </c>
      <c r="O96">
        <f t="shared" si="12"/>
        <v>0.80378250591016553</v>
      </c>
      <c r="P96">
        <f t="shared" si="13"/>
        <v>0.77943368107302535</v>
      </c>
      <c r="Q96">
        <f t="shared" si="14"/>
        <v>0.14901793339026473</v>
      </c>
      <c r="R96">
        <f t="shared" si="15"/>
        <v>3.3333333333333333E-2</v>
      </c>
    </row>
    <row r="97" spans="1:18" x14ac:dyDescent="0.3">
      <c r="A97">
        <v>9</v>
      </c>
      <c r="B97">
        <v>124</v>
      </c>
      <c r="C97">
        <v>70</v>
      </c>
      <c r="D97">
        <v>33</v>
      </c>
      <c r="E97">
        <v>402</v>
      </c>
      <c r="F97">
        <v>35.4</v>
      </c>
      <c r="G97">
        <v>0.28199999999999997</v>
      </c>
      <c r="H97">
        <v>34</v>
      </c>
      <c r="I97">
        <v>0</v>
      </c>
      <c r="K97">
        <f t="shared" si="8"/>
        <v>0.52941176470588236</v>
      </c>
      <c r="L97">
        <f t="shared" si="9"/>
        <v>0.62311557788944727</v>
      </c>
      <c r="M97">
        <f t="shared" si="10"/>
        <v>0.57377049180327866</v>
      </c>
      <c r="N97">
        <f t="shared" si="11"/>
        <v>0.33333333333333331</v>
      </c>
      <c r="O97">
        <f t="shared" si="12"/>
        <v>0.47517730496453903</v>
      </c>
      <c r="P97">
        <f t="shared" si="13"/>
        <v>0.5275707898658718</v>
      </c>
      <c r="Q97">
        <f t="shared" si="14"/>
        <v>8.710503842869341E-2</v>
      </c>
      <c r="R97">
        <f t="shared" si="15"/>
        <v>0.21666666666666667</v>
      </c>
    </row>
    <row r="98" spans="1:18" x14ac:dyDescent="0.3">
      <c r="A98">
        <v>1</v>
      </c>
      <c r="B98">
        <v>111</v>
      </c>
      <c r="C98">
        <v>86</v>
      </c>
      <c r="D98">
        <v>19</v>
      </c>
      <c r="E98">
        <v>0</v>
      </c>
      <c r="F98">
        <v>30.1</v>
      </c>
      <c r="G98">
        <v>0.14299999999999999</v>
      </c>
      <c r="H98">
        <v>23</v>
      </c>
      <c r="I98">
        <v>0</v>
      </c>
      <c r="K98">
        <f t="shared" si="8"/>
        <v>5.8823529411764705E-2</v>
      </c>
      <c r="L98">
        <f t="shared" si="9"/>
        <v>0.55778894472361806</v>
      </c>
      <c r="M98">
        <f t="shared" si="10"/>
        <v>0.70491803278688525</v>
      </c>
      <c r="N98">
        <f t="shared" si="11"/>
        <v>0.19191919191919191</v>
      </c>
      <c r="O98">
        <f t="shared" si="12"/>
        <v>0</v>
      </c>
      <c r="P98">
        <f t="shared" si="13"/>
        <v>0.44858420268256338</v>
      </c>
      <c r="Q98">
        <f t="shared" si="14"/>
        <v>2.7754056362083682E-2</v>
      </c>
      <c r="R98">
        <f t="shared" si="15"/>
        <v>3.3333333333333333E-2</v>
      </c>
    </row>
    <row r="99" spans="1:18" x14ac:dyDescent="0.3">
      <c r="A99">
        <v>9</v>
      </c>
      <c r="B99">
        <v>106</v>
      </c>
      <c r="C99">
        <v>52</v>
      </c>
      <c r="D99">
        <v>0</v>
      </c>
      <c r="E99">
        <v>0</v>
      </c>
      <c r="F99">
        <v>31.2</v>
      </c>
      <c r="G99">
        <v>0.38</v>
      </c>
      <c r="H99">
        <v>42</v>
      </c>
      <c r="I99">
        <v>0</v>
      </c>
      <c r="K99">
        <f t="shared" si="8"/>
        <v>0.52941176470588236</v>
      </c>
      <c r="L99">
        <f t="shared" si="9"/>
        <v>0.53266331658291455</v>
      </c>
      <c r="M99">
        <f t="shared" si="10"/>
        <v>0.42622950819672129</v>
      </c>
      <c r="N99">
        <f t="shared" si="11"/>
        <v>0</v>
      </c>
      <c r="O99">
        <f t="shared" si="12"/>
        <v>0</v>
      </c>
      <c r="P99">
        <f t="shared" si="13"/>
        <v>0.46497764530551416</v>
      </c>
      <c r="Q99">
        <f t="shared" si="14"/>
        <v>0.12894961571306574</v>
      </c>
      <c r="R99">
        <f t="shared" si="15"/>
        <v>0.35</v>
      </c>
    </row>
    <row r="100" spans="1:18" x14ac:dyDescent="0.3">
      <c r="A100">
        <v>2</v>
      </c>
      <c r="B100">
        <v>129</v>
      </c>
      <c r="C100">
        <v>84</v>
      </c>
      <c r="D100">
        <v>0</v>
      </c>
      <c r="E100">
        <v>0</v>
      </c>
      <c r="F100">
        <v>28</v>
      </c>
      <c r="G100">
        <v>0.28399999999999997</v>
      </c>
      <c r="H100">
        <v>27</v>
      </c>
      <c r="I100">
        <v>0</v>
      </c>
      <c r="K100">
        <f t="shared" si="8"/>
        <v>0.11764705882352941</v>
      </c>
      <c r="L100">
        <f t="shared" si="9"/>
        <v>0.64824120603015079</v>
      </c>
      <c r="M100">
        <f t="shared" si="10"/>
        <v>0.68852459016393441</v>
      </c>
      <c r="N100">
        <f t="shared" si="11"/>
        <v>0</v>
      </c>
      <c r="O100">
        <f t="shared" si="12"/>
        <v>0</v>
      </c>
      <c r="P100">
        <f t="shared" si="13"/>
        <v>0.41728763040238454</v>
      </c>
      <c r="Q100">
        <f t="shared" si="14"/>
        <v>8.7959009393680593E-2</v>
      </c>
      <c r="R100">
        <f t="shared" si="15"/>
        <v>0.1</v>
      </c>
    </row>
    <row r="101" spans="1:18" x14ac:dyDescent="0.3">
      <c r="A101">
        <v>2</v>
      </c>
      <c r="B101">
        <v>90</v>
      </c>
      <c r="C101">
        <v>80</v>
      </c>
      <c r="D101">
        <v>14</v>
      </c>
      <c r="E101">
        <v>55</v>
      </c>
      <c r="F101">
        <v>24.4</v>
      </c>
      <c r="G101">
        <v>0.249</v>
      </c>
      <c r="H101">
        <v>24</v>
      </c>
      <c r="I101">
        <v>0</v>
      </c>
      <c r="K101">
        <f t="shared" si="8"/>
        <v>0.11764705882352941</v>
      </c>
      <c r="L101">
        <f t="shared" si="9"/>
        <v>0.45226130653266333</v>
      </c>
      <c r="M101">
        <f t="shared" si="10"/>
        <v>0.65573770491803274</v>
      </c>
      <c r="N101">
        <f t="shared" si="11"/>
        <v>0.14141414141414141</v>
      </c>
      <c r="O101">
        <f t="shared" si="12"/>
        <v>6.5011820330969264E-2</v>
      </c>
      <c r="P101">
        <f t="shared" si="13"/>
        <v>0.36363636363636365</v>
      </c>
      <c r="Q101">
        <f t="shared" si="14"/>
        <v>7.301451750640478E-2</v>
      </c>
      <c r="R101">
        <f t="shared" si="15"/>
        <v>0.05</v>
      </c>
    </row>
    <row r="102" spans="1:18" x14ac:dyDescent="0.3">
      <c r="A102">
        <v>0</v>
      </c>
      <c r="B102">
        <v>86</v>
      </c>
      <c r="C102">
        <v>68</v>
      </c>
      <c r="D102">
        <v>32</v>
      </c>
      <c r="E102">
        <v>0</v>
      </c>
      <c r="F102">
        <v>35.799999999999997</v>
      </c>
      <c r="G102">
        <v>0.23799999999999999</v>
      </c>
      <c r="H102">
        <v>25</v>
      </c>
      <c r="I102">
        <v>0</v>
      </c>
      <c r="K102">
        <f t="shared" si="8"/>
        <v>0</v>
      </c>
      <c r="L102">
        <f t="shared" si="9"/>
        <v>0.43216080402010049</v>
      </c>
      <c r="M102">
        <f t="shared" si="10"/>
        <v>0.55737704918032782</v>
      </c>
      <c r="N102">
        <f t="shared" si="11"/>
        <v>0.32323232323232326</v>
      </c>
      <c r="O102">
        <f t="shared" si="12"/>
        <v>0</v>
      </c>
      <c r="P102">
        <f t="shared" si="13"/>
        <v>0.53353204172876301</v>
      </c>
      <c r="Q102">
        <f t="shared" si="14"/>
        <v>6.8317677198975219E-2</v>
      </c>
      <c r="R102">
        <f t="shared" si="15"/>
        <v>6.6666666666666666E-2</v>
      </c>
    </row>
    <row r="103" spans="1:18" x14ac:dyDescent="0.3">
      <c r="A103">
        <v>12</v>
      </c>
      <c r="B103">
        <v>92</v>
      </c>
      <c r="C103">
        <v>62</v>
      </c>
      <c r="D103">
        <v>7</v>
      </c>
      <c r="E103">
        <v>258</v>
      </c>
      <c r="F103">
        <v>27.6</v>
      </c>
      <c r="G103">
        <v>0.92600000000000005</v>
      </c>
      <c r="H103">
        <v>44</v>
      </c>
      <c r="I103">
        <v>1</v>
      </c>
      <c r="K103">
        <f t="shared" si="8"/>
        <v>0.70588235294117652</v>
      </c>
      <c r="L103">
        <f t="shared" si="9"/>
        <v>0.46231155778894473</v>
      </c>
      <c r="M103">
        <f t="shared" si="10"/>
        <v>0.50819672131147542</v>
      </c>
      <c r="N103">
        <f t="shared" si="11"/>
        <v>7.0707070707070704E-2</v>
      </c>
      <c r="O103">
        <f t="shared" si="12"/>
        <v>0.30496453900709219</v>
      </c>
      <c r="P103">
        <f t="shared" si="13"/>
        <v>0.41132637853949333</v>
      </c>
      <c r="Q103">
        <f t="shared" si="14"/>
        <v>0.36208368915456879</v>
      </c>
      <c r="R103">
        <f t="shared" si="15"/>
        <v>0.38333333333333336</v>
      </c>
    </row>
    <row r="104" spans="1:18" x14ac:dyDescent="0.3">
      <c r="A104">
        <v>1</v>
      </c>
      <c r="B104">
        <v>113</v>
      </c>
      <c r="C104">
        <v>64</v>
      </c>
      <c r="D104">
        <v>35</v>
      </c>
      <c r="E104">
        <v>0</v>
      </c>
      <c r="F104">
        <v>33.6</v>
      </c>
      <c r="G104">
        <v>0.54300000000000004</v>
      </c>
      <c r="H104">
        <v>21</v>
      </c>
      <c r="I104">
        <v>1</v>
      </c>
      <c r="K104">
        <f t="shared" si="8"/>
        <v>5.8823529411764705E-2</v>
      </c>
      <c r="L104">
        <f t="shared" si="9"/>
        <v>0.56783919597989951</v>
      </c>
      <c r="M104">
        <f t="shared" si="10"/>
        <v>0.52459016393442626</v>
      </c>
      <c r="N104">
        <f t="shared" si="11"/>
        <v>0.35353535353535354</v>
      </c>
      <c r="O104">
        <f t="shared" si="12"/>
        <v>0</v>
      </c>
      <c r="P104">
        <f t="shared" si="13"/>
        <v>0.50074515648286144</v>
      </c>
      <c r="Q104">
        <f t="shared" si="14"/>
        <v>0.19854824935952178</v>
      </c>
      <c r="R104">
        <f t="shared" si="15"/>
        <v>0</v>
      </c>
    </row>
    <row r="105" spans="1:18" x14ac:dyDescent="0.3">
      <c r="A105">
        <v>3</v>
      </c>
      <c r="B105">
        <v>111</v>
      </c>
      <c r="C105">
        <v>56</v>
      </c>
      <c r="D105">
        <v>39</v>
      </c>
      <c r="E105">
        <v>0</v>
      </c>
      <c r="F105">
        <v>30.1</v>
      </c>
      <c r="G105">
        <v>0.55700000000000005</v>
      </c>
      <c r="H105">
        <v>30</v>
      </c>
      <c r="I105">
        <v>0</v>
      </c>
      <c r="K105">
        <f t="shared" si="8"/>
        <v>0.17647058823529413</v>
      </c>
      <c r="L105">
        <f t="shared" si="9"/>
        <v>0.55778894472361806</v>
      </c>
      <c r="M105">
        <f t="shared" si="10"/>
        <v>0.45901639344262296</v>
      </c>
      <c r="N105">
        <f t="shared" si="11"/>
        <v>0.39393939393939392</v>
      </c>
      <c r="O105">
        <f t="shared" si="12"/>
        <v>0</v>
      </c>
      <c r="P105">
        <f t="shared" si="13"/>
        <v>0.44858420268256338</v>
      </c>
      <c r="Q105">
        <f t="shared" si="14"/>
        <v>0.20452604611443212</v>
      </c>
      <c r="R105">
        <f t="shared" si="15"/>
        <v>0.15</v>
      </c>
    </row>
    <row r="106" spans="1:18" x14ac:dyDescent="0.3">
      <c r="A106">
        <v>2</v>
      </c>
      <c r="B106">
        <v>114</v>
      </c>
      <c r="C106">
        <v>68</v>
      </c>
      <c r="D106">
        <v>22</v>
      </c>
      <c r="E106">
        <v>0</v>
      </c>
      <c r="F106">
        <v>28.7</v>
      </c>
      <c r="G106">
        <v>9.1999999999999998E-2</v>
      </c>
      <c r="H106">
        <v>25</v>
      </c>
      <c r="I106">
        <v>0</v>
      </c>
      <c r="K106">
        <f t="shared" si="8"/>
        <v>0.11764705882352941</v>
      </c>
      <c r="L106">
        <f t="shared" si="9"/>
        <v>0.57286432160804024</v>
      </c>
      <c r="M106">
        <f t="shared" si="10"/>
        <v>0.55737704918032782</v>
      </c>
      <c r="N106">
        <f t="shared" si="11"/>
        <v>0.22222222222222221</v>
      </c>
      <c r="O106">
        <f t="shared" si="12"/>
        <v>0</v>
      </c>
      <c r="P106">
        <f t="shared" si="13"/>
        <v>0.42771982116244411</v>
      </c>
      <c r="Q106">
        <f t="shared" si="14"/>
        <v>5.9777967549103318E-3</v>
      </c>
      <c r="R106">
        <f t="shared" si="15"/>
        <v>6.6666666666666666E-2</v>
      </c>
    </row>
    <row r="107" spans="1:18" x14ac:dyDescent="0.3">
      <c r="A107">
        <v>1</v>
      </c>
      <c r="B107">
        <v>193</v>
      </c>
      <c r="C107">
        <v>50</v>
      </c>
      <c r="D107">
        <v>16</v>
      </c>
      <c r="E107">
        <v>375</v>
      </c>
      <c r="F107">
        <v>25.9</v>
      </c>
      <c r="G107">
        <v>0.65500000000000003</v>
      </c>
      <c r="H107">
        <v>24</v>
      </c>
      <c r="I107">
        <v>0</v>
      </c>
      <c r="K107">
        <f t="shared" si="8"/>
        <v>5.8823529411764705E-2</v>
      </c>
      <c r="L107">
        <f t="shared" si="9"/>
        <v>0.96984924623115576</v>
      </c>
      <c r="M107">
        <f t="shared" si="10"/>
        <v>0.4098360655737705</v>
      </c>
      <c r="N107">
        <f t="shared" si="11"/>
        <v>0.16161616161616163</v>
      </c>
      <c r="O107">
        <f t="shared" si="12"/>
        <v>0.4432624113475177</v>
      </c>
      <c r="P107">
        <f t="shared" si="13"/>
        <v>0.38599105812220569</v>
      </c>
      <c r="Q107">
        <f t="shared" si="14"/>
        <v>0.24637062339880447</v>
      </c>
      <c r="R107">
        <f t="shared" si="15"/>
        <v>0.05</v>
      </c>
    </row>
    <row r="108" spans="1:18" x14ac:dyDescent="0.3">
      <c r="A108">
        <v>11</v>
      </c>
      <c r="B108">
        <v>155</v>
      </c>
      <c r="C108">
        <v>76</v>
      </c>
      <c r="D108">
        <v>28</v>
      </c>
      <c r="E108">
        <v>150</v>
      </c>
      <c r="F108">
        <v>33.299999999999997</v>
      </c>
      <c r="G108">
        <v>1.353</v>
      </c>
      <c r="H108">
        <v>51</v>
      </c>
      <c r="I108">
        <v>1</v>
      </c>
      <c r="K108">
        <f t="shared" si="8"/>
        <v>0.6470588235294118</v>
      </c>
      <c r="L108">
        <f t="shared" si="9"/>
        <v>0.77889447236180909</v>
      </c>
      <c r="M108">
        <f t="shared" si="10"/>
        <v>0.62295081967213117</v>
      </c>
      <c r="N108">
        <f t="shared" si="11"/>
        <v>0.28282828282828282</v>
      </c>
      <c r="O108">
        <f t="shared" si="12"/>
        <v>0.1773049645390071</v>
      </c>
      <c r="P108">
        <f t="shared" si="13"/>
        <v>0.49627421758569301</v>
      </c>
      <c r="Q108">
        <f t="shared" si="14"/>
        <v>0.54440649017933385</v>
      </c>
      <c r="R108">
        <f t="shared" si="15"/>
        <v>0.5</v>
      </c>
    </row>
    <row r="109" spans="1:18" x14ac:dyDescent="0.3">
      <c r="A109">
        <v>3</v>
      </c>
      <c r="B109">
        <v>191</v>
      </c>
      <c r="C109">
        <v>68</v>
      </c>
      <c r="D109">
        <v>15</v>
      </c>
      <c r="E109">
        <v>130</v>
      </c>
      <c r="F109">
        <v>30.9</v>
      </c>
      <c r="G109">
        <v>0.29899999999999999</v>
      </c>
      <c r="H109">
        <v>34</v>
      </c>
      <c r="I109">
        <v>0</v>
      </c>
      <c r="K109">
        <f t="shared" si="8"/>
        <v>0.17647058823529413</v>
      </c>
      <c r="L109">
        <f t="shared" si="9"/>
        <v>0.95979899497487442</v>
      </c>
      <c r="M109">
        <f t="shared" si="10"/>
        <v>0.55737704918032782</v>
      </c>
      <c r="N109">
        <f t="shared" si="11"/>
        <v>0.15151515151515152</v>
      </c>
      <c r="O109">
        <f t="shared" si="12"/>
        <v>0.15366430260047281</v>
      </c>
      <c r="P109">
        <f t="shared" si="13"/>
        <v>0.46050670640834579</v>
      </c>
      <c r="Q109">
        <f t="shared" si="14"/>
        <v>9.4363791631084534E-2</v>
      </c>
      <c r="R109">
        <f t="shared" si="15"/>
        <v>0.21666666666666667</v>
      </c>
    </row>
    <row r="110" spans="1:18" x14ac:dyDescent="0.3">
      <c r="A110">
        <v>3</v>
      </c>
      <c r="B110">
        <v>141</v>
      </c>
      <c r="C110">
        <v>0</v>
      </c>
      <c r="D110">
        <v>0</v>
      </c>
      <c r="E110">
        <v>0</v>
      </c>
      <c r="F110">
        <v>30</v>
      </c>
      <c r="G110">
        <v>0.76100000000000001</v>
      </c>
      <c r="H110">
        <v>27</v>
      </c>
      <c r="I110">
        <v>1</v>
      </c>
      <c r="K110">
        <f t="shared" si="8"/>
        <v>0.17647058823529413</v>
      </c>
      <c r="L110">
        <f t="shared" si="9"/>
        <v>0.70854271356783916</v>
      </c>
      <c r="M110">
        <f t="shared" si="10"/>
        <v>0</v>
      </c>
      <c r="N110">
        <f t="shared" si="11"/>
        <v>0</v>
      </c>
      <c r="O110">
        <f t="shared" si="12"/>
        <v>0</v>
      </c>
      <c r="P110">
        <f t="shared" si="13"/>
        <v>0.44709388971684055</v>
      </c>
      <c r="Q110">
        <f t="shared" si="14"/>
        <v>0.29163108454312553</v>
      </c>
      <c r="R110">
        <f t="shared" si="15"/>
        <v>0.1</v>
      </c>
    </row>
    <row r="111" spans="1:18" x14ac:dyDescent="0.3">
      <c r="A111">
        <v>4</v>
      </c>
      <c r="B111">
        <v>95</v>
      </c>
      <c r="C111">
        <v>70</v>
      </c>
      <c r="D111">
        <v>32</v>
      </c>
      <c r="E111">
        <v>0</v>
      </c>
      <c r="F111">
        <v>32.1</v>
      </c>
      <c r="G111">
        <v>0.61199999999999999</v>
      </c>
      <c r="H111">
        <v>24</v>
      </c>
      <c r="I111">
        <v>0</v>
      </c>
      <c r="K111">
        <f t="shared" si="8"/>
        <v>0.23529411764705882</v>
      </c>
      <c r="L111">
        <f t="shared" si="9"/>
        <v>0.47738693467336685</v>
      </c>
      <c r="M111">
        <f t="shared" si="10"/>
        <v>0.57377049180327866</v>
      </c>
      <c r="N111">
        <f t="shared" si="11"/>
        <v>0.32323232323232326</v>
      </c>
      <c r="O111">
        <f t="shared" si="12"/>
        <v>0</v>
      </c>
      <c r="P111">
        <f t="shared" si="13"/>
        <v>0.47839046199701946</v>
      </c>
      <c r="Q111">
        <f t="shared" si="14"/>
        <v>0.22801024765157984</v>
      </c>
      <c r="R111">
        <f t="shared" si="15"/>
        <v>0.05</v>
      </c>
    </row>
    <row r="112" spans="1:18" x14ac:dyDescent="0.3">
      <c r="A112">
        <v>3</v>
      </c>
      <c r="B112">
        <v>142</v>
      </c>
      <c r="C112">
        <v>80</v>
      </c>
      <c r="D112">
        <v>15</v>
      </c>
      <c r="E112">
        <v>0</v>
      </c>
      <c r="F112">
        <v>32.4</v>
      </c>
      <c r="G112">
        <v>0.2</v>
      </c>
      <c r="H112">
        <v>63</v>
      </c>
      <c r="I112">
        <v>0</v>
      </c>
      <c r="K112">
        <f t="shared" si="8"/>
        <v>0.17647058823529413</v>
      </c>
      <c r="L112">
        <f t="shared" si="9"/>
        <v>0.71356783919597988</v>
      </c>
      <c r="M112">
        <f t="shared" si="10"/>
        <v>0.65573770491803274</v>
      </c>
      <c r="N112">
        <f t="shared" si="11"/>
        <v>0.15151515151515152</v>
      </c>
      <c r="O112">
        <f t="shared" si="12"/>
        <v>0</v>
      </c>
      <c r="P112">
        <f t="shared" si="13"/>
        <v>0.48286140089418778</v>
      </c>
      <c r="Q112">
        <f t="shared" si="14"/>
        <v>5.2092228864218618E-2</v>
      </c>
      <c r="R112">
        <f t="shared" si="15"/>
        <v>0.7</v>
      </c>
    </row>
    <row r="113" spans="1:18" x14ac:dyDescent="0.3">
      <c r="A113">
        <v>4</v>
      </c>
      <c r="B113">
        <v>123</v>
      </c>
      <c r="C113">
        <v>62</v>
      </c>
      <c r="D113">
        <v>0</v>
      </c>
      <c r="E113">
        <v>0</v>
      </c>
      <c r="F113">
        <v>32</v>
      </c>
      <c r="G113">
        <v>0.22600000000000001</v>
      </c>
      <c r="H113">
        <v>35</v>
      </c>
      <c r="I113">
        <v>1</v>
      </c>
      <c r="K113">
        <f t="shared" si="8"/>
        <v>0.23529411764705882</v>
      </c>
      <c r="L113">
        <f t="shared" si="9"/>
        <v>0.61809045226130654</v>
      </c>
      <c r="M113">
        <f t="shared" si="10"/>
        <v>0.50819672131147542</v>
      </c>
      <c r="N113">
        <f t="shared" si="11"/>
        <v>0</v>
      </c>
      <c r="O113">
        <f t="shared" si="12"/>
        <v>0</v>
      </c>
      <c r="P113">
        <f t="shared" si="13"/>
        <v>0.47690014903129663</v>
      </c>
      <c r="Q113">
        <f t="shared" si="14"/>
        <v>6.3193851409052093E-2</v>
      </c>
      <c r="R113">
        <f t="shared" si="15"/>
        <v>0.23333333333333334</v>
      </c>
    </row>
    <row r="114" spans="1:18" x14ac:dyDescent="0.3">
      <c r="A114">
        <v>5</v>
      </c>
      <c r="B114">
        <v>96</v>
      </c>
      <c r="C114">
        <v>74</v>
      </c>
      <c r="D114">
        <v>18</v>
      </c>
      <c r="E114">
        <v>67</v>
      </c>
      <c r="F114">
        <v>33.6</v>
      </c>
      <c r="G114">
        <v>0.997</v>
      </c>
      <c r="H114">
        <v>43</v>
      </c>
      <c r="I114">
        <v>0</v>
      </c>
      <c r="K114">
        <f t="shared" si="8"/>
        <v>0.29411764705882354</v>
      </c>
      <c r="L114">
        <f t="shared" si="9"/>
        <v>0.48241206030150752</v>
      </c>
      <c r="M114">
        <f t="shared" si="10"/>
        <v>0.60655737704918034</v>
      </c>
      <c r="N114">
        <f t="shared" si="11"/>
        <v>0.18181818181818182</v>
      </c>
      <c r="O114">
        <f t="shared" si="12"/>
        <v>7.9196217494089838E-2</v>
      </c>
      <c r="P114">
        <f t="shared" si="13"/>
        <v>0.50074515648286144</v>
      </c>
      <c r="Q114">
        <f t="shared" si="14"/>
        <v>0.39239965841161401</v>
      </c>
      <c r="R114">
        <f t="shared" si="15"/>
        <v>0.36666666666666664</v>
      </c>
    </row>
    <row r="115" spans="1:18" x14ac:dyDescent="0.3">
      <c r="A115">
        <v>0</v>
      </c>
      <c r="B115">
        <v>138</v>
      </c>
      <c r="C115">
        <v>0</v>
      </c>
      <c r="D115">
        <v>0</v>
      </c>
      <c r="E115">
        <v>0</v>
      </c>
      <c r="F115">
        <v>36.299999999999997</v>
      </c>
      <c r="G115">
        <v>0.93300000000000005</v>
      </c>
      <c r="H115">
        <v>25</v>
      </c>
      <c r="I115">
        <v>1</v>
      </c>
      <c r="K115">
        <f t="shared" si="8"/>
        <v>0</v>
      </c>
      <c r="L115">
        <f t="shared" si="9"/>
        <v>0.69346733668341709</v>
      </c>
      <c r="M115">
        <f t="shared" si="10"/>
        <v>0</v>
      </c>
      <c r="N115">
        <f t="shared" si="11"/>
        <v>0</v>
      </c>
      <c r="O115">
        <f t="shared" si="12"/>
        <v>0</v>
      </c>
      <c r="P115">
        <f t="shared" si="13"/>
        <v>0.54098360655737709</v>
      </c>
      <c r="Q115">
        <f t="shared" si="14"/>
        <v>0.36507258753202393</v>
      </c>
      <c r="R115">
        <f t="shared" si="15"/>
        <v>6.6666666666666666E-2</v>
      </c>
    </row>
    <row r="116" spans="1:18" x14ac:dyDescent="0.3">
      <c r="A116">
        <v>2</v>
      </c>
      <c r="B116">
        <v>128</v>
      </c>
      <c r="C116">
        <v>64</v>
      </c>
      <c r="D116">
        <v>42</v>
      </c>
      <c r="E116">
        <v>0</v>
      </c>
      <c r="F116">
        <v>40</v>
      </c>
      <c r="G116">
        <v>1.101</v>
      </c>
      <c r="H116">
        <v>24</v>
      </c>
      <c r="I116">
        <v>0</v>
      </c>
      <c r="K116">
        <f t="shared" si="8"/>
        <v>0.11764705882352941</v>
      </c>
      <c r="L116">
        <f t="shared" si="9"/>
        <v>0.64321608040201006</v>
      </c>
      <c r="M116">
        <f t="shared" si="10"/>
        <v>0.52459016393442626</v>
      </c>
      <c r="N116">
        <f t="shared" si="11"/>
        <v>0.42424242424242425</v>
      </c>
      <c r="O116">
        <f t="shared" si="12"/>
        <v>0</v>
      </c>
      <c r="P116">
        <f t="shared" si="13"/>
        <v>0.59612518628912081</v>
      </c>
      <c r="Q116">
        <f t="shared" si="14"/>
        <v>0.43680614859094785</v>
      </c>
      <c r="R116">
        <f t="shared" si="15"/>
        <v>0.05</v>
      </c>
    </row>
    <row r="117" spans="1:18" x14ac:dyDescent="0.3">
      <c r="A117">
        <v>0</v>
      </c>
      <c r="B117">
        <v>102</v>
      </c>
      <c r="C117">
        <v>52</v>
      </c>
      <c r="D117">
        <v>0</v>
      </c>
      <c r="E117">
        <v>0</v>
      </c>
      <c r="F117">
        <v>25.1</v>
      </c>
      <c r="G117">
        <v>7.8E-2</v>
      </c>
      <c r="H117">
        <v>21</v>
      </c>
      <c r="I117">
        <v>0</v>
      </c>
      <c r="K117">
        <f t="shared" si="8"/>
        <v>0</v>
      </c>
      <c r="L117">
        <f t="shared" si="9"/>
        <v>0.51256281407035176</v>
      </c>
      <c r="M117">
        <f t="shared" si="10"/>
        <v>0.42622950819672129</v>
      </c>
      <c r="N117">
        <f t="shared" si="11"/>
        <v>0</v>
      </c>
      <c r="O117">
        <f t="shared" si="12"/>
        <v>0</v>
      </c>
      <c r="P117">
        <f t="shared" si="13"/>
        <v>0.37406855439642328</v>
      </c>
      <c r="Q117">
        <f t="shared" si="14"/>
        <v>0</v>
      </c>
      <c r="R117">
        <f t="shared" si="15"/>
        <v>0</v>
      </c>
    </row>
    <row r="118" spans="1:18" x14ac:dyDescent="0.3">
      <c r="A118">
        <v>2</v>
      </c>
      <c r="B118">
        <v>146</v>
      </c>
      <c r="C118">
        <v>0</v>
      </c>
      <c r="D118">
        <v>0</v>
      </c>
      <c r="E118">
        <v>0</v>
      </c>
      <c r="F118">
        <v>27.5</v>
      </c>
      <c r="G118">
        <v>0.24</v>
      </c>
      <c r="H118">
        <v>28</v>
      </c>
      <c r="I118">
        <v>1</v>
      </c>
      <c r="K118">
        <f t="shared" si="8"/>
        <v>0.11764705882352941</v>
      </c>
      <c r="L118">
        <f t="shared" si="9"/>
        <v>0.73366834170854267</v>
      </c>
      <c r="M118">
        <f t="shared" si="10"/>
        <v>0</v>
      </c>
      <c r="N118">
        <f t="shared" si="11"/>
        <v>0</v>
      </c>
      <c r="O118">
        <f t="shared" si="12"/>
        <v>0</v>
      </c>
      <c r="P118">
        <f t="shared" si="13"/>
        <v>0.4098360655737705</v>
      </c>
      <c r="Q118">
        <f t="shared" si="14"/>
        <v>6.9171648163962415E-2</v>
      </c>
      <c r="R118">
        <f t="shared" si="15"/>
        <v>0.11666666666666667</v>
      </c>
    </row>
    <row r="119" spans="1:18" x14ac:dyDescent="0.3">
      <c r="A119">
        <v>10</v>
      </c>
      <c r="B119">
        <v>101</v>
      </c>
      <c r="C119">
        <v>86</v>
      </c>
      <c r="D119">
        <v>37</v>
      </c>
      <c r="E119">
        <v>0</v>
      </c>
      <c r="F119">
        <v>45.6</v>
      </c>
      <c r="G119">
        <v>1.1359999999999999</v>
      </c>
      <c r="H119">
        <v>38</v>
      </c>
      <c r="I119">
        <v>1</v>
      </c>
      <c r="K119">
        <f t="shared" si="8"/>
        <v>0.58823529411764708</v>
      </c>
      <c r="L119">
        <f t="shared" si="9"/>
        <v>0.50753768844221103</v>
      </c>
      <c r="M119">
        <f t="shared" si="10"/>
        <v>0.70491803278688525</v>
      </c>
      <c r="N119">
        <f t="shared" si="11"/>
        <v>0.37373737373737376</v>
      </c>
      <c r="O119">
        <f t="shared" si="12"/>
        <v>0</v>
      </c>
      <c r="P119">
        <f t="shared" si="13"/>
        <v>0.67958271236959766</v>
      </c>
      <c r="Q119">
        <f t="shared" si="14"/>
        <v>0.45175064047822366</v>
      </c>
      <c r="R119">
        <f t="shared" si="15"/>
        <v>0.28333333333333333</v>
      </c>
    </row>
    <row r="120" spans="1:18" x14ac:dyDescent="0.3">
      <c r="A120">
        <v>2</v>
      </c>
      <c r="B120">
        <v>108</v>
      </c>
      <c r="C120">
        <v>62</v>
      </c>
      <c r="D120">
        <v>32</v>
      </c>
      <c r="E120">
        <v>56</v>
      </c>
      <c r="F120">
        <v>25.2</v>
      </c>
      <c r="G120">
        <v>0.128</v>
      </c>
      <c r="H120">
        <v>21</v>
      </c>
      <c r="I120">
        <v>0</v>
      </c>
      <c r="K120">
        <f t="shared" si="8"/>
        <v>0.11764705882352941</v>
      </c>
      <c r="L120">
        <f t="shared" si="9"/>
        <v>0.542713567839196</v>
      </c>
      <c r="M120">
        <f t="shared" si="10"/>
        <v>0.50819672131147542</v>
      </c>
      <c r="N120">
        <f t="shared" si="11"/>
        <v>0.32323232323232326</v>
      </c>
      <c r="O120">
        <f t="shared" si="12"/>
        <v>6.6193853427895979E-2</v>
      </c>
      <c r="P120">
        <f t="shared" si="13"/>
        <v>0.37555886736214605</v>
      </c>
      <c r="Q120">
        <f t="shared" si="14"/>
        <v>2.1349274124679761E-2</v>
      </c>
      <c r="R120">
        <f t="shared" si="15"/>
        <v>0</v>
      </c>
    </row>
    <row r="121" spans="1:18" x14ac:dyDescent="0.3">
      <c r="A121">
        <v>3</v>
      </c>
      <c r="B121">
        <v>122</v>
      </c>
      <c r="C121">
        <v>78</v>
      </c>
      <c r="D121">
        <v>0</v>
      </c>
      <c r="E121">
        <v>0</v>
      </c>
      <c r="F121">
        <v>23</v>
      </c>
      <c r="G121">
        <v>0.254</v>
      </c>
      <c r="H121">
        <v>40</v>
      </c>
      <c r="I121">
        <v>0</v>
      </c>
      <c r="K121">
        <f t="shared" si="8"/>
        <v>0.17647058823529413</v>
      </c>
      <c r="L121">
        <f t="shared" si="9"/>
        <v>0.61306532663316582</v>
      </c>
      <c r="M121">
        <f t="shared" si="10"/>
        <v>0.63934426229508201</v>
      </c>
      <c r="N121">
        <f t="shared" si="11"/>
        <v>0</v>
      </c>
      <c r="O121">
        <f t="shared" si="12"/>
        <v>0</v>
      </c>
      <c r="P121">
        <f t="shared" si="13"/>
        <v>0.34277198211624443</v>
      </c>
      <c r="Q121">
        <f t="shared" si="14"/>
        <v>7.5149444918872751E-2</v>
      </c>
      <c r="R121">
        <f t="shared" si="15"/>
        <v>0.31666666666666665</v>
      </c>
    </row>
    <row r="122" spans="1:18" x14ac:dyDescent="0.3">
      <c r="A122">
        <v>1</v>
      </c>
      <c r="B122">
        <v>71</v>
      </c>
      <c r="C122">
        <v>78</v>
      </c>
      <c r="D122">
        <v>50</v>
      </c>
      <c r="E122">
        <v>45</v>
      </c>
      <c r="F122">
        <v>33.200000000000003</v>
      </c>
      <c r="G122">
        <v>0.42199999999999999</v>
      </c>
      <c r="H122">
        <v>21</v>
      </c>
      <c r="I122">
        <v>0</v>
      </c>
      <c r="K122">
        <f t="shared" si="8"/>
        <v>5.8823529411764705E-2</v>
      </c>
      <c r="L122">
        <f t="shared" si="9"/>
        <v>0.35678391959798994</v>
      </c>
      <c r="M122">
        <f t="shared" si="10"/>
        <v>0.63934426229508201</v>
      </c>
      <c r="N122">
        <f t="shared" si="11"/>
        <v>0.50505050505050508</v>
      </c>
      <c r="O122">
        <f t="shared" si="12"/>
        <v>5.3191489361702128E-2</v>
      </c>
      <c r="P122">
        <f t="shared" si="13"/>
        <v>0.49478390461997029</v>
      </c>
      <c r="Q122">
        <f t="shared" si="14"/>
        <v>0.14688300597779674</v>
      </c>
      <c r="R122">
        <f t="shared" si="15"/>
        <v>0</v>
      </c>
    </row>
    <row r="123" spans="1:18" x14ac:dyDescent="0.3">
      <c r="A123">
        <v>13</v>
      </c>
      <c r="B123">
        <v>106</v>
      </c>
      <c r="C123">
        <v>70</v>
      </c>
      <c r="D123">
        <v>0</v>
      </c>
      <c r="E123">
        <v>0</v>
      </c>
      <c r="F123">
        <v>34.200000000000003</v>
      </c>
      <c r="G123">
        <v>0.251</v>
      </c>
      <c r="H123">
        <v>52</v>
      </c>
      <c r="I123">
        <v>0</v>
      </c>
      <c r="K123">
        <f t="shared" si="8"/>
        <v>0.76470588235294112</v>
      </c>
      <c r="L123">
        <f t="shared" si="9"/>
        <v>0.53266331658291455</v>
      </c>
      <c r="M123">
        <f t="shared" si="10"/>
        <v>0.57377049180327866</v>
      </c>
      <c r="N123">
        <f t="shared" si="11"/>
        <v>0</v>
      </c>
      <c r="O123">
        <f t="shared" si="12"/>
        <v>0</v>
      </c>
      <c r="P123">
        <f t="shared" si="13"/>
        <v>0.5096870342771983</v>
      </c>
      <c r="Q123">
        <f t="shared" si="14"/>
        <v>7.3868488471391963E-2</v>
      </c>
      <c r="R123">
        <f t="shared" si="15"/>
        <v>0.51666666666666672</v>
      </c>
    </row>
    <row r="124" spans="1:18" x14ac:dyDescent="0.3">
      <c r="A124">
        <v>2</v>
      </c>
      <c r="B124">
        <v>100</v>
      </c>
      <c r="C124">
        <v>70</v>
      </c>
      <c r="D124">
        <v>52</v>
      </c>
      <c r="E124">
        <v>57</v>
      </c>
      <c r="F124">
        <v>40.5</v>
      </c>
      <c r="G124">
        <v>0.67700000000000005</v>
      </c>
      <c r="H124">
        <v>25</v>
      </c>
      <c r="I124">
        <v>0</v>
      </c>
      <c r="K124">
        <f t="shared" si="8"/>
        <v>0.11764705882352941</v>
      </c>
      <c r="L124">
        <f t="shared" si="9"/>
        <v>0.50251256281407031</v>
      </c>
      <c r="M124">
        <f t="shared" si="10"/>
        <v>0.57377049180327866</v>
      </c>
      <c r="N124">
        <f t="shared" si="11"/>
        <v>0.5252525252525253</v>
      </c>
      <c r="O124">
        <f t="shared" si="12"/>
        <v>6.7375886524822695E-2</v>
      </c>
      <c r="P124">
        <f t="shared" si="13"/>
        <v>0.60357675111773479</v>
      </c>
      <c r="Q124">
        <f t="shared" si="14"/>
        <v>0.25576430401366357</v>
      </c>
      <c r="R124">
        <f t="shared" si="15"/>
        <v>6.6666666666666666E-2</v>
      </c>
    </row>
    <row r="125" spans="1:18" x14ac:dyDescent="0.3">
      <c r="A125">
        <v>7</v>
      </c>
      <c r="B125">
        <v>106</v>
      </c>
      <c r="C125">
        <v>60</v>
      </c>
      <c r="D125">
        <v>24</v>
      </c>
      <c r="E125">
        <v>0</v>
      </c>
      <c r="F125">
        <v>26.5</v>
      </c>
      <c r="G125">
        <v>0.29599999999999999</v>
      </c>
      <c r="H125">
        <v>29</v>
      </c>
      <c r="I125">
        <v>1</v>
      </c>
      <c r="K125">
        <f t="shared" si="8"/>
        <v>0.41176470588235292</v>
      </c>
      <c r="L125">
        <f t="shared" si="9"/>
        <v>0.53266331658291455</v>
      </c>
      <c r="M125">
        <f t="shared" si="10"/>
        <v>0.49180327868852458</v>
      </c>
      <c r="N125">
        <f t="shared" si="11"/>
        <v>0.24242424242424243</v>
      </c>
      <c r="O125">
        <f t="shared" si="12"/>
        <v>0</v>
      </c>
      <c r="P125">
        <f t="shared" si="13"/>
        <v>0.39493293591654249</v>
      </c>
      <c r="Q125">
        <f t="shared" si="14"/>
        <v>9.3082835183603746E-2</v>
      </c>
      <c r="R125">
        <f t="shared" si="15"/>
        <v>0.13333333333333333</v>
      </c>
    </row>
    <row r="126" spans="1:18" x14ac:dyDescent="0.3">
      <c r="A126">
        <v>0</v>
      </c>
      <c r="B126">
        <v>104</v>
      </c>
      <c r="C126">
        <v>64</v>
      </c>
      <c r="D126">
        <v>23</v>
      </c>
      <c r="E126">
        <v>116</v>
      </c>
      <c r="F126">
        <v>27.8</v>
      </c>
      <c r="G126">
        <v>0.45400000000000001</v>
      </c>
      <c r="H126">
        <v>23</v>
      </c>
      <c r="I126">
        <v>0</v>
      </c>
      <c r="K126">
        <f t="shared" si="8"/>
        <v>0</v>
      </c>
      <c r="L126">
        <f t="shared" si="9"/>
        <v>0.52261306532663321</v>
      </c>
      <c r="M126">
        <f t="shared" si="10"/>
        <v>0.52459016393442626</v>
      </c>
      <c r="N126">
        <f t="shared" si="11"/>
        <v>0.23232323232323232</v>
      </c>
      <c r="O126">
        <f t="shared" si="12"/>
        <v>0.13711583924349882</v>
      </c>
      <c r="P126">
        <f t="shared" si="13"/>
        <v>0.41430700447093893</v>
      </c>
      <c r="Q126">
        <f t="shared" si="14"/>
        <v>0.16054654141759181</v>
      </c>
      <c r="R126">
        <f t="shared" si="15"/>
        <v>3.3333333333333333E-2</v>
      </c>
    </row>
    <row r="127" spans="1:18" x14ac:dyDescent="0.3">
      <c r="A127">
        <v>5</v>
      </c>
      <c r="B127">
        <v>114</v>
      </c>
      <c r="C127">
        <v>74</v>
      </c>
      <c r="D127">
        <v>0</v>
      </c>
      <c r="E127">
        <v>0</v>
      </c>
      <c r="F127">
        <v>24.9</v>
      </c>
      <c r="G127">
        <v>0.74399999999999999</v>
      </c>
      <c r="H127">
        <v>57</v>
      </c>
      <c r="I127">
        <v>0</v>
      </c>
      <c r="K127">
        <f t="shared" si="8"/>
        <v>0.29411764705882354</v>
      </c>
      <c r="L127">
        <f t="shared" si="9"/>
        <v>0.57286432160804024</v>
      </c>
      <c r="M127">
        <f t="shared" si="10"/>
        <v>0.60655737704918034</v>
      </c>
      <c r="N127">
        <f t="shared" si="11"/>
        <v>0</v>
      </c>
      <c r="O127">
        <f t="shared" si="12"/>
        <v>0</v>
      </c>
      <c r="P127">
        <f t="shared" si="13"/>
        <v>0.37108792846497768</v>
      </c>
      <c r="Q127">
        <f t="shared" si="14"/>
        <v>0.28437233134073442</v>
      </c>
      <c r="R127">
        <f t="shared" si="15"/>
        <v>0.6</v>
      </c>
    </row>
    <row r="128" spans="1:18" x14ac:dyDescent="0.3">
      <c r="A128">
        <v>2</v>
      </c>
      <c r="B128">
        <v>108</v>
      </c>
      <c r="C128">
        <v>62</v>
      </c>
      <c r="D128">
        <v>10</v>
      </c>
      <c r="E128">
        <v>278</v>
      </c>
      <c r="F128">
        <v>25.3</v>
      </c>
      <c r="G128">
        <v>0.88100000000000001</v>
      </c>
      <c r="H128">
        <v>22</v>
      </c>
      <c r="I128">
        <v>0</v>
      </c>
      <c r="K128">
        <f t="shared" si="8"/>
        <v>0.11764705882352941</v>
      </c>
      <c r="L128">
        <f t="shared" si="9"/>
        <v>0.542713567839196</v>
      </c>
      <c r="M128">
        <f t="shared" si="10"/>
        <v>0.50819672131147542</v>
      </c>
      <c r="N128">
        <f t="shared" si="11"/>
        <v>0.10101010101010101</v>
      </c>
      <c r="O128">
        <f t="shared" si="12"/>
        <v>0.32860520094562645</v>
      </c>
      <c r="P128">
        <f t="shared" si="13"/>
        <v>0.37704918032786888</v>
      </c>
      <c r="Q128">
        <f t="shared" si="14"/>
        <v>0.34286934244235695</v>
      </c>
      <c r="R128">
        <f t="shared" si="15"/>
        <v>1.6666666666666666E-2</v>
      </c>
    </row>
    <row r="129" spans="1:18" x14ac:dyDescent="0.3">
      <c r="A129">
        <v>0</v>
      </c>
      <c r="B129">
        <v>146</v>
      </c>
      <c r="C129">
        <v>70</v>
      </c>
      <c r="D129">
        <v>0</v>
      </c>
      <c r="E129">
        <v>0</v>
      </c>
      <c r="F129">
        <v>37.9</v>
      </c>
      <c r="G129">
        <v>0.33400000000000002</v>
      </c>
      <c r="H129">
        <v>28</v>
      </c>
      <c r="I129">
        <v>1</v>
      </c>
      <c r="K129">
        <f t="shared" si="8"/>
        <v>0</v>
      </c>
      <c r="L129">
        <f t="shared" si="9"/>
        <v>0.73366834170854267</v>
      </c>
      <c r="M129">
        <f t="shared" si="10"/>
        <v>0.57377049180327866</v>
      </c>
      <c r="N129">
        <f t="shared" si="11"/>
        <v>0</v>
      </c>
      <c r="O129">
        <f t="shared" si="12"/>
        <v>0</v>
      </c>
      <c r="P129">
        <f t="shared" si="13"/>
        <v>0.56482861400894191</v>
      </c>
      <c r="Q129">
        <f t="shared" si="14"/>
        <v>0.10930828351836037</v>
      </c>
      <c r="R129">
        <f t="shared" si="15"/>
        <v>0.11666666666666667</v>
      </c>
    </row>
    <row r="130" spans="1:18" x14ac:dyDescent="0.3">
      <c r="A130">
        <v>10</v>
      </c>
      <c r="B130">
        <v>129</v>
      </c>
      <c r="C130">
        <v>76</v>
      </c>
      <c r="D130">
        <v>28</v>
      </c>
      <c r="E130">
        <v>122</v>
      </c>
      <c r="F130">
        <v>35.9</v>
      </c>
      <c r="G130">
        <v>0.28000000000000003</v>
      </c>
      <c r="H130">
        <v>39</v>
      </c>
      <c r="I130">
        <v>0</v>
      </c>
      <c r="K130">
        <f t="shared" si="8"/>
        <v>0.58823529411764708</v>
      </c>
      <c r="L130">
        <f t="shared" si="9"/>
        <v>0.64824120603015079</v>
      </c>
      <c r="M130">
        <f t="shared" si="10"/>
        <v>0.62295081967213117</v>
      </c>
      <c r="N130">
        <f t="shared" si="11"/>
        <v>0.28282828282828282</v>
      </c>
      <c r="O130">
        <f t="shared" si="12"/>
        <v>0.14420803782505912</v>
      </c>
      <c r="P130">
        <f t="shared" si="13"/>
        <v>0.53502235469448589</v>
      </c>
      <c r="Q130">
        <f t="shared" si="14"/>
        <v>8.6251067463706241E-2</v>
      </c>
      <c r="R130">
        <f t="shared" si="15"/>
        <v>0.3</v>
      </c>
    </row>
    <row r="131" spans="1:18" x14ac:dyDescent="0.3">
      <c r="A131">
        <v>7</v>
      </c>
      <c r="B131">
        <v>133</v>
      </c>
      <c r="C131">
        <v>88</v>
      </c>
      <c r="D131">
        <v>15</v>
      </c>
      <c r="E131">
        <v>155</v>
      </c>
      <c r="F131">
        <v>32.4</v>
      </c>
      <c r="G131">
        <v>0.26200000000000001</v>
      </c>
      <c r="H131">
        <v>37</v>
      </c>
      <c r="I131">
        <v>0</v>
      </c>
      <c r="K131">
        <f t="shared" ref="K131:K194" si="16">(A131-0)/(17-0)</f>
        <v>0.41176470588235292</v>
      </c>
      <c r="L131">
        <f t="shared" ref="L131:L194" si="17">(B131-0)/(199-0)</f>
        <v>0.66834170854271358</v>
      </c>
      <c r="M131">
        <f t="shared" ref="M131:M194" si="18">(C131-0)/(122-0)</f>
        <v>0.72131147540983609</v>
      </c>
      <c r="N131">
        <f t="shared" ref="N131:N194" si="19">(D131-0)/(99-0)</f>
        <v>0.15151515151515152</v>
      </c>
      <c r="O131">
        <f t="shared" ref="O131:O194" si="20">(E131-0)/(846-0)</f>
        <v>0.18321513002364065</v>
      </c>
      <c r="P131">
        <f t="shared" ref="P131:P194" si="21">(F131-0)/(67.1-0)</f>
        <v>0.48286140089418778</v>
      </c>
      <c r="Q131">
        <f t="shared" ref="Q131:Q194" si="22">(G131-0.078)/(2.42-0.078)</f>
        <v>7.8565328778821511E-2</v>
      </c>
      <c r="R131">
        <f t="shared" ref="R131:R194" si="23">(H131-21)/(81-21)</f>
        <v>0.26666666666666666</v>
      </c>
    </row>
    <row r="132" spans="1:18" x14ac:dyDescent="0.3">
      <c r="A132">
        <v>7</v>
      </c>
      <c r="B132">
        <v>161</v>
      </c>
      <c r="C132">
        <v>86</v>
      </c>
      <c r="D132">
        <v>0</v>
      </c>
      <c r="E132">
        <v>0</v>
      </c>
      <c r="F132">
        <v>30.4</v>
      </c>
      <c r="G132">
        <v>0.16500000000000001</v>
      </c>
      <c r="H132">
        <v>47</v>
      </c>
      <c r="I132">
        <v>1</v>
      </c>
      <c r="K132">
        <f t="shared" si="16"/>
        <v>0.41176470588235292</v>
      </c>
      <c r="L132">
        <f t="shared" si="17"/>
        <v>0.80904522613065322</v>
      </c>
      <c r="M132">
        <f t="shared" si="18"/>
        <v>0.70491803278688525</v>
      </c>
      <c r="N132">
        <f t="shared" si="19"/>
        <v>0</v>
      </c>
      <c r="O132">
        <f t="shared" si="20"/>
        <v>0</v>
      </c>
      <c r="P132">
        <f t="shared" si="21"/>
        <v>0.45305514157973176</v>
      </c>
      <c r="Q132">
        <f t="shared" si="22"/>
        <v>3.7147736976942784E-2</v>
      </c>
      <c r="R132">
        <f t="shared" si="23"/>
        <v>0.43333333333333335</v>
      </c>
    </row>
    <row r="133" spans="1:18" x14ac:dyDescent="0.3">
      <c r="A133">
        <v>2</v>
      </c>
      <c r="B133">
        <v>108</v>
      </c>
      <c r="C133">
        <v>80</v>
      </c>
      <c r="D133">
        <v>0</v>
      </c>
      <c r="E133">
        <v>0</v>
      </c>
      <c r="F133">
        <v>27</v>
      </c>
      <c r="G133">
        <v>0.25900000000000001</v>
      </c>
      <c r="H133">
        <v>52</v>
      </c>
      <c r="I133">
        <v>1</v>
      </c>
      <c r="K133">
        <f t="shared" si="16"/>
        <v>0.11764705882352941</v>
      </c>
      <c r="L133">
        <f t="shared" si="17"/>
        <v>0.542713567839196</v>
      </c>
      <c r="M133">
        <f t="shared" si="18"/>
        <v>0.65573770491803274</v>
      </c>
      <c r="N133">
        <f t="shared" si="19"/>
        <v>0</v>
      </c>
      <c r="O133">
        <f t="shared" si="20"/>
        <v>0</v>
      </c>
      <c r="P133">
        <f t="shared" si="21"/>
        <v>0.40238450074515653</v>
      </c>
      <c r="Q133">
        <f t="shared" si="22"/>
        <v>7.7284372331340723E-2</v>
      </c>
      <c r="R133">
        <f t="shared" si="23"/>
        <v>0.51666666666666672</v>
      </c>
    </row>
    <row r="134" spans="1:18" x14ac:dyDescent="0.3">
      <c r="A134">
        <v>7</v>
      </c>
      <c r="B134">
        <v>136</v>
      </c>
      <c r="C134">
        <v>74</v>
      </c>
      <c r="D134">
        <v>26</v>
      </c>
      <c r="E134">
        <v>135</v>
      </c>
      <c r="F134">
        <v>26</v>
      </c>
      <c r="G134">
        <v>0.64700000000000002</v>
      </c>
      <c r="H134">
        <v>51</v>
      </c>
      <c r="I134">
        <v>0</v>
      </c>
      <c r="K134">
        <f t="shared" si="16"/>
        <v>0.41176470588235292</v>
      </c>
      <c r="L134">
        <f t="shared" si="17"/>
        <v>0.68341708542713564</v>
      </c>
      <c r="M134">
        <f t="shared" si="18"/>
        <v>0.60655737704918034</v>
      </c>
      <c r="N134">
        <f t="shared" si="19"/>
        <v>0.26262626262626265</v>
      </c>
      <c r="O134">
        <f t="shared" si="20"/>
        <v>0.15957446808510639</v>
      </c>
      <c r="P134">
        <f t="shared" si="21"/>
        <v>0.38748137108792852</v>
      </c>
      <c r="Q134">
        <f t="shared" si="22"/>
        <v>0.24295473953885569</v>
      </c>
      <c r="R134">
        <f t="shared" si="23"/>
        <v>0.5</v>
      </c>
    </row>
    <row r="135" spans="1:18" x14ac:dyDescent="0.3">
      <c r="A135">
        <v>5</v>
      </c>
      <c r="B135">
        <v>155</v>
      </c>
      <c r="C135">
        <v>84</v>
      </c>
      <c r="D135">
        <v>44</v>
      </c>
      <c r="E135">
        <v>545</v>
      </c>
      <c r="F135">
        <v>38.700000000000003</v>
      </c>
      <c r="G135">
        <v>0.61899999999999999</v>
      </c>
      <c r="H135">
        <v>34</v>
      </c>
      <c r="I135">
        <v>0</v>
      </c>
      <c r="K135">
        <f t="shared" si="16"/>
        <v>0.29411764705882354</v>
      </c>
      <c r="L135">
        <f t="shared" si="17"/>
        <v>0.77889447236180909</v>
      </c>
      <c r="M135">
        <f t="shared" si="18"/>
        <v>0.68852459016393441</v>
      </c>
      <c r="N135">
        <f t="shared" si="19"/>
        <v>0.44444444444444442</v>
      </c>
      <c r="O135">
        <f t="shared" si="20"/>
        <v>0.64420803782505909</v>
      </c>
      <c r="P135">
        <f t="shared" si="21"/>
        <v>0.57675111773472443</v>
      </c>
      <c r="Q135">
        <f t="shared" si="22"/>
        <v>0.23099914602903501</v>
      </c>
      <c r="R135">
        <f t="shared" si="23"/>
        <v>0.21666666666666667</v>
      </c>
    </row>
    <row r="136" spans="1:18" x14ac:dyDescent="0.3">
      <c r="A136">
        <v>1</v>
      </c>
      <c r="B136">
        <v>119</v>
      </c>
      <c r="C136">
        <v>86</v>
      </c>
      <c r="D136">
        <v>39</v>
      </c>
      <c r="E136">
        <v>220</v>
      </c>
      <c r="F136">
        <v>45.6</v>
      </c>
      <c r="G136">
        <v>0.80800000000000005</v>
      </c>
      <c r="H136">
        <v>29</v>
      </c>
      <c r="I136">
        <v>1</v>
      </c>
      <c r="K136">
        <f t="shared" si="16"/>
        <v>5.8823529411764705E-2</v>
      </c>
      <c r="L136">
        <f t="shared" si="17"/>
        <v>0.59798994974874375</v>
      </c>
      <c r="M136">
        <f t="shared" si="18"/>
        <v>0.70491803278688525</v>
      </c>
      <c r="N136">
        <f t="shared" si="19"/>
        <v>0.39393939393939392</v>
      </c>
      <c r="O136">
        <f t="shared" si="20"/>
        <v>0.26004728132387706</v>
      </c>
      <c r="P136">
        <f t="shared" si="21"/>
        <v>0.67958271236959766</v>
      </c>
      <c r="Q136">
        <f t="shared" si="22"/>
        <v>0.31169940222032455</v>
      </c>
      <c r="R136">
        <f t="shared" si="23"/>
        <v>0.13333333333333333</v>
      </c>
    </row>
    <row r="137" spans="1:18" x14ac:dyDescent="0.3">
      <c r="A137">
        <v>4</v>
      </c>
      <c r="B137">
        <v>96</v>
      </c>
      <c r="C137">
        <v>56</v>
      </c>
      <c r="D137">
        <v>17</v>
      </c>
      <c r="E137">
        <v>49</v>
      </c>
      <c r="F137">
        <v>20.8</v>
      </c>
      <c r="G137">
        <v>0.34</v>
      </c>
      <c r="H137">
        <v>26</v>
      </c>
      <c r="I137">
        <v>0</v>
      </c>
      <c r="K137">
        <f t="shared" si="16"/>
        <v>0.23529411764705882</v>
      </c>
      <c r="L137">
        <f t="shared" si="17"/>
        <v>0.48241206030150752</v>
      </c>
      <c r="M137">
        <f t="shared" si="18"/>
        <v>0.45901639344262296</v>
      </c>
      <c r="N137">
        <f t="shared" si="19"/>
        <v>0.17171717171717171</v>
      </c>
      <c r="O137">
        <f t="shared" si="20"/>
        <v>5.7919621749408984E-2</v>
      </c>
      <c r="P137">
        <f t="shared" si="21"/>
        <v>0.30998509687034281</v>
      </c>
      <c r="Q137">
        <f t="shared" si="22"/>
        <v>0.11187019641332195</v>
      </c>
      <c r="R137">
        <f t="shared" si="23"/>
        <v>8.3333333333333329E-2</v>
      </c>
    </row>
    <row r="138" spans="1:18" x14ac:dyDescent="0.3">
      <c r="A138">
        <v>5</v>
      </c>
      <c r="B138">
        <v>108</v>
      </c>
      <c r="C138">
        <v>72</v>
      </c>
      <c r="D138">
        <v>43</v>
      </c>
      <c r="E138">
        <v>75</v>
      </c>
      <c r="F138">
        <v>36.1</v>
      </c>
      <c r="G138">
        <v>0.26300000000000001</v>
      </c>
      <c r="H138">
        <v>33</v>
      </c>
      <c r="I138">
        <v>0</v>
      </c>
      <c r="K138">
        <f t="shared" si="16"/>
        <v>0.29411764705882354</v>
      </c>
      <c r="L138">
        <f t="shared" si="17"/>
        <v>0.542713567839196</v>
      </c>
      <c r="M138">
        <f t="shared" si="18"/>
        <v>0.5901639344262295</v>
      </c>
      <c r="N138">
        <f t="shared" si="19"/>
        <v>0.43434343434343436</v>
      </c>
      <c r="O138">
        <f t="shared" si="20"/>
        <v>8.8652482269503549E-2</v>
      </c>
      <c r="P138">
        <f t="shared" si="21"/>
        <v>0.53800298062593155</v>
      </c>
      <c r="Q138">
        <f t="shared" si="22"/>
        <v>7.8992314261315116E-2</v>
      </c>
      <c r="R138">
        <f t="shared" si="23"/>
        <v>0.2</v>
      </c>
    </row>
    <row r="139" spans="1:18" x14ac:dyDescent="0.3">
      <c r="A139">
        <v>0</v>
      </c>
      <c r="B139">
        <v>78</v>
      </c>
      <c r="C139">
        <v>88</v>
      </c>
      <c r="D139">
        <v>29</v>
      </c>
      <c r="E139">
        <v>40</v>
      </c>
      <c r="F139">
        <v>36.9</v>
      </c>
      <c r="G139">
        <v>0.434</v>
      </c>
      <c r="H139">
        <v>21</v>
      </c>
      <c r="I139">
        <v>0</v>
      </c>
      <c r="K139">
        <f t="shared" si="16"/>
        <v>0</v>
      </c>
      <c r="L139">
        <f t="shared" si="17"/>
        <v>0.39195979899497485</v>
      </c>
      <c r="M139">
        <f t="shared" si="18"/>
        <v>0.72131147540983609</v>
      </c>
      <c r="N139">
        <f t="shared" si="19"/>
        <v>0.29292929292929293</v>
      </c>
      <c r="O139">
        <f t="shared" si="20"/>
        <v>4.7281323877068557E-2</v>
      </c>
      <c r="P139">
        <f t="shared" si="21"/>
        <v>0.54992548435171384</v>
      </c>
      <c r="Q139">
        <f t="shared" si="22"/>
        <v>0.1520068317677199</v>
      </c>
      <c r="R139">
        <f t="shared" si="23"/>
        <v>0</v>
      </c>
    </row>
    <row r="140" spans="1:18" x14ac:dyDescent="0.3">
      <c r="A140">
        <v>0</v>
      </c>
      <c r="B140">
        <v>107</v>
      </c>
      <c r="C140">
        <v>62</v>
      </c>
      <c r="D140">
        <v>30</v>
      </c>
      <c r="E140">
        <v>74</v>
      </c>
      <c r="F140">
        <v>36.6</v>
      </c>
      <c r="G140">
        <v>0.75700000000000001</v>
      </c>
      <c r="H140">
        <v>25</v>
      </c>
      <c r="I140">
        <v>1</v>
      </c>
      <c r="K140">
        <f t="shared" si="16"/>
        <v>0</v>
      </c>
      <c r="L140">
        <f t="shared" si="17"/>
        <v>0.53768844221105527</v>
      </c>
      <c r="M140">
        <f t="shared" si="18"/>
        <v>0.50819672131147542</v>
      </c>
      <c r="N140">
        <f t="shared" si="19"/>
        <v>0.30303030303030304</v>
      </c>
      <c r="O140">
        <f t="shared" si="20"/>
        <v>8.7470449172576833E-2</v>
      </c>
      <c r="P140">
        <f t="shared" si="21"/>
        <v>0.54545454545454553</v>
      </c>
      <c r="Q140">
        <f t="shared" si="22"/>
        <v>0.28992314261315116</v>
      </c>
      <c r="R140">
        <f t="shared" si="23"/>
        <v>6.6666666666666666E-2</v>
      </c>
    </row>
    <row r="141" spans="1:18" x14ac:dyDescent="0.3">
      <c r="A141">
        <v>2</v>
      </c>
      <c r="B141">
        <v>128</v>
      </c>
      <c r="C141">
        <v>78</v>
      </c>
      <c r="D141">
        <v>37</v>
      </c>
      <c r="E141">
        <v>182</v>
      </c>
      <c r="F141">
        <v>43.3</v>
      </c>
      <c r="G141">
        <v>1.224</v>
      </c>
      <c r="H141">
        <v>31</v>
      </c>
      <c r="I141">
        <v>1</v>
      </c>
      <c r="K141">
        <f t="shared" si="16"/>
        <v>0.11764705882352941</v>
      </c>
      <c r="L141">
        <f t="shared" si="17"/>
        <v>0.64321608040201006</v>
      </c>
      <c r="M141">
        <f t="shared" si="18"/>
        <v>0.63934426229508201</v>
      </c>
      <c r="N141">
        <f t="shared" si="19"/>
        <v>0.37373737373737376</v>
      </c>
      <c r="O141">
        <f t="shared" si="20"/>
        <v>0.21513002364066194</v>
      </c>
      <c r="P141">
        <f t="shared" si="21"/>
        <v>0.64530551415797321</v>
      </c>
      <c r="Q141">
        <f t="shared" si="22"/>
        <v>0.48932536293766005</v>
      </c>
      <c r="R141">
        <f t="shared" si="23"/>
        <v>0.16666666666666666</v>
      </c>
    </row>
    <row r="142" spans="1:18" x14ac:dyDescent="0.3">
      <c r="A142">
        <v>1</v>
      </c>
      <c r="B142">
        <v>128</v>
      </c>
      <c r="C142">
        <v>48</v>
      </c>
      <c r="D142">
        <v>45</v>
      </c>
      <c r="E142">
        <v>194</v>
      </c>
      <c r="F142">
        <v>40.5</v>
      </c>
      <c r="G142">
        <v>0.61299999999999999</v>
      </c>
      <c r="H142">
        <v>24</v>
      </c>
      <c r="I142">
        <v>1</v>
      </c>
      <c r="K142">
        <f t="shared" si="16"/>
        <v>5.8823529411764705E-2</v>
      </c>
      <c r="L142">
        <f t="shared" si="17"/>
        <v>0.64321608040201006</v>
      </c>
      <c r="M142">
        <f t="shared" si="18"/>
        <v>0.39344262295081966</v>
      </c>
      <c r="N142">
        <f t="shared" si="19"/>
        <v>0.45454545454545453</v>
      </c>
      <c r="O142">
        <f t="shared" si="20"/>
        <v>0.2293144208037825</v>
      </c>
      <c r="P142">
        <f t="shared" si="21"/>
        <v>0.60357675111773479</v>
      </c>
      <c r="Q142">
        <f t="shared" si="22"/>
        <v>0.22843723313407344</v>
      </c>
      <c r="R142">
        <f t="shared" si="23"/>
        <v>0.05</v>
      </c>
    </row>
    <row r="143" spans="1:18" x14ac:dyDescent="0.3">
      <c r="A143">
        <v>0</v>
      </c>
      <c r="B143">
        <v>161</v>
      </c>
      <c r="C143">
        <v>50</v>
      </c>
      <c r="D143">
        <v>0</v>
      </c>
      <c r="E143">
        <v>0</v>
      </c>
      <c r="F143">
        <v>21.9</v>
      </c>
      <c r="G143">
        <v>0.254</v>
      </c>
      <c r="H143">
        <v>65</v>
      </c>
      <c r="I143">
        <v>0</v>
      </c>
      <c r="K143">
        <f t="shared" si="16"/>
        <v>0</v>
      </c>
      <c r="L143">
        <f t="shared" si="17"/>
        <v>0.80904522613065322</v>
      </c>
      <c r="M143">
        <f t="shared" si="18"/>
        <v>0.4098360655737705</v>
      </c>
      <c r="N143">
        <f t="shared" si="19"/>
        <v>0</v>
      </c>
      <c r="O143">
        <f t="shared" si="20"/>
        <v>0</v>
      </c>
      <c r="P143">
        <f t="shared" si="21"/>
        <v>0.3263785394932936</v>
      </c>
      <c r="Q143">
        <f t="shared" si="22"/>
        <v>7.5149444918872751E-2</v>
      </c>
      <c r="R143">
        <f t="shared" si="23"/>
        <v>0.73333333333333328</v>
      </c>
    </row>
    <row r="144" spans="1:18" x14ac:dyDescent="0.3">
      <c r="A144">
        <v>6</v>
      </c>
      <c r="B144">
        <v>151</v>
      </c>
      <c r="C144">
        <v>62</v>
      </c>
      <c r="D144">
        <v>31</v>
      </c>
      <c r="E144">
        <v>120</v>
      </c>
      <c r="F144">
        <v>35.5</v>
      </c>
      <c r="G144">
        <v>0.69199999999999995</v>
      </c>
      <c r="H144">
        <v>28</v>
      </c>
      <c r="I144">
        <v>0</v>
      </c>
      <c r="K144">
        <f t="shared" si="16"/>
        <v>0.35294117647058826</v>
      </c>
      <c r="L144">
        <f t="shared" si="17"/>
        <v>0.75879396984924619</v>
      </c>
      <c r="M144">
        <f t="shared" si="18"/>
        <v>0.50819672131147542</v>
      </c>
      <c r="N144">
        <f t="shared" si="19"/>
        <v>0.31313131313131315</v>
      </c>
      <c r="O144">
        <f t="shared" si="20"/>
        <v>0.14184397163120568</v>
      </c>
      <c r="P144">
        <f t="shared" si="21"/>
        <v>0.52906110283159469</v>
      </c>
      <c r="Q144">
        <f t="shared" si="22"/>
        <v>0.26216908625106744</v>
      </c>
      <c r="R144">
        <f t="shared" si="23"/>
        <v>0.11666666666666667</v>
      </c>
    </row>
    <row r="145" spans="1:18" x14ac:dyDescent="0.3">
      <c r="A145">
        <v>2</v>
      </c>
      <c r="B145">
        <v>146</v>
      </c>
      <c r="C145">
        <v>70</v>
      </c>
      <c r="D145">
        <v>38</v>
      </c>
      <c r="E145">
        <v>360</v>
      </c>
      <c r="F145">
        <v>28</v>
      </c>
      <c r="G145">
        <v>0.33700000000000002</v>
      </c>
      <c r="H145">
        <v>29</v>
      </c>
      <c r="I145">
        <v>1</v>
      </c>
      <c r="K145">
        <f t="shared" si="16"/>
        <v>0.11764705882352941</v>
      </c>
      <c r="L145">
        <f t="shared" si="17"/>
        <v>0.73366834170854267</v>
      </c>
      <c r="M145">
        <f t="shared" si="18"/>
        <v>0.57377049180327866</v>
      </c>
      <c r="N145">
        <f t="shared" si="19"/>
        <v>0.38383838383838381</v>
      </c>
      <c r="O145">
        <f t="shared" si="20"/>
        <v>0.42553191489361702</v>
      </c>
      <c r="P145">
        <f t="shared" si="21"/>
        <v>0.41728763040238454</v>
      </c>
      <c r="Q145">
        <f t="shared" si="22"/>
        <v>0.11058923996584116</v>
      </c>
      <c r="R145">
        <f t="shared" si="23"/>
        <v>0.13333333333333333</v>
      </c>
    </row>
    <row r="146" spans="1:18" x14ac:dyDescent="0.3">
      <c r="A146">
        <v>0</v>
      </c>
      <c r="B146">
        <v>126</v>
      </c>
      <c r="C146">
        <v>84</v>
      </c>
      <c r="D146">
        <v>29</v>
      </c>
      <c r="E146">
        <v>215</v>
      </c>
      <c r="F146">
        <v>30.7</v>
      </c>
      <c r="G146">
        <v>0.52</v>
      </c>
      <c r="H146">
        <v>24</v>
      </c>
      <c r="I146">
        <v>0</v>
      </c>
      <c r="K146">
        <f t="shared" si="16"/>
        <v>0</v>
      </c>
      <c r="L146">
        <f t="shared" si="17"/>
        <v>0.63316582914572861</v>
      </c>
      <c r="M146">
        <f t="shared" si="18"/>
        <v>0.68852459016393441</v>
      </c>
      <c r="N146">
        <f t="shared" si="19"/>
        <v>0.29292929292929293</v>
      </c>
      <c r="O146">
        <f t="shared" si="20"/>
        <v>0.25413711583924348</v>
      </c>
      <c r="P146">
        <f t="shared" si="21"/>
        <v>0.45752608047690019</v>
      </c>
      <c r="Q146">
        <f t="shared" si="22"/>
        <v>0.18872758326216907</v>
      </c>
      <c r="R146">
        <f t="shared" si="23"/>
        <v>0.05</v>
      </c>
    </row>
    <row r="147" spans="1:18" x14ac:dyDescent="0.3">
      <c r="A147">
        <v>14</v>
      </c>
      <c r="B147">
        <v>100</v>
      </c>
      <c r="C147">
        <v>78</v>
      </c>
      <c r="D147">
        <v>25</v>
      </c>
      <c r="E147">
        <v>184</v>
      </c>
      <c r="F147">
        <v>36.6</v>
      </c>
      <c r="G147">
        <v>0.41199999999999998</v>
      </c>
      <c r="H147">
        <v>46</v>
      </c>
      <c r="I147">
        <v>1</v>
      </c>
      <c r="K147">
        <f t="shared" si="16"/>
        <v>0.82352941176470584</v>
      </c>
      <c r="L147">
        <f t="shared" si="17"/>
        <v>0.50251256281407031</v>
      </c>
      <c r="M147">
        <f t="shared" si="18"/>
        <v>0.63934426229508201</v>
      </c>
      <c r="N147">
        <f t="shared" si="19"/>
        <v>0.25252525252525254</v>
      </c>
      <c r="O147">
        <f t="shared" si="20"/>
        <v>0.21749408983451538</v>
      </c>
      <c r="P147">
        <f t="shared" si="21"/>
        <v>0.54545454545454553</v>
      </c>
      <c r="Q147">
        <f t="shared" si="22"/>
        <v>0.14261315115286077</v>
      </c>
      <c r="R147">
        <f t="shared" si="23"/>
        <v>0.41666666666666669</v>
      </c>
    </row>
    <row r="148" spans="1:18" x14ac:dyDescent="0.3">
      <c r="A148">
        <v>8</v>
      </c>
      <c r="B148">
        <v>112</v>
      </c>
      <c r="C148">
        <v>72</v>
      </c>
      <c r="D148">
        <v>0</v>
      </c>
      <c r="E148">
        <v>0</v>
      </c>
      <c r="F148">
        <v>23.6</v>
      </c>
      <c r="G148">
        <v>0.84</v>
      </c>
      <c r="H148">
        <v>58</v>
      </c>
      <c r="I148">
        <v>0</v>
      </c>
      <c r="K148">
        <f t="shared" si="16"/>
        <v>0.47058823529411764</v>
      </c>
      <c r="L148">
        <f t="shared" si="17"/>
        <v>0.56281407035175879</v>
      </c>
      <c r="M148">
        <f t="shared" si="18"/>
        <v>0.5901639344262295</v>
      </c>
      <c r="N148">
        <f t="shared" si="19"/>
        <v>0</v>
      </c>
      <c r="O148">
        <f t="shared" si="20"/>
        <v>0</v>
      </c>
      <c r="P148">
        <f t="shared" si="21"/>
        <v>0.35171385991058129</v>
      </c>
      <c r="Q148">
        <f t="shared" si="22"/>
        <v>0.32536293766011953</v>
      </c>
      <c r="R148">
        <f t="shared" si="23"/>
        <v>0.6166666666666667</v>
      </c>
    </row>
    <row r="149" spans="1:18" x14ac:dyDescent="0.3">
      <c r="A149">
        <v>0</v>
      </c>
      <c r="B149">
        <v>167</v>
      </c>
      <c r="C149">
        <v>0</v>
      </c>
      <c r="D149">
        <v>0</v>
      </c>
      <c r="E149">
        <v>0</v>
      </c>
      <c r="F149">
        <v>32.299999999999997</v>
      </c>
      <c r="G149">
        <v>0.83899999999999997</v>
      </c>
      <c r="H149">
        <v>30</v>
      </c>
      <c r="I149">
        <v>1</v>
      </c>
      <c r="K149">
        <f t="shared" si="16"/>
        <v>0</v>
      </c>
      <c r="L149">
        <f t="shared" si="17"/>
        <v>0.83919597989949746</v>
      </c>
      <c r="M149">
        <f t="shared" si="18"/>
        <v>0</v>
      </c>
      <c r="N149">
        <f t="shared" si="19"/>
        <v>0</v>
      </c>
      <c r="O149">
        <f t="shared" si="20"/>
        <v>0</v>
      </c>
      <c r="P149">
        <f t="shared" si="21"/>
        <v>0.481371087928465</v>
      </c>
      <c r="Q149">
        <f t="shared" si="22"/>
        <v>0.32493595217762594</v>
      </c>
      <c r="R149">
        <f t="shared" si="23"/>
        <v>0.15</v>
      </c>
    </row>
    <row r="150" spans="1:18" x14ac:dyDescent="0.3">
      <c r="A150">
        <v>2</v>
      </c>
      <c r="B150">
        <v>144</v>
      </c>
      <c r="C150">
        <v>58</v>
      </c>
      <c r="D150">
        <v>33</v>
      </c>
      <c r="E150">
        <v>135</v>
      </c>
      <c r="F150">
        <v>31.6</v>
      </c>
      <c r="G150">
        <v>0.42199999999999999</v>
      </c>
      <c r="H150">
        <v>25</v>
      </c>
      <c r="I150">
        <v>1</v>
      </c>
      <c r="K150">
        <f t="shared" si="16"/>
        <v>0.11764705882352941</v>
      </c>
      <c r="L150">
        <f t="shared" si="17"/>
        <v>0.72361809045226133</v>
      </c>
      <c r="M150">
        <f t="shared" si="18"/>
        <v>0.47540983606557374</v>
      </c>
      <c r="N150">
        <f t="shared" si="19"/>
        <v>0.33333333333333331</v>
      </c>
      <c r="O150">
        <f t="shared" si="20"/>
        <v>0.15957446808510639</v>
      </c>
      <c r="P150">
        <f t="shared" si="21"/>
        <v>0.47093889716840542</v>
      </c>
      <c r="Q150">
        <f t="shared" si="22"/>
        <v>0.14688300597779674</v>
      </c>
      <c r="R150">
        <f t="shared" si="23"/>
        <v>6.6666666666666666E-2</v>
      </c>
    </row>
    <row r="151" spans="1:18" x14ac:dyDescent="0.3">
      <c r="A151">
        <v>5</v>
      </c>
      <c r="B151">
        <v>77</v>
      </c>
      <c r="C151">
        <v>82</v>
      </c>
      <c r="D151">
        <v>41</v>
      </c>
      <c r="E151">
        <v>42</v>
      </c>
      <c r="F151">
        <v>35.799999999999997</v>
      </c>
      <c r="G151">
        <v>0.156</v>
      </c>
      <c r="H151">
        <v>35</v>
      </c>
      <c r="I151">
        <v>0</v>
      </c>
      <c r="K151">
        <f t="shared" si="16"/>
        <v>0.29411764705882354</v>
      </c>
      <c r="L151">
        <f t="shared" si="17"/>
        <v>0.38693467336683418</v>
      </c>
      <c r="M151">
        <f t="shared" si="18"/>
        <v>0.67213114754098358</v>
      </c>
      <c r="N151">
        <f t="shared" si="19"/>
        <v>0.41414141414141414</v>
      </c>
      <c r="O151">
        <f t="shared" si="20"/>
        <v>4.9645390070921988E-2</v>
      </c>
      <c r="P151">
        <f t="shared" si="21"/>
        <v>0.53353204172876301</v>
      </c>
      <c r="Q151">
        <f t="shared" si="22"/>
        <v>3.3304867634500426E-2</v>
      </c>
      <c r="R151">
        <f t="shared" si="23"/>
        <v>0.23333333333333334</v>
      </c>
    </row>
    <row r="152" spans="1:18" x14ac:dyDescent="0.3">
      <c r="A152">
        <v>5</v>
      </c>
      <c r="B152">
        <v>115</v>
      </c>
      <c r="C152">
        <v>98</v>
      </c>
      <c r="D152">
        <v>0</v>
      </c>
      <c r="E152">
        <v>0</v>
      </c>
      <c r="F152">
        <v>52.9</v>
      </c>
      <c r="G152">
        <v>0.20899999999999999</v>
      </c>
      <c r="H152">
        <v>28</v>
      </c>
      <c r="I152">
        <v>1</v>
      </c>
      <c r="K152">
        <f t="shared" si="16"/>
        <v>0.29411764705882354</v>
      </c>
      <c r="L152">
        <f t="shared" si="17"/>
        <v>0.57788944723618085</v>
      </c>
      <c r="M152">
        <f t="shared" si="18"/>
        <v>0.80327868852459017</v>
      </c>
      <c r="N152">
        <f t="shared" si="19"/>
        <v>0</v>
      </c>
      <c r="O152">
        <f t="shared" si="20"/>
        <v>0</v>
      </c>
      <c r="P152">
        <f t="shared" si="21"/>
        <v>0.78837555886736221</v>
      </c>
      <c r="Q152">
        <f t="shared" si="22"/>
        <v>5.5935098206660976E-2</v>
      </c>
      <c r="R152">
        <f t="shared" si="23"/>
        <v>0.11666666666666667</v>
      </c>
    </row>
    <row r="153" spans="1:18" x14ac:dyDescent="0.3">
      <c r="A153">
        <v>3</v>
      </c>
      <c r="B153">
        <v>150</v>
      </c>
      <c r="C153">
        <v>76</v>
      </c>
      <c r="D153">
        <v>0</v>
      </c>
      <c r="E153">
        <v>0</v>
      </c>
      <c r="F153">
        <v>21</v>
      </c>
      <c r="G153">
        <v>0.20699999999999999</v>
      </c>
      <c r="H153">
        <v>37</v>
      </c>
      <c r="I153">
        <v>0</v>
      </c>
      <c r="K153">
        <f t="shared" si="16"/>
        <v>0.17647058823529413</v>
      </c>
      <c r="L153">
        <f t="shared" si="17"/>
        <v>0.75376884422110557</v>
      </c>
      <c r="M153">
        <f t="shared" si="18"/>
        <v>0.62295081967213117</v>
      </c>
      <c r="N153">
        <f t="shared" si="19"/>
        <v>0</v>
      </c>
      <c r="O153">
        <f t="shared" si="20"/>
        <v>0</v>
      </c>
      <c r="P153">
        <f t="shared" si="21"/>
        <v>0.31296572280178842</v>
      </c>
      <c r="Q153">
        <f t="shared" si="22"/>
        <v>5.5081127241673786E-2</v>
      </c>
      <c r="R153">
        <f t="shared" si="23"/>
        <v>0.26666666666666666</v>
      </c>
    </row>
    <row r="154" spans="1:18" x14ac:dyDescent="0.3">
      <c r="A154">
        <v>2</v>
      </c>
      <c r="B154">
        <v>120</v>
      </c>
      <c r="C154">
        <v>76</v>
      </c>
      <c r="D154">
        <v>37</v>
      </c>
      <c r="E154">
        <v>105</v>
      </c>
      <c r="F154">
        <v>39.700000000000003</v>
      </c>
      <c r="G154">
        <v>0.215</v>
      </c>
      <c r="H154">
        <v>29</v>
      </c>
      <c r="I154">
        <v>0</v>
      </c>
      <c r="K154">
        <f t="shared" si="16"/>
        <v>0.11764705882352941</v>
      </c>
      <c r="L154">
        <f t="shared" si="17"/>
        <v>0.60301507537688437</v>
      </c>
      <c r="M154">
        <f t="shared" si="18"/>
        <v>0.62295081967213117</v>
      </c>
      <c r="N154">
        <f t="shared" si="19"/>
        <v>0.37373737373737376</v>
      </c>
      <c r="O154">
        <f t="shared" si="20"/>
        <v>0.12411347517730496</v>
      </c>
      <c r="P154">
        <f t="shared" si="21"/>
        <v>0.59165424739195238</v>
      </c>
      <c r="Q154">
        <f t="shared" si="22"/>
        <v>5.8497011101622545E-2</v>
      </c>
      <c r="R154">
        <f t="shared" si="23"/>
        <v>0.13333333333333333</v>
      </c>
    </row>
    <row r="155" spans="1:18" x14ac:dyDescent="0.3">
      <c r="A155">
        <v>10</v>
      </c>
      <c r="B155">
        <v>161</v>
      </c>
      <c r="C155">
        <v>68</v>
      </c>
      <c r="D155">
        <v>23</v>
      </c>
      <c r="E155">
        <v>132</v>
      </c>
      <c r="F155">
        <v>25.5</v>
      </c>
      <c r="G155">
        <v>0.32600000000000001</v>
      </c>
      <c r="H155">
        <v>47</v>
      </c>
      <c r="I155">
        <v>1</v>
      </c>
      <c r="K155">
        <f t="shared" si="16"/>
        <v>0.58823529411764708</v>
      </c>
      <c r="L155">
        <f t="shared" si="17"/>
        <v>0.80904522613065322</v>
      </c>
      <c r="M155">
        <f t="shared" si="18"/>
        <v>0.55737704918032782</v>
      </c>
      <c r="N155">
        <f t="shared" si="19"/>
        <v>0.23232323232323232</v>
      </c>
      <c r="O155">
        <f t="shared" si="20"/>
        <v>0.15602836879432624</v>
      </c>
      <c r="P155">
        <f t="shared" si="21"/>
        <v>0.38002980625931448</v>
      </c>
      <c r="Q155">
        <f t="shared" si="22"/>
        <v>0.10589239965841162</v>
      </c>
      <c r="R155">
        <f t="shared" si="23"/>
        <v>0.43333333333333335</v>
      </c>
    </row>
    <row r="156" spans="1:18" x14ac:dyDescent="0.3">
      <c r="A156">
        <v>0</v>
      </c>
      <c r="B156">
        <v>137</v>
      </c>
      <c r="C156">
        <v>68</v>
      </c>
      <c r="D156">
        <v>14</v>
      </c>
      <c r="E156">
        <v>148</v>
      </c>
      <c r="F156">
        <v>24.8</v>
      </c>
      <c r="G156">
        <v>0.14299999999999999</v>
      </c>
      <c r="H156">
        <v>21</v>
      </c>
      <c r="I156">
        <v>0</v>
      </c>
      <c r="K156">
        <f t="shared" si="16"/>
        <v>0</v>
      </c>
      <c r="L156">
        <f t="shared" si="17"/>
        <v>0.68844221105527637</v>
      </c>
      <c r="M156">
        <f t="shared" si="18"/>
        <v>0.55737704918032782</v>
      </c>
      <c r="N156">
        <f t="shared" si="19"/>
        <v>0.14141414141414141</v>
      </c>
      <c r="O156">
        <f t="shared" si="20"/>
        <v>0.17494089834515367</v>
      </c>
      <c r="P156">
        <f t="shared" si="21"/>
        <v>0.36959761549925491</v>
      </c>
      <c r="Q156">
        <f t="shared" si="22"/>
        <v>2.7754056362083682E-2</v>
      </c>
      <c r="R156">
        <f t="shared" si="23"/>
        <v>0</v>
      </c>
    </row>
    <row r="157" spans="1:18" x14ac:dyDescent="0.3">
      <c r="A157">
        <v>0</v>
      </c>
      <c r="B157">
        <v>128</v>
      </c>
      <c r="C157">
        <v>68</v>
      </c>
      <c r="D157">
        <v>19</v>
      </c>
      <c r="E157">
        <v>180</v>
      </c>
      <c r="F157">
        <v>30.5</v>
      </c>
      <c r="G157">
        <v>1.391</v>
      </c>
      <c r="H157">
        <v>25</v>
      </c>
      <c r="I157">
        <v>1</v>
      </c>
      <c r="K157">
        <f t="shared" si="16"/>
        <v>0</v>
      </c>
      <c r="L157">
        <f t="shared" si="17"/>
        <v>0.64321608040201006</v>
      </c>
      <c r="M157">
        <f t="shared" si="18"/>
        <v>0.55737704918032782</v>
      </c>
      <c r="N157">
        <f t="shared" si="19"/>
        <v>0.19191919191919191</v>
      </c>
      <c r="O157">
        <f t="shared" si="20"/>
        <v>0.21276595744680851</v>
      </c>
      <c r="P157">
        <f t="shared" si="21"/>
        <v>0.45454545454545459</v>
      </c>
      <c r="Q157">
        <f t="shared" si="22"/>
        <v>0.56063193851409043</v>
      </c>
      <c r="R157">
        <f t="shared" si="23"/>
        <v>6.6666666666666666E-2</v>
      </c>
    </row>
    <row r="158" spans="1:18" x14ac:dyDescent="0.3">
      <c r="A158">
        <v>2</v>
      </c>
      <c r="B158">
        <v>124</v>
      </c>
      <c r="C158">
        <v>68</v>
      </c>
      <c r="D158">
        <v>28</v>
      </c>
      <c r="E158">
        <v>205</v>
      </c>
      <c r="F158">
        <v>32.9</v>
      </c>
      <c r="G158">
        <v>0.875</v>
      </c>
      <c r="H158">
        <v>30</v>
      </c>
      <c r="I158">
        <v>1</v>
      </c>
      <c r="K158">
        <f t="shared" si="16"/>
        <v>0.11764705882352941</v>
      </c>
      <c r="L158">
        <f t="shared" si="17"/>
        <v>0.62311557788944727</v>
      </c>
      <c r="M158">
        <f t="shared" si="18"/>
        <v>0.55737704918032782</v>
      </c>
      <c r="N158">
        <f t="shared" si="19"/>
        <v>0.28282828282828282</v>
      </c>
      <c r="O158">
        <f t="shared" si="20"/>
        <v>0.24231678486997635</v>
      </c>
      <c r="P158">
        <f t="shared" si="21"/>
        <v>0.49031296572280181</v>
      </c>
      <c r="Q158">
        <f t="shared" si="22"/>
        <v>0.3403074295473954</v>
      </c>
      <c r="R158">
        <f t="shared" si="23"/>
        <v>0.15</v>
      </c>
    </row>
    <row r="159" spans="1:18" x14ac:dyDescent="0.3">
      <c r="A159">
        <v>6</v>
      </c>
      <c r="B159">
        <v>80</v>
      </c>
      <c r="C159">
        <v>66</v>
      </c>
      <c r="D159">
        <v>30</v>
      </c>
      <c r="E159">
        <v>0</v>
      </c>
      <c r="F159">
        <v>26.2</v>
      </c>
      <c r="G159">
        <v>0.313</v>
      </c>
      <c r="H159">
        <v>41</v>
      </c>
      <c r="I159">
        <v>0</v>
      </c>
      <c r="K159">
        <f t="shared" si="16"/>
        <v>0.35294117647058826</v>
      </c>
      <c r="L159">
        <f t="shared" si="17"/>
        <v>0.4020100502512563</v>
      </c>
      <c r="M159">
        <f t="shared" si="18"/>
        <v>0.54098360655737709</v>
      </c>
      <c r="N159">
        <f t="shared" si="19"/>
        <v>0.30303030303030304</v>
      </c>
      <c r="O159">
        <f t="shared" si="20"/>
        <v>0</v>
      </c>
      <c r="P159">
        <f t="shared" si="21"/>
        <v>0.39046199701937412</v>
      </c>
      <c r="Q159">
        <f t="shared" si="22"/>
        <v>0.10034158838599487</v>
      </c>
      <c r="R159">
        <f t="shared" si="23"/>
        <v>0.33333333333333331</v>
      </c>
    </row>
    <row r="160" spans="1:18" x14ac:dyDescent="0.3">
      <c r="A160">
        <v>0</v>
      </c>
      <c r="B160">
        <v>106</v>
      </c>
      <c r="C160">
        <v>70</v>
      </c>
      <c r="D160">
        <v>37</v>
      </c>
      <c r="E160">
        <v>148</v>
      </c>
      <c r="F160">
        <v>39.4</v>
      </c>
      <c r="G160">
        <v>0.60499999999999998</v>
      </c>
      <c r="H160">
        <v>22</v>
      </c>
      <c r="I160">
        <v>0</v>
      </c>
      <c r="K160">
        <f t="shared" si="16"/>
        <v>0</v>
      </c>
      <c r="L160">
        <f t="shared" si="17"/>
        <v>0.53266331658291455</v>
      </c>
      <c r="M160">
        <f t="shared" si="18"/>
        <v>0.57377049180327866</v>
      </c>
      <c r="N160">
        <f t="shared" si="19"/>
        <v>0.37373737373737376</v>
      </c>
      <c r="O160">
        <f t="shared" si="20"/>
        <v>0.17494089834515367</v>
      </c>
      <c r="P160">
        <f t="shared" si="21"/>
        <v>0.58718330849478395</v>
      </c>
      <c r="Q160">
        <f t="shared" si="22"/>
        <v>0.22502134927412468</v>
      </c>
      <c r="R160">
        <f t="shared" si="23"/>
        <v>1.6666666666666666E-2</v>
      </c>
    </row>
    <row r="161" spans="1:18" x14ac:dyDescent="0.3">
      <c r="A161">
        <v>2</v>
      </c>
      <c r="B161">
        <v>155</v>
      </c>
      <c r="C161">
        <v>74</v>
      </c>
      <c r="D161">
        <v>17</v>
      </c>
      <c r="E161">
        <v>96</v>
      </c>
      <c r="F161">
        <v>26.6</v>
      </c>
      <c r="G161">
        <v>0.433</v>
      </c>
      <c r="H161">
        <v>27</v>
      </c>
      <c r="I161">
        <v>1</v>
      </c>
      <c r="K161">
        <f t="shared" si="16"/>
        <v>0.11764705882352941</v>
      </c>
      <c r="L161">
        <f t="shared" si="17"/>
        <v>0.77889447236180909</v>
      </c>
      <c r="M161">
        <f t="shared" si="18"/>
        <v>0.60655737704918034</v>
      </c>
      <c r="N161">
        <f t="shared" si="19"/>
        <v>0.17171717171717171</v>
      </c>
      <c r="O161">
        <f t="shared" si="20"/>
        <v>0.11347517730496454</v>
      </c>
      <c r="P161">
        <f t="shared" si="21"/>
        <v>0.39642324888226532</v>
      </c>
      <c r="Q161">
        <f t="shared" si="22"/>
        <v>0.15157984628522628</v>
      </c>
      <c r="R161">
        <f t="shared" si="23"/>
        <v>0.1</v>
      </c>
    </row>
    <row r="162" spans="1:18" x14ac:dyDescent="0.3">
      <c r="A162">
        <v>3</v>
      </c>
      <c r="B162">
        <v>113</v>
      </c>
      <c r="C162">
        <v>50</v>
      </c>
      <c r="D162">
        <v>10</v>
      </c>
      <c r="E162">
        <v>85</v>
      </c>
      <c r="F162">
        <v>29.5</v>
      </c>
      <c r="G162">
        <v>0.626</v>
      </c>
      <c r="H162">
        <v>25</v>
      </c>
      <c r="I162">
        <v>0</v>
      </c>
      <c r="K162">
        <f t="shared" si="16"/>
        <v>0.17647058823529413</v>
      </c>
      <c r="L162">
        <f t="shared" si="17"/>
        <v>0.56783919597989951</v>
      </c>
      <c r="M162">
        <f t="shared" si="18"/>
        <v>0.4098360655737705</v>
      </c>
      <c r="N162">
        <f t="shared" si="19"/>
        <v>0.10101010101010101</v>
      </c>
      <c r="O162">
        <f t="shared" si="20"/>
        <v>0.10047281323877069</v>
      </c>
      <c r="P162">
        <f t="shared" si="21"/>
        <v>0.43964232488822658</v>
      </c>
      <c r="Q162">
        <f t="shared" si="22"/>
        <v>0.23398804440649018</v>
      </c>
      <c r="R162">
        <f t="shared" si="23"/>
        <v>6.6666666666666666E-2</v>
      </c>
    </row>
    <row r="163" spans="1:18" x14ac:dyDescent="0.3">
      <c r="A163">
        <v>7</v>
      </c>
      <c r="B163">
        <v>109</v>
      </c>
      <c r="C163">
        <v>80</v>
      </c>
      <c r="D163">
        <v>31</v>
      </c>
      <c r="E163">
        <v>0</v>
      </c>
      <c r="F163">
        <v>35.9</v>
      </c>
      <c r="G163">
        <v>1.127</v>
      </c>
      <c r="H163">
        <v>43</v>
      </c>
      <c r="I163">
        <v>1</v>
      </c>
      <c r="K163">
        <f t="shared" si="16"/>
        <v>0.41176470588235292</v>
      </c>
      <c r="L163">
        <f t="shared" si="17"/>
        <v>0.54773869346733672</v>
      </c>
      <c r="M163">
        <f t="shared" si="18"/>
        <v>0.65573770491803274</v>
      </c>
      <c r="N163">
        <f t="shared" si="19"/>
        <v>0.31313131313131315</v>
      </c>
      <c r="O163">
        <f t="shared" si="20"/>
        <v>0</v>
      </c>
      <c r="P163">
        <f t="shared" si="21"/>
        <v>0.53502235469448589</v>
      </c>
      <c r="Q163">
        <f t="shared" si="22"/>
        <v>0.44790777113578134</v>
      </c>
      <c r="R163">
        <f t="shared" si="23"/>
        <v>0.36666666666666664</v>
      </c>
    </row>
    <row r="164" spans="1:18" x14ac:dyDescent="0.3">
      <c r="A164">
        <v>2</v>
      </c>
      <c r="B164">
        <v>112</v>
      </c>
      <c r="C164">
        <v>68</v>
      </c>
      <c r="D164">
        <v>22</v>
      </c>
      <c r="E164">
        <v>94</v>
      </c>
      <c r="F164">
        <v>34.1</v>
      </c>
      <c r="G164">
        <v>0.315</v>
      </c>
      <c r="H164">
        <v>26</v>
      </c>
      <c r="I164">
        <v>0</v>
      </c>
      <c r="K164">
        <f t="shared" si="16"/>
        <v>0.11764705882352941</v>
      </c>
      <c r="L164">
        <f t="shared" si="17"/>
        <v>0.56281407035175879</v>
      </c>
      <c r="M164">
        <f t="shared" si="18"/>
        <v>0.55737704918032782</v>
      </c>
      <c r="N164">
        <f t="shared" si="19"/>
        <v>0.22222222222222221</v>
      </c>
      <c r="O164">
        <f t="shared" si="20"/>
        <v>0.1111111111111111</v>
      </c>
      <c r="P164">
        <f t="shared" si="21"/>
        <v>0.50819672131147542</v>
      </c>
      <c r="Q164">
        <f t="shared" si="22"/>
        <v>0.10119555935098205</v>
      </c>
      <c r="R164">
        <f t="shared" si="23"/>
        <v>8.3333333333333329E-2</v>
      </c>
    </row>
    <row r="165" spans="1:18" x14ac:dyDescent="0.3">
      <c r="A165">
        <v>3</v>
      </c>
      <c r="B165">
        <v>99</v>
      </c>
      <c r="C165">
        <v>80</v>
      </c>
      <c r="D165">
        <v>11</v>
      </c>
      <c r="E165">
        <v>64</v>
      </c>
      <c r="F165">
        <v>19.3</v>
      </c>
      <c r="G165">
        <v>0.28399999999999997</v>
      </c>
      <c r="H165">
        <v>30</v>
      </c>
      <c r="I165">
        <v>0</v>
      </c>
      <c r="K165">
        <f t="shared" si="16"/>
        <v>0.17647058823529413</v>
      </c>
      <c r="L165">
        <f t="shared" si="17"/>
        <v>0.49748743718592964</v>
      </c>
      <c r="M165">
        <f t="shared" si="18"/>
        <v>0.65573770491803274</v>
      </c>
      <c r="N165">
        <f t="shared" si="19"/>
        <v>0.1111111111111111</v>
      </c>
      <c r="O165">
        <f t="shared" si="20"/>
        <v>7.5650118203309691E-2</v>
      </c>
      <c r="P165">
        <f t="shared" si="21"/>
        <v>0.28763040238450077</v>
      </c>
      <c r="Q165">
        <f t="shared" si="22"/>
        <v>8.7959009393680593E-2</v>
      </c>
      <c r="R165">
        <f t="shared" si="23"/>
        <v>0.15</v>
      </c>
    </row>
    <row r="166" spans="1:18" x14ac:dyDescent="0.3">
      <c r="A166">
        <v>3</v>
      </c>
      <c r="B166">
        <v>182</v>
      </c>
      <c r="C166">
        <v>74</v>
      </c>
      <c r="D166">
        <v>0</v>
      </c>
      <c r="E166">
        <v>0</v>
      </c>
      <c r="F166">
        <v>30.5</v>
      </c>
      <c r="G166">
        <v>0.34499999999999997</v>
      </c>
      <c r="H166">
        <v>29</v>
      </c>
      <c r="I166">
        <v>1</v>
      </c>
      <c r="K166">
        <f t="shared" si="16"/>
        <v>0.17647058823529413</v>
      </c>
      <c r="L166">
        <f t="shared" si="17"/>
        <v>0.914572864321608</v>
      </c>
      <c r="M166">
        <f t="shared" si="18"/>
        <v>0.60655737704918034</v>
      </c>
      <c r="N166">
        <f t="shared" si="19"/>
        <v>0</v>
      </c>
      <c r="O166">
        <f t="shared" si="20"/>
        <v>0</v>
      </c>
      <c r="P166">
        <f t="shared" si="21"/>
        <v>0.45454545454545459</v>
      </c>
      <c r="Q166">
        <f t="shared" si="22"/>
        <v>0.11400512382578991</v>
      </c>
      <c r="R166">
        <f t="shared" si="23"/>
        <v>0.13333333333333333</v>
      </c>
    </row>
    <row r="167" spans="1:18" x14ac:dyDescent="0.3">
      <c r="A167">
        <v>3</v>
      </c>
      <c r="B167">
        <v>115</v>
      </c>
      <c r="C167">
        <v>66</v>
      </c>
      <c r="D167">
        <v>39</v>
      </c>
      <c r="E167">
        <v>140</v>
      </c>
      <c r="F167">
        <v>38.1</v>
      </c>
      <c r="G167">
        <v>0.15</v>
      </c>
      <c r="H167">
        <v>28</v>
      </c>
      <c r="I167">
        <v>0</v>
      </c>
      <c r="K167">
        <f t="shared" si="16"/>
        <v>0.17647058823529413</v>
      </c>
      <c r="L167">
        <f t="shared" si="17"/>
        <v>0.57788944723618085</v>
      </c>
      <c r="M167">
        <f t="shared" si="18"/>
        <v>0.54098360655737709</v>
      </c>
      <c r="N167">
        <f t="shared" si="19"/>
        <v>0.39393939393939392</v>
      </c>
      <c r="O167">
        <f t="shared" si="20"/>
        <v>0.16548463356973994</v>
      </c>
      <c r="P167">
        <f t="shared" si="21"/>
        <v>0.56780923994038757</v>
      </c>
      <c r="Q167">
        <f t="shared" si="22"/>
        <v>3.0742954739538853E-2</v>
      </c>
      <c r="R167">
        <f t="shared" si="23"/>
        <v>0.11666666666666667</v>
      </c>
    </row>
    <row r="168" spans="1:18" x14ac:dyDescent="0.3">
      <c r="A168">
        <v>6</v>
      </c>
      <c r="B168">
        <v>194</v>
      </c>
      <c r="C168">
        <v>78</v>
      </c>
      <c r="D168">
        <v>0</v>
      </c>
      <c r="E168">
        <v>0</v>
      </c>
      <c r="F168">
        <v>23.5</v>
      </c>
      <c r="G168">
        <v>0.129</v>
      </c>
      <c r="H168">
        <v>59</v>
      </c>
      <c r="I168">
        <v>1</v>
      </c>
      <c r="K168">
        <f t="shared" si="16"/>
        <v>0.35294117647058826</v>
      </c>
      <c r="L168">
        <f t="shared" si="17"/>
        <v>0.97487437185929648</v>
      </c>
      <c r="M168">
        <f t="shared" si="18"/>
        <v>0.63934426229508201</v>
      </c>
      <c r="N168">
        <f t="shared" si="19"/>
        <v>0</v>
      </c>
      <c r="O168">
        <f t="shared" si="20"/>
        <v>0</v>
      </c>
      <c r="P168">
        <f t="shared" si="21"/>
        <v>0.35022354694485847</v>
      </c>
      <c r="Q168">
        <f t="shared" si="22"/>
        <v>2.1776259607173356E-2</v>
      </c>
      <c r="R168">
        <f t="shared" si="23"/>
        <v>0.6333333333333333</v>
      </c>
    </row>
    <row r="169" spans="1:18" x14ac:dyDescent="0.3">
      <c r="A169">
        <v>4</v>
      </c>
      <c r="B169">
        <v>129</v>
      </c>
      <c r="C169">
        <v>60</v>
      </c>
      <c r="D169">
        <v>12</v>
      </c>
      <c r="E169">
        <v>231</v>
      </c>
      <c r="F169">
        <v>27.5</v>
      </c>
      <c r="G169">
        <v>0.52700000000000002</v>
      </c>
      <c r="H169">
        <v>31</v>
      </c>
      <c r="I169">
        <v>0</v>
      </c>
      <c r="K169">
        <f t="shared" si="16"/>
        <v>0.23529411764705882</v>
      </c>
      <c r="L169">
        <f t="shared" si="17"/>
        <v>0.64824120603015079</v>
      </c>
      <c r="M169">
        <f t="shared" si="18"/>
        <v>0.49180327868852458</v>
      </c>
      <c r="N169">
        <f t="shared" si="19"/>
        <v>0.12121212121212122</v>
      </c>
      <c r="O169">
        <f t="shared" si="20"/>
        <v>0.27304964539007093</v>
      </c>
      <c r="P169">
        <f t="shared" si="21"/>
        <v>0.4098360655737705</v>
      </c>
      <c r="Q169">
        <f t="shared" si="22"/>
        <v>0.19171648163962424</v>
      </c>
      <c r="R169">
        <f t="shared" si="23"/>
        <v>0.16666666666666666</v>
      </c>
    </row>
    <row r="170" spans="1:18" x14ac:dyDescent="0.3">
      <c r="A170">
        <v>3</v>
      </c>
      <c r="B170">
        <v>112</v>
      </c>
      <c r="C170">
        <v>74</v>
      </c>
      <c r="D170">
        <v>30</v>
      </c>
      <c r="E170">
        <v>0</v>
      </c>
      <c r="F170">
        <v>31.6</v>
      </c>
      <c r="G170">
        <v>0.19700000000000001</v>
      </c>
      <c r="H170">
        <v>25</v>
      </c>
      <c r="I170">
        <v>1</v>
      </c>
      <c r="K170">
        <f t="shared" si="16"/>
        <v>0.17647058823529413</v>
      </c>
      <c r="L170">
        <f t="shared" si="17"/>
        <v>0.56281407035175879</v>
      </c>
      <c r="M170">
        <f t="shared" si="18"/>
        <v>0.60655737704918034</v>
      </c>
      <c r="N170">
        <f t="shared" si="19"/>
        <v>0.30303030303030304</v>
      </c>
      <c r="O170">
        <f t="shared" si="20"/>
        <v>0</v>
      </c>
      <c r="P170">
        <f t="shared" si="21"/>
        <v>0.47093889716840542</v>
      </c>
      <c r="Q170">
        <f t="shared" si="22"/>
        <v>5.0811272416737829E-2</v>
      </c>
      <c r="R170">
        <f t="shared" si="23"/>
        <v>6.6666666666666666E-2</v>
      </c>
    </row>
    <row r="171" spans="1:18" x14ac:dyDescent="0.3">
      <c r="A171">
        <v>0</v>
      </c>
      <c r="B171">
        <v>124</v>
      </c>
      <c r="C171">
        <v>70</v>
      </c>
      <c r="D171">
        <v>20</v>
      </c>
      <c r="E171">
        <v>0</v>
      </c>
      <c r="F171">
        <v>27.4</v>
      </c>
      <c r="G171">
        <v>0.254</v>
      </c>
      <c r="H171">
        <v>36</v>
      </c>
      <c r="I171">
        <v>1</v>
      </c>
      <c r="K171">
        <f t="shared" si="16"/>
        <v>0</v>
      </c>
      <c r="L171">
        <f t="shared" si="17"/>
        <v>0.62311557788944727</v>
      </c>
      <c r="M171">
        <f t="shared" si="18"/>
        <v>0.57377049180327866</v>
      </c>
      <c r="N171">
        <f t="shared" si="19"/>
        <v>0.20202020202020202</v>
      </c>
      <c r="O171">
        <f t="shared" si="20"/>
        <v>0</v>
      </c>
      <c r="P171">
        <f t="shared" si="21"/>
        <v>0.40834575260804773</v>
      </c>
      <c r="Q171">
        <f t="shared" si="22"/>
        <v>7.5149444918872751E-2</v>
      </c>
      <c r="R171">
        <f t="shared" si="23"/>
        <v>0.25</v>
      </c>
    </row>
    <row r="172" spans="1:18" x14ac:dyDescent="0.3">
      <c r="A172">
        <v>13</v>
      </c>
      <c r="B172">
        <v>152</v>
      </c>
      <c r="C172">
        <v>90</v>
      </c>
      <c r="D172">
        <v>33</v>
      </c>
      <c r="E172">
        <v>29</v>
      </c>
      <c r="F172">
        <v>26.8</v>
      </c>
      <c r="G172">
        <v>0.73099999999999998</v>
      </c>
      <c r="H172">
        <v>43</v>
      </c>
      <c r="I172">
        <v>1</v>
      </c>
      <c r="K172">
        <f t="shared" si="16"/>
        <v>0.76470588235294112</v>
      </c>
      <c r="L172">
        <f t="shared" si="17"/>
        <v>0.76381909547738691</v>
      </c>
      <c r="M172">
        <f t="shared" si="18"/>
        <v>0.73770491803278693</v>
      </c>
      <c r="N172">
        <f t="shared" si="19"/>
        <v>0.33333333333333331</v>
      </c>
      <c r="O172">
        <f t="shared" si="20"/>
        <v>3.4278959810874705E-2</v>
      </c>
      <c r="P172">
        <f t="shared" si="21"/>
        <v>0.39940387481371092</v>
      </c>
      <c r="Q172">
        <f t="shared" si="22"/>
        <v>0.27882152006831767</v>
      </c>
      <c r="R172">
        <f t="shared" si="23"/>
        <v>0.36666666666666664</v>
      </c>
    </row>
    <row r="173" spans="1:18" x14ac:dyDescent="0.3">
      <c r="A173">
        <v>2</v>
      </c>
      <c r="B173">
        <v>112</v>
      </c>
      <c r="C173">
        <v>75</v>
      </c>
      <c r="D173">
        <v>32</v>
      </c>
      <c r="E173">
        <v>0</v>
      </c>
      <c r="F173">
        <v>35.700000000000003</v>
      </c>
      <c r="G173">
        <v>0.14799999999999999</v>
      </c>
      <c r="H173">
        <v>21</v>
      </c>
      <c r="I173">
        <v>0</v>
      </c>
      <c r="K173">
        <f t="shared" si="16"/>
        <v>0.11764705882352941</v>
      </c>
      <c r="L173">
        <f t="shared" si="17"/>
        <v>0.56281407035175879</v>
      </c>
      <c r="M173">
        <f t="shared" si="18"/>
        <v>0.61475409836065575</v>
      </c>
      <c r="N173">
        <f t="shared" si="19"/>
        <v>0.32323232323232326</v>
      </c>
      <c r="O173">
        <f t="shared" si="20"/>
        <v>0</v>
      </c>
      <c r="P173">
        <f t="shared" si="21"/>
        <v>0.53204172876304034</v>
      </c>
      <c r="Q173">
        <f t="shared" si="22"/>
        <v>2.988898377455166E-2</v>
      </c>
      <c r="R173">
        <f t="shared" si="23"/>
        <v>0</v>
      </c>
    </row>
    <row r="174" spans="1:18" x14ac:dyDescent="0.3">
      <c r="A174">
        <v>1</v>
      </c>
      <c r="B174">
        <v>157</v>
      </c>
      <c r="C174">
        <v>72</v>
      </c>
      <c r="D174">
        <v>21</v>
      </c>
      <c r="E174">
        <v>168</v>
      </c>
      <c r="F174">
        <v>25.6</v>
      </c>
      <c r="G174">
        <v>0.123</v>
      </c>
      <c r="H174">
        <v>24</v>
      </c>
      <c r="I174">
        <v>0</v>
      </c>
      <c r="K174">
        <f t="shared" si="16"/>
        <v>5.8823529411764705E-2</v>
      </c>
      <c r="L174">
        <f t="shared" si="17"/>
        <v>0.78894472361809043</v>
      </c>
      <c r="M174">
        <f t="shared" si="18"/>
        <v>0.5901639344262295</v>
      </c>
      <c r="N174">
        <f t="shared" si="19"/>
        <v>0.21212121212121213</v>
      </c>
      <c r="O174">
        <f t="shared" si="20"/>
        <v>0.19858156028368795</v>
      </c>
      <c r="P174">
        <f t="shared" si="21"/>
        <v>0.38152011922503731</v>
      </c>
      <c r="Q174">
        <f t="shared" si="22"/>
        <v>1.9214346712211783E-2</v>
      </c>
      <c r="R174">
        <f t="shared" si="23"/>
        <v>0.05</v>
      </c>
    </row>
    <row r="175" spans="1:18" x14ac:dyDescent="0.3">
      <c r="A175">
        <v>1</v>
      </c>
      <c r="B175">
        <v>122</v>
      </c>
      <c r="C175">
        <v>64</v>
      </c>
      <c r="D175">
        <v>32</v>
      </c>
      <c r="E175">
        <v>156</v>
      </c>
      <c r="F175">
        <v>35.1</v>
      </c>
      <c r="G175">
        <v>0.69199999999999995</v>
      </c>
      <c r="H175">
        <v>30</v>
      </c>
      <c r="I175">
        <v>1</v>
      </c>
      <c r="K175">
        <f t="shared" si="16"/>
        <v>5.8823529411764705E-2</v>
      </c>
      <c r="L175">
        <f t="shared" si="17"/>
        <v>0.61306532663316582</v>
      </c>
      <c r="M175">
        <f t="shared" si="18"/>
        <v>0.52459016393442626</v>
      </c>
      <c r="N175">
        <f t="shared" si="19"/>
        <v>0.32323232323232326</v>
      </c>
      <c r="O175">
        <f t="shared" si="20"/>
        <v>0.18439716312056736</v>
      </c>
      <c r="P175">
        <f t="shared" si="21"/>
        <v>0.52309985096870348</v>
      </c>
      <c r="Q175">
        <f t="shared" si="22"/>
        <v>0.26216908625106744</v>
      </c>
      <c r="R175">
        <f t="shared" si="23"/>
        <v>0.15</v>
      </c>
    </row>
    <row r="176" spans="1:18" x14ac:dyDescent="0.3">
      <c r="A176">
        <v>10</v>
      </c>
      <c r="B176">
        <v>179</v>
      </c>
      <c r="C176">
        <v>70</v>
      </c>
      <c r="D176">
        <v>0</v>
      </c>
      <c r="E176">
        <v>0</v>
      </c>
      <c r="F176">
        <v>35.1</v>
      </c>
      <c r="G176">
        <v>0.2</v>
      </c>
      <c r="H176">
        <v>37</v>
      </c>
      <c r="I176">
        <v>0</v>
      </c>
      <c r="K176">
        <f t="shared" si="16"/>
        <v>0.58823529411764708</v>
      </c>
      <c r="L176">
        <f t="shared" si="17"/>
        <v>0.89949748743718594</v>
      </c>
      <c r="M176">
        <f t="shared" si="18"/>
        <v>0.57377049180327866</v>
      </c>
      <c r="N176">
        <f t="shared" si="19"/>
        <v>0</v>
      </c>
      <c r="O176">
        <f t="shared" si="20"/>
        <v>0</v>
      </c>
      <c r="P176">
        <f t="shared" si="21"/>
        <v>0.52309985096870348</v>
      </c>
      <c r="Q176">
        <f t="shared" si="22"/>
        <v>5.2092228864218618E-2</v>
      </c>
      <c r="R176">
        <f t="shared" si="23"/>
        <v>0.26666666666666666</v>
      </c>
    </row>
    <row r="177" spans="1:18" x14ac:dyDescent="0.3">
      <c r="A177">
        <v>2</v>
      </c>
      <c r="B177">
        <v>102</v>
      </c>
      <c r="C177">
        <v>86</v>
      </c>
      <c r="D177">
        <v>36</v>
      </c>
      <c r="E177">
        <v>120</v>
      </c>
      <c r="F177">
        <v>45.5</v>
      </c>
      <c r="G177">
        <v>0.127</v>
      </c>
      <c r="H177">
        <v>23</v>
      </c>
      <c r="I177">
        <v>1</v>
      </c>
      <c r="K177">
        <f t="shared" si="16"/>
        <v>0.11764705882352941</v>
      </c>
      <c r="L177">
        <f t="shared" si="17"/>
        <v>0.51256281407035176</v>
      </c>
      <c r="M177">
        <f t="shared" si="18"/>
        <v>0.70491803278688525</v>
      </c>
      <c r="N177">
        <f t="shared" si="19"/>
        <v>0.36363636363636365</v>
      </c>
      <c r="O177">
        <f t="shared" si="20"/>
        <v>0.14184397163120568</v>
      </c>
      <c r="P177">
        <f t="shared" si="21"/>
        <v>0.67809239940387489</v>
      </c>
      <c r="Q177">
        <f t="shared" si="22"/>
        <v>2.0922288642186166E-2</v>
      </c>
      <c r="R177">
        <f t="shared" si="23"/>
        <v>3.3333333333333333E-2</v>
      </c>
    </row>
    <row r="178" spans="1:18" x14ac:dyDescent="0.3">
      <c r="A178">
        <v>6</v>
      </c>
      <c r="B178">
        <v>105</v>
      </c>
      <c r="C178">
        <v>70</v>
      </c>
      <c r="D178">
        <v>32</v>
      </c>
      <c r="E178">
        <v>68</v>
      </c>
      <c r="F178">
        <v>30.8</v>
      </c>
      <c r="G178">
        <v>0.122</v>
      </c>
      <c r="H178">
        <v>37</v>
      </c>
      <c r="I178">
        <v>0</v>
      </c>
      <c r="K178">
        <f t="shared" si="16"/>
        <v>0.35294117647058826</v>
      </c>
      <c r="L178">
        <f t="shared" si="17"/>
        <v>0.52763819095477382</v>
      </c>
      <c r="M178">
        <f t="shared" si="18"/>
        <v>0.57377049180327866</v>
      </c>
      <c r="N178">
        <f t="shared" si="19"/>
        <v>0.32323232323232326</v>
      </c>
      <c r="O178">
        <f t="shared" si="20"/>
        <v>8.0378250591016553E-2</v>
      </c>
      <c r="P178">
        <f t="shared" si="21"/>
        <v>0.45901639344262302</v>
      </c>
      <c r="Q178">
        <f t="shared" si="22"/>
        <v>1.8787361229718188E-2</v>
      </c>
      <c r="R178">
        <f t="shared" si="23"/>
        <v>0.26666666666666666</v>
      </c>
    </row>
    <row r="179" spans="1:18" x14ac:dyDescent="0.3">
      <c r="A179">
        <v>8</v>
      </c>
      <c r="B179">
        <v>118</v>
      </c>
      <c r="C179">
        <v>72</v>
      </c>
      <c r="D179">
        <v>19</v>
      </c>
      <c r="E179">
        <v>0</v>
      </c>
      <c r="F179">
        <v>23.1</v>
      </c>
      <c r="G179">
        <v>1.476</v>
      </c>
      <c r="H179">
        <v>46</v>
      </c>
      <c r="I179">
        <v>0</v>
      </c>
      <c r="K179">
        <f t="shared" si="16"/>
        <v>0.47058823529411764</v>
      </c>
      <c r="L179">
        <f t="shared" si="17"/>
        <v>0.59296482412060303</v>
      </c>
      <c r="M179">
        <f t="shared" si="18"/>
        <v>0.5901639344262295</v>
      </c>
      <c r="N179">
        <f t="shared" si="19"/>
        <v>0.19191919191919191</v>
      </c>
      <c r="O179">
        <f t="shared" si="20"/>
        <v>0</v>
      </c>
      <c r="P179">
        <f t="shared" si="21"/>
        <v>0.34426229508196726</v>
      </c>
      <c r="Q179">
        <f t="shared" si="22"/>
        <v>0.5969257045260461</v>
      </c>
      <c r="R179">
        <f t="shared" si="23"/>
        <v>0.41666666666666669</v>
      </c>
    </row>
    <row r="180" spans="1:18" x14ac:dyDescent="0.3">
      <c r="A180">
        <v>2</v>
      </c>
      <c r="B180">
        <v>87</v>
      </c>
      <c r="C180">
        <v>58</v>
      </c>
      <c r="D180">
        <v>16</v>
      </c>
      <c r="E180">
        <v>52</v>
      </c>
      <c r="F180">
        <v>32.700000000000003</v>
      </c>
      <c r="G180">
        <v>0.16600000000000001</v>
      </c>
      <c r="H180">
        <v>25</v>
      </c>
      <c r="I180">
        <v>0</v>
      </c>
      <c r="K180">
        <f t="shared" si="16"/>
        <v>0.11764705882352941</v>
      </c>
      <c r="L180">
        <f t="shared" si="17"/>
        <v>0.43718592964824121</v>
      </c>
      <c r="M180">
        <f t="shared" si="18"/>
        <v>0.47540983606557374</v>
      </c>
      <c r="N180">
        <f t="shared" si="19"/>
        <v>0.16161616161616163</v>
      </c>
      <c r="O180">
        <f t="shared" si="20"/>
        <v>6.1465721040189124E-2</v>
      </c>
      <c r="P180">
        <f t="shared" si="21"/>
        <v>0.48733233979135626</v>
      </c>
      <c r="Q180">
        <f t="shared" si="22"/>
        <v>3.7574722459436383E-2</v>
      </c>
      <c r="R180">
        <f t="shared" si="23"/>
        <v>6.6666666666666666E-2</v>
      </c>
    </row>
    <row r="181" spans="1:18" x14ac:dyDescent="0.3">
      <c r="A181">
        <v>1</v>
      </c>
      <c r="B181">
        <v>180</v>
      </c>
      <c r="C181">
        <v>0</v>
      </c>
      <c r="D181">
        <v>0</v>
      </c>
      <c r="E181">
        <v>0</v>
      </c>
      <c r="F181">
        <v>43.3</v>
      </c>
      <c r="G181">
        <v>0.28199999999999997</v>
      </c>
      <c r="H181">
        <v>41</v>
      </c>
      <c r="I181">
        <v>1</v>
      </c>
      <c r="K181">
        <f t="shared" si="16"/>
        <v>5.8823529411764705E-2</v>
      </c>
      <c r="L181">
        <f t="shared" si="17"/>
        <v>0.90452261306532666</v>
      </c>
      <c r="M181">
        <f t="shared" si="18"/>
        <v>0</v>
      </c>
      <c r="N181">
        <f t="shared" si="19"/>
        <v>0</v>
      </c>
      <c r="O181">
        <f t="shared" si="20"/>
        <v>0</v>
      </c>
      <c r="P181">
        <f t="shared" si="21"/>
        <v>0.64530551415797321</v>
      </c>
      <c r="Q181">
        <f t="shared" si="22"/>
        <v>8.710503842869341E-2</v>
      </c>
      <c r="R181">
        <f t="shared" si="23"/>
        <v>0.33333333333333331</v>
      </c>
    </row>
    <row r="182" spans="1:18" x14ac:dyDescent="0.3">
      <c r="A182">
        <v>12</v>
      </c>
      <c r="B182">
        <v>106</v>
      </c>
      <c r="C182">
        <v>80</v>
      </c>
      <c r="D182">
        <v>0</v>
      </c>
      <c r="E182">
        <v>0</v>
      </c>
      <c r="F182">
        <v>23.6</v>
      </c>
      <c r="G182">
        <v>0.13700000000000001</v>
      </c>
      <c r="H182">
        <v>44</v>
      </c>
      <c r="I182">
        <v>0</v>
      </c>
      <c r="K182">
        <f t="shared" si="16"/>
        <v>0.70588235294117652</v>
      </c>
      <c r="L182">
        <f t="shared" si="17"/>
        <v>0.53266331658291455</v>
      </c>
      <c r="M182">
        <f t="shared" si="18"/>
        <v>0.65573770491803274</v>
      </c>
      <c r="N182">
        <f t="shared" si="19"/>
        <v>0</v>
      </c>
      <c r="O182">
        <f t="shared" si="20"/>
        <v>0</v>
      </c>
      <c r="P182">
        <f t="shared" si="21"/>
        <v>0.35171385991058129</v>
      </c>
      <c r="Q182">
        <f t="shared" si="22"/>
        <v>2.5192143467122122E-2</v>
      </c>
      <c r="R182">
        <f t="shared" si="23"/>
        <v>0.38333333333333336</v>
      </c>
    </row>
    <row r="183" spans="1:18" x14ac:dyDescent="0.3">
      <c r="A183">
        <v>1</v>
      </c>
      <c r="B183">
        <v>95</v>
      </c>
      <c r="C183">
        <v>60</v>
      </c>
      <c r="D183">
        <v>18</v>
      </c>
      <c r="E183">
        <v>58</v>
      </c>
      <c r="F183">
        <v>23.9</v>
      </c>
      <c r="G183">
        <v>0.26</v>
      </c>
      <c r="H183">
        <v>22</v>
      </c>
      <c r="I183">
        <v>0</v>
      </c>
      <c r="K183">
        <f t="shared" si="16"/>
        <v>5.8823529411764705E-2</v>
      </c>
      <c r="L183">
        <f t="shared" si="17"/>
        <v>0.47738693467336685</v>
      </c>
      <c r="M183">
        <f t="shared" si="18"/>
        <v>0.49180327868852458</v>
      </c>
      <c r="N183">
        <f t="shared" si="19"/>
        <v>0.18181818181818182</v>
      </c>
      <c r="O183">
        <f t="shared" si="20"/>
        <v>6.8557919621749411E-2</v>
      </c>
      <c r="P183">
        <f t="shared" si="21"/>
        <v>0.35618479880774961</v>
      </c>
      <c r="Q183">
        <f t="shared" si="22"/>
        <v>7.7711357813834328E-2</v>
      </c>
      <c r="R183">
        <f t="shared" si="23"/>
        <v>1.6666666666666666E-2</v>
      </c>
    </row>
    <row r="184" spans="1:18" x14ac:dyDescent="0.3">
      <c r="A184">
        <v>0</v>
      </c>
      <c r="B184">
        <v>165</v>
      </c>
      <c r="C184">
        <v>76</v>
      </c>
      <c r="D184">
        <v>43</v>
      </c>
      <c r="E184">
        <v>255</v>
      </c>
      <c r="F184">
        <v>47.9</v>
      </c>
      <c r="G184">
        <v>0.25900000000000001</v>
      </c>
      <c r="H184">
        <v>26</v>
      </c>
      <c r="I184">
        <v>0</v>
      </c>
      <c r="K184">
        <f t="shared" si="16"/>
        <v>0</v>
      </c>
      <c r="L184">
        <f t="shared" si="17"/>
        <v>0.82914572864321612</v>
      </c>
      <c r="M184">
        <f t="shared" si="18"/>
        <v>0.62295081967213117</v>
      </c>
      <c r="N184">
        <f t="shared" si="19"/>
        <v>0.43434343434343436</v>
      </c>
      <c r="O184">
        <f t="shared" si="20"/>
        <v>0.30141843971631205</v>
      </c>
      <c r="P184">
        <f t="shared" si="21"/>
        <v>0.71385991058122211</v>
      </c>
      <c r="Q184">
        <f t="shared" si="22"/>
        <v>7.7284372331340723E-2</v>
      </c>
      <c r="R184">
        <f t="shared" si="23"/>
        <v>8.3333333333333329E-2</v>
      </c>
    </row>
    <row r="185" spans="1:18" x14ac:dyDescent="0.3">
      <c r="A185">
        <v>0</v>
      </c>
      <c r="B185">
        <v>117</v>
      </c>
      <c r="C185">
        <v>0</v>
      </c>
      <c r="D185">
        <v>0</v>
      </c>
      <c r="E185">
        <v>0</v>
      </c>
      <c r="F185">
        <v>33.799999999999997</v>
      </c>
      <c r="G185">
        <v>0.93200000000000005</v>
      </c>
      <c r="H185">
        <v>44</v>
      </c>
      <c r="I185">
        <v>0</v>
      </c>
      <c r="K185">
        <f t="shared" si="16"/>
        <v>0</v>
      </c>
      <c r="L185">
        <f t="shared" si="17"/>
        <v>0.5879396984924623</v>
      </c>
      <c r="M185">
        <f t="shared" si="18"/>
        <v>0</v>
      </c>
      <c r="N185">
        <f t="shared" si="19"/>
        <v>0</v>
      </c>
      <c r="O185">
        <f t="shared" si="20"/>
        <v>0</v>
      </c>
      <c r="P185">
        <f t="shared" si="21"/>
        <v>0.50372578241430699</v>
      </c>
      <c r="Q185">
        <f t="shared" si="22"/>
        <v>0.36464560204953034</v>
      </c>
      <c r="R185">
        <f t="shared" si="23"/>
        <v>0.38333333333333336</v>
      </c>
    </row>
    <row r="186" spans="1:18" x14ac:dyDescent="0.3">
      <c r="A186">
        <v>5</v>
      </c>
      <c r="B186">
        <v>115</v>
      </c>
      <c r="C186">
        <v>76</v>
      </c>
      <c r="D186">
        <v>0</v>
      </c>
      <c r="E186">
        <v>0</v>
      </c>
      <c r="F186">
        <v>31.2</v>
      </c>
      <c r="G186">
        <v>0.34300000000000003</v>
      </c>
      <c r="H186">
        <v>44</v>
      </c>
      <c r="I186">
        <v>1</v>
      </c>
      <c r="K186">
        <f t="shared" si="16"/>
        <v>0.29411764705882354</v>
      </c>
      <c r="L186">
        <f t="shared" si="17"/>
        <v>0.57788944723618085</v>
      </c>
      <c r="M186">
        <f t="shared" si="18"/>
        <v>0.62295081967213117</v>
      </c>
      <c r="N186">
        <f t="shared" si="19"/>
        <v>0</v>
      </c>
      <c r="O186">
        <f t="shared" si="20"/>
        <v>0</v>
      </c>
      <c r="P186">
        <f t="shared" si="21"/>
        <v>0.46497764530551416</v>
      </c>
      <c r="Q186">
        <f t="shared" si="22"/>
        <v>0.11315115286080274</v>
      </c>
      <c r="R186">
        <f t="shared" si="23"/>
        <v>0.38333333333333336</v>
      </c>
    </row>
    <row r="187" spans="1:18" x14ac:dyDescent="0.3">
      <c r="A187">
        <v>9</v>
      </c>
      <c r="B187">
        <v>152</v>
      </c>
      <c r="C187">
        <v>78</v>
      </c>
      <c r="D187">
        <v>34</v>
      </c>
      <c r="E187">
        <v>171</v>
      </c>
      <c r="F187">
        <v>34.200000000000003</v>
      </c>
      <c r="G187">
        <v>0.89300000000000002</v>
      </c>
      <c r="H187">
        <v>33</v>
      </c>
      <c r="I187">
        <v>1</v>
      </c>
      <c r="K187">
        <f t="shared" si="16"/>
        <v>0.52941176470588236</v>
      </c>
      <c r="L187">
        <f t="shared" si="17"/>
        <v>0.76381909547738691</v>
      </c>
      <c r="M187">
        <f t="shared" si="18"/>
        <v>0.63934426229508201</v>
      </c>
      <c r="N187">
        <f t="shared" si="19"/>
        <v>0.34343434343434343</v>
      </c>
      <c r="O187">
        <f t="shared" si="20"/>
        <v>0.20212765957446807</v>
      </c>
      <c r="P187">
        <f t="shared" si="21"/>
        <v>0.5096870342771983</v>
      </c>
      <c r="Q187">
        <f t="shared" si="22"/>
        <v>0.3479931682322801</v>
      </c>
      <c r="R187">
        <f t="shared" si="23"/>
        <v>0.2</v>
      </c>
    </row>
    <row r="188" spans="1:18" x14ac:dyDescent="0.3">
      <c r="A188">
        <v>7</v>
      </c>
      <c r="B188">
        <v>178</v>
      </c>
      <c r="C188">
        <v>84</v>
      </c>
      <c r="D188">
        <v>0</v>
      </c>
      <c r="E188">
        <v>0</v>
      </c>
      <c r="F188">
        <v>39.9</v>
      </c>
      <c r="G188">
        <v>0.33100000000000002</v>
      </c>
      <c r="H188">
        <v>41</v>
      </c>
      <c r="I188">
        <v>1</v>
      </c>
      <c r="K188">
        <f t="shared" si="16"/>
        <v>0.41176470588235292</v>
      </c>
      <c r="L188">
        <f t="shared" si="17"/>
        <v>0.89447236180904521</v>
      </c>
      <c r="M188">
        <f t="shared" si="18"/>
        <v>0.68852459016393441</v>
      </c>
      <c r="N188">
        <f t="shared" si="19"/>
        <v>0</v>
      </c>
      <c r="O188">
        <f t="shared" si="20"/>
        <v>0</v>
      </c>
      <c r="P188">
        <f t="shared" si="21"/>
        <v>0.59463487332339793</v>
      </c>
      <c r="Q188">
        <f t="shared" si="22"/>
        <v>0.10802732707087959</v>
      </c>
      <c r="R188">
        <f t="shared" si="23"/>
        <v>0.33333333333333331</v>
      </c>
    </row>
    <row r="189" spans="1:18" x14ac:dyDescent="0.3">
      <c r="A189">
        <v>1</v>
      </c>
      <c r="B189">
        <v>130</v>
      </c>
      <c r="C189">
        <v>70</v>
      </c>
      <c r="D189">
        <v>13</v>
      </c>
      <c r="E189">
        <v>105</v>
      </c>
      <c r="F189">
        <v>25.9</v>
      </c>
      <c r="G189">
        <v>0.47199999999999998</v>
      </c>
      <c r="H189">
        <v>22</v>
      </c>
      <c r="I189">
        <v>0</v>
      </c>
      <c r="K189">
        <f t="shared" si="16"/>
        <v>5.8823529411764705E-2</v>
      </c>
      <c r="L189">
        <f t="shared" si="17"/>
        <v>0.65326633165829151</v>
      </c>
      <c r="M189">
        <f t="shared" si="18"/>
        <v>0.57377049180327866</v>
      </c>
      <c r="N189">
        <f t="shared" si="19"/>
        <v>0.13131313131313133</v>
      </c>
      <c r="O189">
        <f t="shared" si="20"/>
        <v>0.12411347517730496</v>
      </c>
      <c r="P189">
        <f t="shared" si="21"/>
        <v>0.38599105812220569</v>
      </c>
      <c r="Q189">
        <f t="shared" si="22"/>
        <v>0.16823228010247648</v>
      </c>
      <c r="R189">
        <f t="shared" si="23"/>
        <v>1.6666666666666666E-2</v>
      </c>
    </row>
    <row r="190" spans="1:18" x14ac:dyDescent="0.3">
      <c r="A190">
        <v>1</v>
      </c>
      <c r="B190">
        <v>95</v>
      </c>
      <c r="C190">
        <v>74</v>
      </c>
      <c r="D190">
        <v>21</v>
      </c>
      <c r="E190">
        <v>73</v>
      </c>
      <c r="F190">
        <v>25.9</v>
      </c>
      <c r="G190">
        <v>0.67300000000000004</v>
      </c>
      <c r="H190">
        <v>36</v>
      </c>
      <c r="I190">
        <v>0</v>
      </c>
      <c r="K190">
        <f t="shared" si="16"/>
        <v>5.8823529411764705E-2</v>
      </c>
      <c r="L190">
        <f t="shared" si="17"/>
        <v>0.47738693467336685</v>
      </c>
      <c r="M190">
        <f t="shared" si="18"/>
        <v>0.60655737704918034</v>
      </c>
      <c r="N190">
        <f t="shared" si="19"/>
        <v>0.21212121212121213</v>
      </c>
      <c r="O190">
        <f t="shared" si="20"/>
        <v>8.6288416075650118E-2</v>
      </c>
      <c r="P190">
        <f t="shared" si="21"/>
        <v>0.38599105812220569</v>
      </c>
      <c r="Q190">
        <f t="shared" si="22"/>
        <v>0.2540563620836892</v>
      </c>
      <c r="R190">
        <f t="shared" si="23"/>
        <v>0.25</v>
      </c>
    </row>
    <row r="191" spans="1:18" x14ac:dyDescent="0.3">
      <c r="A191">
        <v>1</v>
      </c>
      <c r="B191">
        <v>0</v>
      </c>
      <c r="C191">
        <v>68</v>
      </c>
      <c r="D191">
        <v>35</v>
      </c>
      <c r="E191">
        <v>0</v>
      </c>
      <c r="F191">
        <v>32</v>
      </c>
      <c r="G191">
        <v>0.38900000000000001</v>
      </c>
      <c r="H191">
        <v>22</v>
      </c>
      <c r="I191">
        <v>0</v>
      </c>
      <c r="K191">
        <f t="shared" si="16"/>
        <v>5.8823529411764705E-2</v>
      </c>
      <c r="L191">
        <f t="shared" si="17"/>
        <v>0</v>
      </c>
      <c r="M191">
        <f t="shared" si="18"/>
        <v>0.55737704918032782</v>
      </c>
      <c r="N191">
        <f t="shared" si="19"/>
        <v>0.35353535353535354</v>
      </c>
      <c r="O191">
        <f t="shared" si="20"/>
        <v>0</v>
      </c>
      <c r="P191">
        <f t="shared" si="21"/>
        <v>0.47690014903129663</v>
      </c>
      <c r="Q191">
        <f t="shared" si="22"/>
        <v>0.13279248505550811</v>
      </c>
      <c r="R191">
        <f t="shared" si="23"/>
        <v>1.6666666666666666E-2</v>
      </c>
    </row>
    <row r="192" spans="1:18" x14ac:dyDescent="0.3">
      <c r="A192">
        <v>5</v>
      </c>
      <c r="B192">
        <v>122</v>
      </c>
      <c r="C192">
        <v>86</v>
      </c>
      <c r="D192">
        <v>0</v>
      </c>
      <c r="E192">
        <v>0</v>
      </c>
      <c r="F192">
        <v>34.700000000000003</v>
      </c>
      <c r="G192">
        <v>0.28999999999999998</v>
      </c>
      <c r="H192">
        <v>33</v>
      </c>
      <c r="I192">
        <v>0</v>
      </c>
      <c r="K192">
        <f t="shared" si="16"/>
        <v>0.29411764705882354</v>
      </c>
      <c r="L192">
        <f t="shared" si="17"/>
        <v>0.61306532663316582</v>
      </c>
      <c r="M192">
        <f t="shared" si="18"/>
        <v>0.70491803278688525</v>
      </c>
      <c r="N192">
        <f t="shared" si="19"/>
        <v>0</v>
      </c>
      <c r="O192">
        <f t="shared" si="20"/>
        <v>0</v>
      </c>
      <c r="P192">
        <f t="shared" si="21"/>
        <v>0.51713859910581228</v>
      </c>
      <c r="Q192">
        <f t="shared" si="22"/>
        <v>9.0520922288642169E-2</v>
      </c>
      <c r="R192">
        <f t="shared" si="23"/>
        <v>0.2</v>
      </c>
    </row>
    <row r="193" spans="1:18" x14ac:dyDescent="0.3">
      <c r="A193">
        <v>8</v>
      </c>
      <c r="B193">
        <v>95</v>
      </c>
      <c r="C193">
        <v>72</v>
      </c>
      <c r="D193">
        <v>0</v>
      </c>
      <c r="E193">
        <v>0</v>
      </c>
      <c r="F193">
        <v>36.799999999999997</v>
      </c>
      <c r="G193">
        <v>0.48499999999999999</v>
      </c>
      <c r="H193">
        <v>57</v>
      </c>
      <c r="I193">
        <v>0</v>
      </c>
      <c r="K193">
        <f t="shared" si="16"/>
        <v>0.47058823529411764</v>
      </c>
      <c r="L193">
        <f t="shared" si="17"/>
        <v>0.47738693467336685</v>
      </c>
      <c r="M193">
        <f t="shared" si="18"/>
        <v>0.5901639344262295</v>
      </c>
      <c r="N193">
        <f t="shared" si="19"/>
        <v>0</v>
      </c>
      <c r="O193">
        <f t="shared" si="20"/>
        <v>0</v>
      </c>
      <c r="P193">
        <f t="shared" si="21"/>
        <v>0.54843517138599107</v>
      </c>
      <c r="Q193">
        <f t="shared" si="22"/>
        <v>0.17378309137489323</v>
      </c>
      <c r="R193">
        <f t="shared" si="23"/>
        <v>0.6</v>
      </c>
    </row>
    <row r="194" spans="1:18" x14ac:dyDescent="0.3">
      <c r="A194">
        <v>8</v>
      </c>
      <c r="B194">
        <v>126</v>
      </c>
      <c r="C194">
        <v>88</v>
      </c>
      <c r="D194">
        <v>36</v>
      </c>
      <c r="E194">
        <v>108</v>
      </c>
      <c r="F194">
        <v>38.5</v>
      </c>
      <c r="G194">
        <v>0.34899999999999998</v>
      </c>
      <c r="H194">
        <v>49</v>
      </c>
      <c r="I194">
        <v>0</v>
      </c>
      <c r="K194">
        <f t="shared" si="16"/>
        <v>0.47058823529411764</v>
      </c>
      <c r="L194">
        <f t="shared" si="17"/>
        <v>0.63316582914572861</v>
      </c>
      <c r="M194">
        <f t="shared" si="18"/>
        <v>0.72131147540983609</v>
      </c>
      <c r="N194">
        <f t="shared" si="19"/>
        <v>0.36363636363636365</v>
      </c>
      <c r="O194">
        <f t="shared" si="20"/>
        <v>0.1276595744680851</v>
      </c>
      <c r="P194">
        <f t="shared" si="21"/>
        <v>0.57377049180327877</v>
      </c>
      <c r="Q194">
        <f t="shared" si="22"/>
        <v>0.11571306575576429</v>
      </c>
      <c r="R194">
        <f t="shared" si="23"/>
        <v>0.46666666666666667</v>
      </c>
    </row>
    <row r="195" spans="1:18" x14ac:dyDescent="0.3">
      <c r="A195">
        <v>1</v>
      </c>
      <c r="B195">
        <v>139</v>
      </c>
      <c r="C195">
        <v>46</v>
      </c>
      <c r="D195">
        <v>19</v>
      </c>
      <c r="E195">
        <v>83</v>
      </c>
      <c r="F195">
        <v>28.7</v>
      </c>
      <c r="G195">
        <v>0.65400000000000003</v>
      </c>
      <c r="H195">
        <v>22</v>
      </c>
      <c r="I195">
        <v>0</v>
      </c>
      <c r="K195">
        <f t="shared" ref="K195:K258" si="24">(A195-0)/(17-0)</f>
        <v>5.8823529411764705E-2</v>
      </c>
      <c r="L195">
        <f t="shared" ref="L195:L258" si="25">(B195-0)/(199-0)</f>
        <v>0.69849246231155782</v>
      </c>
      <c r="M195">
        <f t="shared" ref="M195:M258" si="26">(C195-0)/(122-0)</f>
        <v>0.37704918032786883</v>
      </c>
      <c r="N195">
        <f t="shared" ref="N195:N258" si="27">(D195-0)/(99-0)</f>
        <v>0.19191919191919191</v>
      </c>
      <c r="O195">
        <f t="shared" ref="O195:O258" si="28">(E195-0)/(846-0)</f>
        <v>9.8108747044917261E-2</v>
      </c>
      <c r="P195">
        <f t="shared" ref="P195:P258" si="29">(F195-0)/(67.1-0)</f>
        <v>0.42771982116244411</v>
      </c>
      <c r="Q195">
        <f t="shared" ref="Q195:Q258" si="30">(G195-0.078)/(2.42-0.078)</f>
        <v>0.24594363791631085</v>
      </c>
      <c r="R195">
        <f t="shared" ref="R195:R258" si="31">(H195-21)/(81-21)</f>
        <v>1.6666666666666666E-2</v>
      </c>
    </row>
    <row r="196" spans="1:18" x14ac:dyDescent="0.3">
      <c r="A196">
        <v>3</v>
      </c>
      <c r="B196">
        <v>116</v>
      </c>
      <c r="C196">
        <v>0</v>
      </c>
      <c r="D196">
        <v>0</v>
      </c>
      <c r="E196">
        <v>0</v>
      </c>
      <c r="F196">
        <v>23.5</v>
      </c>
      <c r="G196">
        <v>0.187</v>
      </c>
      <c r="H196">
        <v>23</v>
      </c>
      <c r="I196">
        <v>0</v>
      </c>
      <c r="K196">
        <f t="shared" si="24"/>
        <v>0.17647058823529413</v>
      </c>
      <c r="L196">
        <f t="shared" si="25"/>
        <v>0.58291457286432158</v>
      </c>
      <c r="M196">
        <f t="shared" si="26"/>
        <v>0</v>
      </c>
      <c r="N196">
        <f t="shared" si="27"/>
        <v>0</v>
      </c>
      <c r="O196">
        <f t="shared" si="28"/>
        <v>0</v>
      </c>
      <c r="P196">
        <f t="shared" si="29"/>
        <v>0.35022354694485847</v>
      </c>
      <c r="Q196">
        <f t="shared" si="30"/>
        <v>4.654141759180188E-2</v>
      </c>
      <c r="R196">
        <f t="shared" si="31"/>
        <v>3.3333333333333333E-2</v>
      </c>
    </row>
    <row r="197" spans="1:18" x14ac:dyDescent="0.3">
      <c r="A197">
        <v>3</v>
      </c>
      <c r="B197">
        <v>99</v>
      </c>
      <c r="C197">
        <v>62</v>
      </c>
      <c r="D197">
        <v>19</v>
      </c>
      <c r="E197">
        <v>74</v>
      </c>
      <c r="F197">
        <v>21.8</v>
      </c>
      <c r="G197">
        <v>0.27900000000000003</v>
      </c>
      <c r="H197">
        <v>26</v>
      </c>
      <c r="I197">
        <v>0</v>
      </c>
      <c r="K197">
        <f t="shared" si="24"/>
        <v>0.17647058823529413</v>
      </c>
      <c r="L197">
        <f t="shared" si="25"/>
        <v>0.49748743718592964</v>
      </c>
      <c r="M197">
        <f t="shared" si="26"/>
        <v>0.50819672131147542</v>
      </c>
      <c r="N197">
        <f t="shared" si="27"/>
        <v>0.19191919191919191</v>
      </c>
      <c r="O197">
        <f t="shared" si="28"/>
        <v>8.7470449172576833E-2</v>
      </c>
      <c r="P197">
        <f t="shared" si="29"/>
        <v>0.32488822652757082</v>
      </c>
      <c r="Q197">
        <f t="shared" si="30"/>
        <v>8.5824081981212635E-2</v>
      </c>
      <c r="R197">
        <f t="shared" si="31"/>
        <v>8.3333333333333329E-2</v>
      </c>
    </row>
    <row r="198" spans="1:18" x14ac:dyDescent="0.3">
      <c r="A198">
        <v>5</v>
      </c>
      <c r="B198">
        <v>0</v>
      </c>
      <c r="C198">
        <v>80</v>
      </c>
      <c r="D198">
        <v>32</v>
      </c>
      <c r="E198">
        <v>0</v>
      </c>
      <c r="F198">
        <v>41</v>
      </c>
      <c r="G198">
        <v>0.34599999999999997</v>
      </c>
      <c r="H198">
        <v>37</v>
      </c>
      <c r="I198">
        <v>1</v>
      </c>
      <c r="K198">
        <f t="shared" si="24"/>
        <v>0.29411764705882354</v>
      </c>
      <c r="L198">
        <f t="shared" si="25"/>
        <v>0</v>
      </c>
      <c r="M198">
        <f t="shared" si="26"/>
        <v>0.65573770491803274</v>
      </c>
      <c r="N198">
        <f t="shared" si="27"/>
        <v>0.32323232323232326</v>
      </c>
      <c r="O198">
        <f t="shared" si="28"/>
        <v>0</v>
      </c>
      <c r="P198">
        <f t="shared" si="29"/>
        <v>0.61102831594634877</v>
      </c>
      <c r="Q198">
        <f t="shared" si="30"/>
        <v>0.1144321093082835</v>
      </c>
      <c r="R198">
        <f t="shared" si="31"/>
        <v>0.26666666666666666</v>
      </c>
    </row>
    <row r="199" spans="1:18" x14ac:dyDescent="0.3">
      <c r="A199">
        <v>4</v>
      </c>
      <c r="B199">
        <v>92</v>
      </c>
      <c r="C199">
        <v>80</v>
      </c>
      <c r="D199">
        <v>0</v>
      </c>
      <c r="E199">
        <v>0</v>
      </c>
      <c r="F199">
        <v>42.2</v>
      </c>
      <c r="G199">
        <v>0.23699999999999999</v>
      </c>
      <c r="H199">
        <v>29</v>
      </c>
      <c r="I199">
        <v>0</v>
      </c>
      <c r="K199">
        <f t="shared" si="24"/>
        <v>0.23529411764705882</v>
      </c>
      <c r="L199">
        <f t="shared" si="25"/>
        <v>0.46231155778894473</v>
      </c>
      <c r="M199">
        <f t="shared" si="26"/>
        <v>0.65573770491803274</v>
      </c>
      <c r="N199">
        <f t="shared" si="27"/>
        <v>0</v>
      </c>
      <c r="O199">
        <f t="shared" si="28"/>
        <v>0</v>
      </c>
      <c r="P199">
        <f t="shared" si="29"/>
        <v>0.62891207153502249</v>
      </c>
      <c r="Q199">
        <f t="shared" si="30"/>
        <v>6.7890691716481627E-2</v>
      </c>
      <c r="R199">
        <f t="shared" si="31"/>
        <v>0.13333333333333333</v>
      </c>
    </row>
    <row r="200" spans="1:18" x14ac:dyDescent="0.3">
      <c r="A200">
        <v>4</v>
      </c>
      <c r="B200">
        <v>137</v>
      </c>
      <c r="C200">
        <v>84</v>
      </c>
      <c r="D200">
        <v>0</v>
      </c>
      <c r="E200">
        <v>0</v>
      </c>
      <c r="F200">
        <v>31.2</v>
      </c>
      <c r="G200">
        <v>0.252</v>
      </c>
      <c r="H200">
        <v>30</v>
      </c>
      <c r="I200">
        <v>0</v>
      </c>
      <c r="K200">
        <f t="shared" si="24"/>
        <v>0.23529411764705882</v>
      </c>
      <c r="L200">
        <f t="shared" si="25"/>
        <v>0.68844221105527637</v>
      </c>
      <c r="M200">
        <f t="shared" si="26"/>
        <v>0.68852459016393441</v>
      </c>
      <c r="N200">
        <f t="shared" si="27"/>
        <v>0</v>
      </c>
      <c r="O200">
        <f t="shared" si="28"/>
        <v>0</v>
      </c>
      <c r="P200">
        <f t="shared" si="29"/>
        <v>0.46497764530551416</v>
      </c>
      <c r="Q200">
        <f t="shared" si="30"/>
        <v>7.4295473953885555E-2</v>
      </c>
      <c r="R200">
        <f t="shared" si="31"/>
        <v>0.15</v>
      </c>
    </row>
    <row r="201" spans="1:18" x14ac:dyDescent="0.3">
      <c r="A201">
        <v>3</v>
      </c>
      <c r="B201">
        <v>61</v>
      </c>
      <c r="C201">
        <v>82</v>
      </c>
      <c r="D201">
        <v>28</v>
      </c>
      <c r="E201">
        <v>0</v>
      </c>
      <c r="F201">
        <v>34.4</v>
      </c>
      <c r="G201">
        <v>0.24299999999999999</v>
      </c>
      <c r="H201">
        <v>46</v>
      </c>
      <c r="I201">
        <v>0</v>
      </c>
      <c r="K201">
        <f t="shared" si="24"/>
        <v>0.17647058823529413</v>
      </c>
      <c r="L201">
        <f t="shared" si="25"/>
        <v>0.30653266331658291</v>
      </c>
      <c r="M201">
        <f t="shared" si="26"/>
        <v>0.67213114754098358</v>
      </c>
      <c r="N201">
        <f t="shared" si="27"/>
        <v>0.28282828282828282</v>
      </c>
      <c r="O201">
        <f t="shared" si="28"/>
        <v>0</v>
      </c>
      <c r="P201">
        <f t="shared" si="29"/>
        <v>0.51266766020864385</v>
      </c>
      <c r="Q201">
        <f t="shared" si="30"/>
        <v>7.0452604611443204E-2</v>
      </c>
      <c r="R201">
        <f t="shared" si="31"/>
        <v>0.41666666666666669</v>
      </c>
    </row>
    <row r="202" spans="1:18" x14ac:dyDescent="0.3">
      <c r="A202">
        <v>1</v>
      </c>
      <c r="B202">
        <v>90</v>
      </c>
      <c r="C202">
        <v>62</v>
      </c>
      <c r="D202">
        <v>12</v>
      </c>
      <c r="E202">
        <v>43</v>
      </c>
      <c r="F202">
        <v>27.2</v>
      </c>
      <c r="G202">
        <v>0.57999999999999996</v>
      </c>
      <c r="H202">
        <v>24</v>
      </c>
      <c r="I202">
        <v>0</v>
      </c>
      <c r="K202">
        <f t="shared" si="24"/>
        <v>5.8823529411764705E-2</v>
      </c>
      <c r="L202">
        <f t="shared" si="25"/>
        <v>0.45226130653266333</v>
      </c>
      <c r="M202">
        <f t="shared" si="26"/>
        <v>0.50819672131147542</v>
      </c>
      <c r="N202">
        <f t="shared" si="27"/>
        <v>0.12121212121212122</v>
      </c>
      <c r="O202">
        <f t="shared" si="28"/>
        <v>5.0827423167848697E-2</v>
      </c>
      <c r="P202">
        <f t="shared" si="29"/>
        <v>0.40536512667660213</v>
      </c>
      <c r="Q202">
        <f t="shared" si="30"/>
        <v>0.21434671221178478</v>
      </c>
      <c r="R202">
        <f t="shared" si="31"/>
        <v>0.05</v>
      </c>
    </row>
    <row r="203" spans="1:18" x14ac:dyDescent="0.3">
      <c r="A203">
        <v>3</v>
      </c>
      <c r="B203">
        <v>90</v>
      </c>
      <c r="C203">
        <v>78</v>
      </c>
      <c r="D203">
        <v>0</v>
      </c>
      <c r="E203">
        <v>0</v>
      </c>
      <c r="F203">
        <v>42.7</v>
      </c>
      <c r="G203">
        <v>0.55900000000000005</v>
      </c>
      <c r="H203">
        <v>21</v>
      </c>
      <c r="I203">
        <v>0</v>
      </c>
      <c r="K203">
        <f t="shared" si="24"/>
        <v>0.17647058823529413</v>
      </c>
      <c r="L203">
        <f t="shared" si="25"/>
        <v>0.45226130653266333</v>
      </c>
      <c r="M203">
        <f t="shared" si="26"/>
        <v>0.63934426229508201</v>
      </c>
      <c r="N203">
        <f t="shared" si="27"/>
        <v>0</v>
      </c>
      <c r="O203">
        <f t="shared" si="28"/>
        <v>0</v>
      </c>
      <c r="P203">
        <f t="shared" si="29"/>
        <v>0.63636363636363646</v>
      </c>
      <c r="Q203">
        <f t="shared" si="30"/>
        <v>0.2053800170794193</v>
      </c>
      <c r="R203">
        <f t="shared" si="31"/>
        <v>0</v>
      </c>
    </row>
    <row r="204" spans="1:18" x14ac:dyDescent="0.3">
      <c r="A204">
        <v>9</v>
      </c>
      <c r="B204">
        <v>165</v>
      </c>
      <c r="C204">
        <v>88</v>
      </c>
      <c r="D204">
        <v>0</v>
      </c>
      <c r="E204">
        <v>0</v>
      </c>
      <c r="F204">
        <v>30.4</v>
      </c>
      <c r="G204">
        <v>0.30199999999999999</v>
      </c>
      <c r="H204">
        <v>49</v>
      </c>
      <c r="I204">
        <v>1</v>
      </c>
      <c r="K204">
        <f t="shared" si="24"/>
        <v>0.52941176470588236</v>
      </c>
      <c r="L204">
        <f t="shared" si="25"/>
        <v>0.82914572864321612</v>
      </c>
      <c r="M204">
        <f t="shared" si="26"/>
        <v>0.72131147540983609</v>
      </c>
      <c r="N204">
        <f t="shared" si="27"/>
        <v>0</v>
      </c>
      <c r="O204">
        <f t="shared" si="28"/>
        <v>0</v>
      </c>
      <c r="P204">
        <f t="shared" si="29"/>
        <v>0.45305514157973176</v>
      </c>
      <c r="Q204">
        <f t="shared" si="30"/>
        <v>9.5644748078565309E-2</v>
      </c>
      <c r="R204">
        <f t="shared" si="31"/>
        <v>0.46666666666666667</v>
      </c>
    </row>
    <row r="205" spans="1:18" x14ac:dyDescent="0.3">
      <c r="A205">
        <v>1</v>
      </c>
      <c r="B205">
        <v>125</v>
      </c>
      <c r="C205">
        <v>50</v>
      </c>
      <c r="D205">
        <v>40</v>
      </c>
      <c r="E205">
        <v>167</v>
      </c>
      <c r="F205">
        <v>33.299999999999997</v>
      </c>
      <c r="G205">
        <v>0.96199999999999997</v>
      </c>
      <c r="H205">
        <v>28</v>
      </c>
      <c r="I205">
        <v>1</v>
      </c>
      <c r="K205">
        <f t="shared" si="24"/>
        <v>5.8823529411764705E-2</v>
      </c>
      <c r="L205">
        <f t="shared" si="25"/>
        <v>0.62814070351758799</v>
      </c>
      <c r="M205">
        <f t="shared" si="26"/>
        <v>0.4098360655737705</v>
      </c>
      <c r="N205">
        <f t="shared" si="27"/>
        <v>0.40404040404040403</v>
      </c>
      <c r="O205">
        <f t="shared" si="28"/>
        <v>0.19739952718676124</v>
      </c>
      <c r="P205">
        <f t="shared" si="29"/>
        <v>0.49627421758569301</v>
      </c>
      <c r="Q205">
        <f t="shared" si="30"/>
        <v>0.37745516652433814</v>
      </c>
      <c r="R205">
        <f t="shared" si="31"/>
        <v>0.11666666666666667</v>
      </c>
    </row>
    <row r="206" spans="1:18" x14ac:dyDescent="0.3">
      <c r="A206">
        <v>13</v>
      </c>
      <c r="B206">
        <v>129</v>
      </c>
      <c r="C206">
        <v>0</v>
      </c>
      <c r="D206">
        <v>30</v>
      </c>
      <c r="E206">
        <v>0</v>
      </c>
      <c r="F206">
        <v>39.9</v>
      </c>
      <c r="G206">
        <v>0.56899999999999995</v>
      </c>
      <c r="H206">
        <v>44</v>
      </c>
      <c r="I206">
        <v>1</v>
      </c>
      <c r="K206">
        <f t="shared" si="24"/>
        <v>0.76470588235294112</v>
      </c>
      <c r="L206">
        <f t="shared" si="25"/>
        <v>0.64824120603015079</v>
      </c>
      <c r="M206">
        <f t="shared" si="26"/>
        <v>0</v>
      </c>
      <c r="N206">
        <f t="shared" si="27"/>
        <v>0.30303030303030304</v>
      </c>
      <c r="O206">
        <f t="shared" si="28"/>
        <v>0</v>
      </c>
      <c r="P206">
        <f t="shared" si="29"/>
        <v>0.59463487332339793</v>
      </c>
      <c r="Q206">
        <f t="shared" si="30"/>
        <v>0.20964987190435522</v>
      </c>
      <c r="R206">
        <f t="shared" si="31"/>
        <v>0.38333333333333336</v>
      </c>
    </row>
    <row r="207" spans="1:18" x14ac:dyDescent="0.3">
      <c r="A207">
        <v>12</v>
      </c>
      <c r="B207">
        <v>88</v>
      </c>
      <c r="C207">
        <v>74</v>
      </c>
      <c r="D207">
        <v>40</v>
      </c>
      <c r="E207">
        <v>54</v>
      </c>
      <c r="F207">
        <v>35.299999999999997</v>
      </c>
      <c r="G207">
        <v>0.378</v>
      </c>
      <c r="H207">
        <v>48</v>
      </c>
      <c r="I207">
        <v>0</v>
      </c>
      <c r="K207">
        <f t="shared" si="24"/>
        <v>0.70588235294117652</v>
      </c>
      <c r="L207">
        <f t="shared" si="25"/>
        <v>0.44221105527638194</v>
      </c>
      <c r="M207">
        <f t="shared" si="26"/>
        <v>0.60655737704918034</v>
      </c>
      <c r="N207">
        <f t="shared" si="27"/>
        <v>0.40404040404040403</v>
      </c>
      <c r="O207">
        <f t="shared" si="28"/>
        <v>6.3829787234042548E-2</v>
      </c>
      <c r="P207">
        <f t="shared" si="29"/>
        <v>0.52608047690014903</v>
      </c>
      <c r="Q207">
        <f t="shared" si="30"/>
        <v>0.12809564474807855</v>
      </c>
      <c r="R207">
        <f t="shared" si="31"/>
        <v>0.45</v>
      </c>
    </row>
    <row r="208" spans="1:18" x14ac:dyDescent="0.3">
      <c r="A208">
        <v>1</v>
      </c>
      <c r="B208">
        <v>196</v>
      </c>
      <c r="C208">
        <v>76</v>
      </c>
      <c r="D208">
        <v>36</v>
      </c>
      <c r="E208">
        <v>249</v>
      </c>
      <c r="F208">
        <v>36.5</v>
      </c>
      <c r="G208">
        <v>0.875</v>
      </c>
      <c r="H208">
        <v>29</v>
      </c>
      <c r="I208">
        <v>1</v>
      </c>
      <c r="K208">
        <f t="shared" si="24"/>
        <v>5.8823529411764705E-2</v>
      </c>
      <c r="L208">
        <f t="shared" si="25"/>
        <v>0.98492462311557794</v>
      </c>
      <c r="M208">
        <f t="shared" si="26"/>
        <v>0.62295081967213117</v>
      </c>
      <c r="N208">
        <f t="shared" si="27"/>
        <v>0.36363636363636365</v>
      </c>
      <c r="O208">
        <f t="shared" si="28"/>
        <v>0.29432624113475175</v>
      </c>
      <c r="P208">
        <f t="shared" si="29"/>
        <v>0.54396423248882275</v>
      </c>
      <c r="Q208">
        <f t="shared" si="30"/>
        <v>0.3403074295473954</v>
      </c>
      <c r="R208">
        <f t="shared" si="31"/>
        <v>0.13333333333333333</v>
      </c>
    </row>
    <row r="209" spans="1:18" x14ac:dyDescent="0.3">
      <c r="A209">
        <v>5</v>
      </c>
      <c r="B209">
        <v>189</v>
      </c>
      <c r="C209">
        <v>64</v>
      </c>
      <c r="D209">
        <v>33</v>
      </c>
      <c r="E209">
        <v>325</v>
      </c>
      <c r="F209">
        <v>31.2</v>
      </c>
      <c r="G209">
        <v>0.58299999999999996</v>
      </c>
      <c r="H209">
        <v>29</v>
      </c>
      <c r="I209">
        <v>1</v>
      </c>
      <c r="K209">
        <f t="shared" si="24"/>
        <v>0.29411764705882354</v>
      </c>
      <c r="L209">
        <f t="shared" si="25"/>
        <v>0.94974874371859297</v>
      </c>
      <c r="M209">
        <f t="shared" si="26"/>
        <v>0.52459016393442626</v>
      </c>
      <c r="N209">
        <f t="shared" si="27"/>
        <v>0.33333333333333331</v>
      </c>
      <c r="O209">
        <f t="shared" si="28"/>
        <v>0.38416075650118203</v>
      </c>
      <c r="P209">
        <f t="shared" si="29"/>
        <v>0.46497764530551416</v>
      </c>
      <c r="Q209">
        <f t="shared" si="30"/>
        <v>0.21562766865926558</v>
      </c>
      <c r="R209">
        <f t="shared" si="31"/>
        <v>0.13333333333333333</v>
      </c>
    </row>
    <row r="210" spans="1:18" x14ac:dyDescent="0.3">
      <c r="A210">
        <v>5</v>
      </c>
      <c r="B210">
        <v>158</v>
      </c>
      <c r="C210">
        <v>70</v>
      </c>
      <c r="D210">
        <v>0</v>
      </c>
      <c r="E210">
        <v>0</v>
      </c>
      <c r="F210">
        <v>29.8</v>
      </c>
      <c r="G210">
        <v>0.20699999999999999</v>
      </c>
      <c r="H210">
        <v>63</v>
      </c>
      <c r="I210">
        <v>0</v>
      </c>
      <c r="K210">
        <f t="shared" si="24"/>
        <v>0.29411764705882354</v>
      </c>
      <c r="L210">
        <f t="shared" si="25"/>
        <v>0.79396984924623115</v>
      </c>
      <c r="M210">
        <f t="shared" si="26"/>
        <v>0.57377049180327866</v>
      </c>
      <c r="N210">
        <f t="shared" si="27"/>
        <v>0</v>
      </c>
      <c r="O210">
        <f t="shared" si="28"/>
        <v>0</v>
      </c>
      <c r="P210">
        <f t="shared" si="29"/>
        <v>0.44411326378539501</v>
      </c>
      <c r="Q210">
        <f t="shared" si="30"/>
        <v>5.5081127241673786E-2</v>
      </c>
      <c r="R210">
        <f t="shared" si="31"/>
        <v>0.7</v>
      </c>
    </row>
    <row r="211" spans="1:18" x14ac:dyDescent="0.3">
      <c r="A211">
        <v>5</v>
      </c>
      <c r="B211">
        <v>103</v>
      </c>
      <c r="C211">
        <v>108</v>
      </c>
      <c r="D211">
        <v>37</v>
      </c>
      <c r="E211">
        <v>0</v>
      </c>
      <c r="F211">
        <v>39.200000000000003</v>
      </c>
      <c r="G211">
        <v>0.30499999999999999</v>
      </c>
      <c r="H211">
        <v>65</v>
      </c>
      <c r="I211">
        <v>0</v>
      </c>
      <c r="K211">
        <f t="shared" si="24"/>
        <v>0.29411764705882354</v>
      </c>
      <c r="L211">
        <f t="shared" si="25"/>
        <v>0.51758793969849248</v>
      </c>
      <c r="M211">
        <f t="shared" si="26"/>
        <v>0.88524590163934425</v>
      </c>
      <c r="N211">
        <f t="shared" si="27"/>
        <v>0.37373737373737376</v>
      </c>
      <c r="O211">
        <f t="shared" si="28"/>
        <v>0</v>
      </c>
      <c r="P211">
        <f t="shared" si="29"/>
        <v>0.5842026825633384</v>
      </c>
      <c r="Q211">
        <f t="shared" si="30"/>
        <v>9.6925704526046097E-2</v>
      </c>
      <c r="R211">
        <f t="shared" si="31"/>
        <v>0.73333333333333328</v>
      </c>
    </row>
    <row r="212" spans="1:18" x14ac:dyDescent="0.3">
      <c r="A212">
        <v>4</v>
      </c>
      <c r="B212">
        <v>146</v>
      </c>
      <c r="C212">
        <v>78</v>
      </c>
      <c r="D212">
        <v>0</v>
      </c>
      <c r="E212">
        <v>0</v>
      </c>
      <c r="F212">
        <v>38.5</v>
      </c>
      <c r="G212">
        <v>0.52</v>
      </c>
      <c r="H212">
        <v>67</v>
      </c>
      <c r="I212">
        <v>1</v>
      </c>
      <c r="K212">
        <f t="shared" si="24"/>
        <v>0.23529411764705882</v>
      </c>
      <c r="L212">
        <f t="shared" si="25"/>
        <v>0.73366834170854267</v>
      </c>
      <c r="M212">
        <f t="shared" si="26"/>
        <v>0.63934426229508201</v>
      </c>
      <c r="N212">
        <f t="shared" si="27"/>
        <v>0</v>
      </c>
      <c r="O212">
        <f t="shared" si="28"/>
        <v>0</v>
      </c>
      <c r="P212">
        <f t="shared" si="29"/>
        <v>0.57377049180327877</v>
      </c>
      <c r="Q212">
        <f t="shared" si="30"/>
        <v>0.18872758326216907</v>
      </c>
      <c r="R212">
        <f t="shared" si="31"/>
        <v>0.76666666666666672</v>
      </c>
    </row>
    <row r="213" spans="1:18" x14ac:dyDescent="0.3">
      <c r="A213">
        <v>4</v>
      </c>
      <c r="B213">
        <v>147</v>
      </c>
      <c r="C213">
        <v>74</v>
      </c>
      <c r="D213">
        <v>25</v>
      </c>
      <c r="E213">
        <v>293</v>
      </c>
      <c r="F213">
        <v>34.9</v>
      </c>
      <c r="G213">
        <v>0.38500000000000001</v>
      </c>
      <c r="H213">
        <v>30</v>
      </c>
      <c r="I213">
        <v>0</v>
      </c>
      <c r="K213">
        <f t="shared" si="24"/>
        <v>0.23529411764705882</v>
      </c>
      <c r="L213">
        <f t="shared" si="25"/>
        <v>0.7386934673366834</v>
      </c>
      <c r="M213">
        <f t="shared" si="26"/>
        <v>0.60655737704918034</v>
      </c>
      <c r="N213">
        <f t="shared" si="27"/>
        <v>0.25252525252525254</v>
      </c>
      <c r="O213">
        <f t="shared" si="28"/>
        <v>0.34633569739952719</v>
      </c>
      <c r="P213">
        <f t="shared" si="29"/>
        <v>0.52011922503725783</v>
      </c>
      <c r="Q213">
        <f t="shared" si="30"/>
        <v>0.13108454312553372</v>
      </c>
      <c r="R213">
        <f t="shared" si="31"/>
        <v>0.15</v>
      </c>
    </row>
    <row r="214" spans="1:18" x14ac:dyDescent="0.3">
      <c r="A214">
        <v>5</v>
      </c>
      <c r="B214">
        <v>99</v>
      </c>
      <c r="C214">
        <v>54</v>
      </c>
      <c r="D214">
        <v>28</v>
      </c>
      <c r="E214">
        <v>83</v>
      </c>
      <c r="F214">
        <v>34</v>
      </c>
      <c r="G214">
        <v>0.499</v>
      </c>
      <c r="H214">
        <v>30</v>
      </c>
      <c r="I214">
        <v>0</v>
      </c>
      <c r="K214">
        <f t="shared" si="24"/>
        <v>0.29411764705882354</v>
      </c>
      <c r="L214">
        <f t="shared" si="25"/>
        <v>0.49748743718592964</v>
      </c>
      <c r="M214">
        <f t="shared" si="26"/>
        <v>0.44262295081967212</v>
      </c>
      <c r="N214">
        <f t="shared" si="27"/>
        <v>0.28282828282828282</v>
      </c>
      <c r="O214">
        <f t="shared" si="28"/>
        <v>9.8108747044917261E-2</v>
      </c>
      <c r="P214">
        <f t="shared" si="29"/>
        <v>0.50670640834575265</v>
      </c>
      <c r="Q214">
        <f t="shared" si="30"/>
        <v>0.17976088812980356</v>
      </c>
      <c r="R214">
        <f t="shared" si="31"/>
        <v>0.15</v>
      </c>
    </row>
    <row r="215" spans="1:18" x14ac:dyDescent="0.3">
      <c r="A215">
        <v>6</v>
      </c>
      <c r="B215">
        <v>124</v>
      </c>
      <c r="C215">
        <v>72</v>
      </c>
      <c r="D215">
        <v>0</v>
      </c>
      <c r="E215">
        <v>0</v>
      </c>
      <c r="F215">
        <v>27.6</v>
      </c>
      <c r="G215">
        <v>0.36799999999999999</v>
      </c>
      <c r="H215">
        <v>29</v>
      </c>
      <c r="I215">
        <v>1</v>
      </c>
      <c r="K215">
        <f t="shared" si="24"/>
        <v>0.35294117647058826</v>
      </c>
      <c r="L215">
        <f t="shared" si="25"/>
        <v>0.62311557788944727</v>
      </c>
      <c r="M215">
        <f t="shared" si="26"/>
        <v>0.5901639344262295</v>
      </c>
      <c r="N215">
        <f t="shared" si="27"/>
        <v>0</v>
      </c>
      <c r="O215">
        <f t="shared" si="28"/>
        <v>0</v>
      </c>
      <c r="P215">
        <f t="shared" si="29"/>
        <v>0.41132637853949333</v>
      </c>
      <c r="Q215">
        <f t="shared" si="30"/>
        <v>0.1238257899231426</v>
      </c>
      <c r="R215">
        <f t="shared" si="31"/>
        <v>0.13333333333333333</v>
      </c>
    </row>
    <row r="216" spans="1:18" x14ac:dyDescent="0.3">
      <c r="A216">
        <v>0</v>
      </c>
      <c r="B216">
        <v>101</v>
      </c>
      <c r="C216">
        <v>64</v>
      </c>
      <c r="D216">
        <v>17</v>
      </c>
      <c r="E216">
        <v>0</v>
      </c>
      <c r="F216">
        <v>21</v>
      </c>
      <c r="G216">
        <v>0.252</v>
      </c>
      <c r="H216">
        <v>21</v>
      </c>
      <c r="I216">
        <v>0</v>
      </c>
      <c r="K216">
        <f t="shared" si="24"/>
        <v>0</v>
      </c>
      <c r="L216">
        <f t="shared" si="25"/>
        <v>0.50753768844221103</v>
      </c>
      <c r="M216">
        <f t="shared" si="26"/>
        <v>0.52459016393442626</v>
      </c>
      <c r="N216">
        <f t="shared" si="27"/>
        <v>0.17171717171717171</v>
      </c>
      <c r="O216">
        <f t="shared" si="28"/>
        <v>0</v>
      </c>
      <c r="P216">
        <f t="shared" si="29"/>
        <v>0.31296572280178842</v>
      </c>
      <c r="Q216">
        <f t="shared" si="30"/>
        <v>7.4295473953885555E-2</v>
      </c>
      <c r="R216">
        <f t="shared" si="31"/>
        <v>0</v>
      </c>
    </row>
    <row r="217" spans="1:18" x14ac:dyDescent="0.3">
      <c r="A217">
        <v>3</v>
      </c>
      <c r="B217">
        <v>81</v>
      </c>
      <c r="C217">
        <v>86</v>
      </c>
      <c r="D217">
        <v>16</v>
      </c>
      <c r="E217">
        <v>66</v>
      </c>
      <c r="F217">
        <v>27.5</v>
      </c>
      <c r="G217">
        <v>0.30599999999999999</v>
      </c>
      <c r="H217">
        <v>22</v>
      </c>
      <c r="I217">
        <v>0</v>
      </c>
      <c r="K217">
        <f t="shared" si="24"/>
        <v>0.17647058823529413</v>
      </c>
      <c r="L217">
        <f t="shared" si="25"/>
        <v>0.40703517587939697</v>
      </c>
      <c r="M217">
        <f t="shared" si="26"/>
        <v>0.70491803278688525</v>
      </c>
      <c r="N217">
        <f t="shared" si="27"/>
        <v>0.16161616161616163</v>
      </c>
      <c r="O217">
        <f t="shared" si="28"/>
        <v>7.8014184397163122E-2</v>
      </c>
      <c r="P217">
        <f t="shared" si="29"/>
        <v>0.4098360655737705</v>
      </c>
      <c r="Q217">
        <f t="shared" si="30"/>
        <v>9.7352690008539702E-2</v>
      </c>
      <c r="R217">
        <f t="shared" si="31"/>
        <v>1.6666666666666666E-2</v>
      </c>
    </row>
    <row r="218" spans="1:18" x14ac:dyDescent="0.3">
      <c r="A218">
        <v>1</v>
      </c>
      <c r="B218">
        <v>133</v>
      </c>
      <c r="C218">
        <v>102</v>
      </c>
      <c r="D218">
        <v>28</v>
      </c>
      <c r="E218">
        <v>140</v>
      </c>
      <c r="F218">
        <v>32.799999999999997</v>
      </c>
      <c r="G218">
        <v>0.23400000000000001</v>
      </c>
      <c r="H218">
        <v>45</v>
      </c>
      <c r="I218">
        <v>1</v>
      </c>
      <c r="K218">
        <f t="shared" si="24"/>
        <v>5.8823529411764705E-2</v>
      </c>
      <c r="L218">
        <f t="shared" si="25"/>
        <v>0.66834170854271358</v>
      </c>
      <c r="M218">
        <f t="shared" si="26"/>
        <v>0.83606557377049184</v>
      </c>
      <c r="N218">
        <f t="shared" si="27"/>
        <v>0.28282828282828282</v>
      </c>
      <c r="O218">
        <f t="shared" si="28"/>
        <v>0.16548463356973994</v>
      </c>
      <c r="P218">
        <f t="shared" si="29"/>
        <v>0.48882265275707898</v>
      </c>
      <c r="Q218">
        <f t="shared" si="30"/>
        <v>6.6609735269000866E-2</v>
      </c>
      <c r="R218">
        <f t="shared" si="31"/>
        <v>0.4</v>
      </c>
    </row>
    <row r="219" spans="1:18" x14ac:dyDescent="0.3">
      <c r="A219">
        <v>3</v>
      </c>
      <c r="B219">
        <v>173</v>
      </c>
      <c r="C219">
        <v>82</v>
      </c>
      <c r="D219">
        <v>48</v>
      </c>
      <c r="E219">
        <v>465</v>
      </c>
      <c r="F219">
        <v>38.4</v>
      </c>
      <c r="G219">
        <v>2.137</v>
      </c>
      <c r="H219">
        <v>25</v>
      </c>
      <c r="I219">
        <v>1</v>
      </c>
      <c r="K219">
        <f t="shared" si="24"/>
        <v>0.17647058823529413</v>
      </c>
      <c r="L219">
        <f t="shared" si="25"/>
        <v>0.8693467336683417</v>
      </c>
      <c r="M219">
        <f t="shared" si="26"/>
        <v>0.67213114754098358</v>
      </c>
      <c r="N219">
        <f t="shared" si="27"/>
        <v>0.48484848484848486</v>
      </c>
      <c r="O219">
        <f t="shared" si="28"/>
        <v>0.54964539007092195</v>
      </c>
      <c r="P219">
        <f t="shared" si="29"/>
        <v>0.57228017883755589</v>
      </c>
      <c r="Q219">
        <f t="shared" si="30"/>
        <v>0.87916310845431256</v>
      </c>
      <c r="R219">
        <f t="shared" si="31"/>
        <v>6.6666666666666666E-2</v>
      </c>
    </row>
    <row r="220" spans="1:18" x14ac:dyDescent="0.3">
      <c r="A220">
        <v>0</v>
      </c>
      <c r="B220">
        <v>118</v>
      </c>
      <c r="C220">
        <v>64</v>
      </c>
      <c r="D220">
        <v>23</v>
      </c>
      <c r="E220">
        <v>89</v>
      </c>
      <c r="F220">
        <v>0</v>
      </c>
      <c r="G220">
        <v>1.7310000000000001</v>
      </c>
      <c r="H220">
        <v>21</v>
      </c>
      <c r="I220">
        <v>0</v>
      </c>
      <c r="K220">
        <f t="shared" si="24"/>
        <v>0</v>
      </c>
      <c r="L220">
        <f t="shared" si="25"/>
        <v>0.59296482412060303</v>
      </c>
      <c r="M220">
        <f t="shared" si="26"/>
        <v>0.52459016393442626</v>
      </c>
      <c r="N220">
        <f t="shared" si="27"/>
        <v>0.23232323232323232</v>
      </c>
      <c r="O220">
        <f t="shared" si="28"/>
        <v>0.10520094562647754</v>
      </c>
      <c r="P220">
        <f t="shared" si="29"/>
        <v>0</v>
      </c>
      <c r="Q220">
        <f t="shared" si="30"/>
        <v>0.70580700256191287</v>
      </c>
      <c r="R220">
        <f t="shared" si="31"/>
        <v>0</v>
      </c>
    </row>
    <row r="221" spans="1:18" x14ac:dyDescent="0.3">
      <c r="A221">
        <v>0</v>
      </c>
      <c r="B221">
        <v>84</v>
      </c>
      <c r="C221">
        <v>64</v>
      </c>
      <c r="D221">
        <v>22</v>
      </c>
      <c r="E221">
        <v>66</v>
      </c>
      <c r="F221">
        <v>35.799999999999997</v>
      </c>
      <c r="G221">
        <v>0.54500000000000004</v>
      </c>
      <c r="H221">
        <v>21</v>
      </c>
      <c r="I221">
        <v>0</v>
      </c>
      <c r="K221">
        <f t="shared" si="24"/>
        <v>0</v>
      </c>
      <c r="L221">
        <f t="shared" si="25"/>
        <v>0.42211055276381909</v>
      </c>
      <c r="M221">
        <f t="shared" si="26"/>
        <v>0.52459016393442626</v>
      </c>
      <c r="N221">
        <f t="shared" si="27"/>
        <v>0.22222222222222221</v>
      </c>
      <c r="O221">
        <f t="shared" si="28"/>
        <v>7.8014184397163122E-2</v>
      </c>
      <c r="P221">
        <f t="shared" si="29"/>
        <v>0.53353204172876301</v>
      </c>
      <c r="Q221">
        <f t="shared" si="30"/>
        <v>0.19940222032450897</v>
      </c>
      <c r="R221">
        <f t="shared" si="31"/>
        <v>0</v>
      </c>
    </row>
    <row r="222" spans="1:18" x14ac:dyDescent="0.3">
      <c r="A222">
        <v>2</v>
      </c>
      <c r="B222">
        <v>105</v>
      </c>
      <c r="C222">
        <v>58</v>
      </c>
      <c r="D222">
        <v>40</v>
      </c>
      <c r="E222">
        <v>94</v>
      </c>
      <c r="F222">
        <v>34.9</v>
      </c>
      <c r="G222">
        <v>0.22500000000000001</v>
      </c>
      <c r="H222">
        <v>25</v>
      </c>
      <c r="I222">
        <v>0</v>
      </c>
      <c r="K222">
        <f t="shared" si="24"/>
        <v>0.11764705882352941</v>
      </c>
      <c r="L222">
        <f t="shared" si="25"/>
        <v>0.52763819095477382</v>
      </c>
      <c r="M222">
        <f t="shared" si="26"/>
        <v>0.47540983606557374</v>
      </c>
      <c r="N222">
        <f t="shared" si="27"/>
        <v>0.40404040404040403</v>
      </c>
      <c r="O222">
        <f t="shared" si="28"/>
        <v>0.1111111111111111</v>
      </c>
      <c r="P222">
        <f t="shared" si="29"/>
        <v>0.52011922503725783</v>
      </c>
      <c r="Q222">
        <f t="shared" si="30"/>
        <v>6.2766865926558502E-2</v>
      </c>
      <c r="R222">
        <f t="shared" si="31"/>
        <v>6.6666666666666666E-2</v>
      </c>
    </row>
    <row r="223" spans="1:18" x14ac:dyDescent="0.3">
      <c r="A223">
        <v>2</v>
      </c>
      <c r="B223">
        <v>122</v>
      </c>
      <c r="C223">
        <v>52</v>
      </c>
      <c r="D223">
        <v>43</v>
      </c>
      <c r="E223">
        <v>158</v>
      </c>
      <c r="F223">
        <v>36.200000000000003</v>
      </c>
      <c r="G223">
        <v>0.81599999999999995</v>
      </c>
      <c r="H223">
        <v>28</v>
      </c>
      <c r="I223">
        <v>0</v>
      </c>
      <c r="K223">
        <f t="shared" si="24"/>
        <v>0.11764705882352941</v>
      </c>
      <c r="L223">
        <f t="shared" si="25"/>
        <v>0.61306532663316582</v>
      </c>
      <c r="M223">
        <f t="shared" si="26"/>
        <v>0.42622950819672129</v>
      </c>
      <c r="N223">
        <f t="shared" si="27"/>
        <v>0.43434343434343436</v>
      </c>
      <c r="O223">
        <f t="shared" si="28"/>
        <v>0.1867612293144208</v>
      </c>
      <c r="P223">
        <f t="shared" si="29"/>
        <v>0.53949329359165432</v>
      </c>
      <c r="Q223">
        <f t="shared" si="30"/>
        <v>0.31511528608027328</v>
      </c>
      <c r="R223">
        <f t="shared" si="31"/>
        <v>0.11666666666666667</v>
      </c>
    </row>
    <row r="224" spans="1:18" x14ac:dyDescent="0.3">
      <c r="A224">
        <v>12</v>
      </c>
      <c r="B224">
        <v>140</v>
      </c>
      <c r="C224">
        <v>82</v>
      </c>
      <c r="D224">
        <v>43</v>
      </c>
      <c r="E224">
        <v>325</v>
      </c>
      <c r="F224">
        <v>39.200000000000003</v>
      </c>
      <c r="G224">
        <v>0.52800000000000002</v>
      </c>
      <c r="H224">
        <v>58</v>
      </c>
      <c r="I224">
        <v>1</v>
      </c>
      <c r="K224">
        <f t="shared" si="24"/>
        <v>0.70588235294117652</v>
      </c>
      <c r="L224">
        <f t="shared" si="25"/>
        <v>0.70351758793969854</v>
      </c>
      <c r="M224">
        <f t="shared" si="26"/>
        <v>0.67213114754098358</v>
      </c>
      <c r="N224">
        <f t="shared" si="27"/>
        <v>0.43434343434343436</v>
      </c>
      <c r="O224">
        <f t="shared" si="28"/>
        <v>0.38416075650118203</v>
      </c>
      <c r="P224">
        <f t="shared" si="29"/>
        <v>0.5842026825633384</v>
      </c>
      <c r="Q224">
        <f t="shared" si="30"/>
        <v>0.19214346712211786</v>
      </c>
      <c r="R224">
        <f t="shared" si="31"/>
        <v>0.6166666666666667</v>
      </c>
    </row>
    <row r="225" spans="1:18" x14ac:dyDescent="0.3">
      <c r="A225">
        <v>0</v>
      </c>
      <c r="B225">
        <v>98</v>
      </c>
      <c r="C225">
        <v>82</v>
      </c>
      <c r="D225">
        <v>15</v>
      </c>
      <c r="E225">
        <v>84</v>
      </c>
      <c r="F225">
        <v>25.2</v>
      </c>
      <c r="G225">
        <v>0.29899999999999999</v>
      </c>
      <c r="H225">
        <v>22</v>
      </c>
      <c r="I225">
        <v>0</v>
      </c>
      <c r="K225">
        <f t="shared" si="24"/>
        <v>0</v>
      </c>
      <c r="L225">
        <f t="shared" si="25"/>
        <v>0.49246231155778897</v>
      </c>
      <c r="M225">
        <f t="shared" si="26"/>
        <v>0.67213114754098358</v>
      </c>
      <c r="N225">
        <f t="shared" si="27"/>
        <v>0.15151515151515152</v>
      </c>
      <c r="O225">
        <f t="shared" si="28"/>
        <v>9.9290780141843976E-2</v>
      </c>
      <c r="P225">
        <f t="shared" si="29"/>
        <v>0.37555886736214605</v>
      </c>
      <c r="Q225">
        <f t="shared" si="30"/>
        <v>9.4363791631084534E-2</v>
      </c>
      <c r="R225">
        <f t="shared" si="31"/>
        <v>1.6666666666666666E-2</v>
      </c>
    </row>
    <row r="226" spans="1:18" x14ac:dyDescent="0.3">
      <c r="A226">
        <v>1</v>
      </c>
      <c r="B226">
        <v>87</v>
      </c>
      <c r="C226">
        <v>60</v>
      </c>
      <c r="D226">
        <v>37</v>
      </c>
      <c r="E226">
        <v>75</v>
      </c>
      <c r="F226">
        <v>37.200000000000003</v>
      </c>
      <c r="G226">
        <v>0.50900000000000001</v>
      </c>
      <c r="H226">
        <v>22</v>
      </c>
      <c r="I226">
        <v>0</v>
      </c>
      <c r="K226">
        <f t="shared" si="24"/>
        <v>5.8823529411764705E-2</v>
      </c>
      <c r="L226">
        <f t="shared" si="25"/>
        <v>0.43718592964824121</v>
      </c>
      <c r="M226">
        <f t="shared" si="26"/>
        <v>0.49180327868852458</v>
      </c>
      <c r="N226">
        <f t="shared" si="27"/>
        <v>0.37373737373737376</v>
      </c>
      <c r="O226">
        <f t="shared" si="28"/>
        <v>8.8652482269503549E-2</v>
      </c>
      <c r="P226">
        <f t="shared" si="29"/>
        <v>0.55439642324888239</v>
      </c>
      <c r="Q226">
        <f t="shared" si="30"/>
        <v>0.18403074295473953</v>
      </c>
      <c r="R226">
        <f t="shared" si="31"/>
        <v>1.6666666666666666E-2</v>
      </c>
    </row>
    <row r="227" spans="1:18" x14ac:dyDescent="0.3">
      <c r="A227">
        <v>4</v>
      </c>
      <c r="B227">
        <v>156</v>
      </c>
      <c r="C227">
        <v>75</v>
      </c>
      <c r="D227">
        <v>0</v>
      </c>
      <c r="E227">
        <v>0</v>
      </c>
      <c r="F227">
        <v>48.3</v>
      </c>
      <c r="G227">
        <v>0.23799999999999999</v>
      </c>
      <c r="H227">
        <v>32</v>
      </c>
      <c r="I227">
        <v>1</v>
      </c>
      <c r="K227">
        <f t="shared" si="24"/>
        <v>0.23529411764705882</v>
      </c>
      <c r="L227">
        <f t="shared" si="25"/>
        <v>0.7839195979899497</v>
      </c>
      <c r="M227">
        <f t="shared" si="26"/>
        <v>0.61475409836065575</v>
      </c>
      <c r="N227">
        <f t="shared" si="27"/>
        <v>0</v>
      </c>
      <c r="O227">
        <f t="shared" si="28"/>
        <v>0</v>
      </c>
      <c r="P227">
        <f t="shared" si="29"/>
        <v>0.71982116244411332</v>
      </c>
      <c r="Q227">
        <f t="shared" si="30"/>
        <v>6.8317677198975219E-2</v>
      </c>
      <c r="R227">
        <f t="shared" si="31"/>
        <v>0.18333333333333332</v>
      </c>
    </row>
    <row r="228" spans="1:18" x14ac:dyDescent="0.3">
      <c r="A228">
        <v>0</v>
      </c>
      <c r="B228">
        <v>93</v>
      </c>
      <c r="C228">
        <v>100</v>
      </c>
      <c r="D228">
        <v>39</v>
      </c>
      <c r="E228">
        <v>72</v>
      </c>
      <c r="F228">
        <v>43.4</v>
      </c>
      <c r="G228">
        <v>1.0209999999999999</v>
      </c>
      <c r="H228">
        <v>35</v>
      </c>
      <c r="I228">
        <v>0</v>
      </c>
      <c r="K228">
        <f t="shared" si="24"/>
        <v>0</v>
      </c>
      <c r="L228">
        <f t="shared" si="25"/>
        <v>0.46733668341708545</v>
      </c>
      <c r="M228">
        <f t="shared" si="26"/>
        <v>0.81967213114754101</v>
      </c>
      <c r="N228">
        <f t="shared" si="27"/>
        <v>0.39393939393939392</v>
      </c>
      <c r="O228">
        <f t="shared" si="28"/>
        <v>8.5106382978723402E-2</v>
      </c>
      <c r="P228">
        <f t="shared" si="29"/>
        <v>0.64679582712369599</v>
      </c>
      <c r="Q228">
        <f t="shared" si="30"/>
        <v>0.40264730999146026</v>
      </c>
      <c r="R228">
        <f t="shared" si="31"/>
        <v>0.23333333333333334</v>
      </c>
    </row>
    <row r="229" spans="1:18" x14ac:dyDescent="0.3">
      <c r="A229">
        <v>1</v>
      </c>
      <c r="B229">
        <v>107</v>
      </c>
      <c r="C229">
        <v>72</v>
      </c>
      <c r="D229">
        <v>30</v>
      </c>
      <c r="E229">
        <v>82</v>
      </c>
      <c r="F229">
        <v>30.8</v>
      </c>
      <c r="G229">
        <v>0.82099999999999995</v>
      </c>
      <c r="H229">
        <v>24</v>
      </c>
      <c r="I229">
        <v>0</v>
      </c>
      <c r="K229">
        <f t="shared" si="24"/>
        <v>5.8823529411764705E-2</v>
      </c>
      <c r="L229">
        <f t="shared" si="25"/>
        <v>0.53768844221105527</v>
      </c>
      <c r="M229">
        <f t="shared" si="26"/>
        <v>0.5901639344262295</v>
      </c>
      <c r="N229">
        <f t="shared" si="27"/>
        <v>0.30303030303030304</v>
      </c>
      <c r="O229">
        <f t="shared" si="28"/>
        <v>9.6926713947990545E-2</v>
      </c>
      <c r="P229">
        <f t="shared" si="29"/>
        <v>0.45901639344262302</v>
      </c>
      <c r="Q229">
        <f t="shared" si="30"/>
        <v>0.31725021349274124</v>
      </c>
      <c r="R229">
        <f t="shared" si="31"/>
        <v>0.05</v>
      </c>
    </row>
    <row r="230" spans="1:18" x14ac:dyDescent="0.3">
      <c r="A230">
        <v>0</v>
      </c>
      <c r="B230">
        <v>105</v>
      </c>
      <c r="C230">
        <v>68</v>
      </c>
      <c r="D230">
        <v>22</v>
      </c>
      <c r="E230">
        <v>0</v>
      </c>
      <c r="F230">
        <v>20</v>
      </c>
      <c r="G230">
        <v>0.23599999999999999</v>
      </c>
      <c r="H230">
        <v>22</v>
      </c>
      <c r="I230">
        <v>0</v>
      </c>
      <c r="K230">
        <f t="shared" si="24"/>
        <v>0</v>
      </c>
      <c r="L230">
        <f t="shared" si="25"/>
        <v>0.52763819095477382</v>
      </c>
      <c r="M230">
        <f t="shared" si="26"/>
        <v>0.55737704918032782</v>
      </c>
      <c r="N230">
        <f t="shared" si="27"/>
        <v>0.22222222222222221</v>
      </c>
      <c r="O230">
        <f t="shared" si="28"/>
        <v>0</v>
      </c>
      <c r="P230">
        <f t="shared" si="29"/>
        <v>0.29806259314456041</v>
      </c>
      <c r="Q230">
        <f t="shared" si="30"/>
        <v>6.7463706233988036E-2</v>
      </c>
      <c r="R230">
        <f t="shared" si="31"/>
        <v>1.6666666666666666E-2</v>
      </c>
    </row>
    <row r="231" spans="1:18" x14ac:dyDescent="0.3">
      <c r="A231">
        <v>1</v>
      </c>
      <c r="B231">
        <v>109</v>
      </c>
      <c r="C231">
        <v>60</v>
      </c>
      <c r="D231">
        <v>8</v>
      </c>
      <c r="E231">
        <v>182</v>
      </c>
      <c r="F231">
        <v>25.4</v>
      </c>
      <c r="G231">
        <v>0.94699999999999995</v>
      </c>
      <c r="H231">
        <v>21</v>
      </c>
      <c r="I231">
        <v>0</v>
      </c>
      <c r="K231">
        <f t="shared" si="24"/>
        <v>5.8823529411764705E-2</v>
      </c>
      <c r="L231">
        <f t="shared" si="25"/>
        <v>0.54773869346733672</v>
      </c>
      <c r="M231">
        <f t="shared" si="26"/>
        <v>0.49180327868852458</v>
      </c>
      <c r="N231">
        <f t="shared" si="27"/>
        <v>8.0808080808080815E-2</v>
      </c>
      <c r="O231">
        <f t="shared" si="28"/>
        <v>0.21513002364066194</v>
      </c>
      <c r="P231">
        <f t="shared" si="29"/>
        <v>0.37853949329359166</v>
      </c>
      <c r="Q231">
        <f t="shared" si="30"/>
        <v>0.37105038428693421</v>
      </c>
      <c r="R231">
        <f t="shared" si="31"/>
        <v>0</v>
      </c>
    </row>
    <row r="232" spans="1:18" x14ac:dyDescent="0.3">
      <c r="A232">
        <v>1</v>
      </c>
      <c r="B232">
        <v>90</v>
      </c>
      <c r="C232">
        <v>62</v>
      </c>
      <c r="D232">
        <v>18</v>
      </c>
      <c r="E232">
        <v>59</v>
      </c>
      <c r="F232">
        <v>25.1</v>
      </c>
      <c r="G232">
        <v>1.268</v>
      </c>
      <c r="H232">
        <v>25</v>
      </c>
      <c r="I232">
        <v>0</v>
      </c>
      <c r="K232">
        <f t="shared" si="24"/>
        <v>5.8823529411764705E-2</v>
      </c>
      <c r="L232">
        <f t="shared" si="25"/>
        <v>0.45226130653266333</v>
      </c>
      <c r="M232">
        <f t="shared" si="26"/>
        <v>0.50819672131147542</v>
      </c>
      <c r="N232">
        <f t="shared" si="27"/>
        <v>0.18181818181818182</v>
      </c>
      <c r="O232">
        <f t="shared" si="28"/>
        <v>6.9739952718676126E-2</v>
      </c>
      <c r="P232">
        <f t="shared" si="29"/>
        <v>0.37406855439642328</v>
      </c>
      <c r="Q232">
        <f t="shared" si="30"/>
        <v>0.50811272416737829</v>
      </c>
      <c r="R232">
        <f t="shared" si="31"/>
        <v>6.6666666666666666E-2</v>
      </c>
    </row>
    <row r="233" spans="1:18" x14ac:dyDescent="0.3">
      <c r="A233">
        <v>1</v>
      </c>
      <c r="B233">
        <v>125</v>
      </c>
      <c r="C233">
        <v>70</v>
      </c>
      <c r="D233">
        <v>24</v>
      </c>
      <c r="E233">
        <v>110</v>
      </c>
      <c r="F233">
        <v>24.3</v>
      </c>
      <c r="G233">
        <v>0.221</v>
      </c>
      <c r="H233">
        <v>25</v>
      </c>
      <c r="I233">
        <v>0</v>
      </c>
      <c r="K233">
        <f t="shared" si="24"/>
        <v>5.8823529411764705E-2</v>
      </c>
      <c r="L233">
        <f t="shared" si="25"/>
        <v>0.62814070351758799</v>
      </c>
      <c r="M233">
        <f t="shared" si="26"/>
        <v>0.57377049180327866</v>
      </c>
      <c r="N233">
        <f t="shared" si="27"/>
        <v>0.24242424242424243</v>
      </c>
      <c r="O233">
        <f t="shared" si="28"/>
        <v>0.13002364066193853</v>
      </c>
      <c r="P233">
        <f t="shared" si="29"/>
        <v>0.36214605067064087</v>
      </c>
      <c r="Q233">
        <f t="shared" si="30"/>
        <v>6.1058923996584122E-2</v>
      </c>
      <c r="R233">
        <f t="shared" si="31"/>
        <v>6.6666666666666666E-2</v>
      </c>
    </row>
    <row r="234" spans="1:18" x14ac:dyDescent="0.3">
      <c r="A234">
        <v>1</v>
      </c>
      <c r="B234">
        <v>119</v>
      </c>
      <c r="C234">
        <v>54</v>
      </c>
      <c r="D234">
        <v>13</v>
      </c>
      <c r="E234">
        <v>50</v>
      </c>
      <c r="F234">
        <v>22.3</v>
      </c>
      <c r="G234">
        <v>0.20499999999999999</v>
      </c>
      <c r="H234">
        <v>24</v>
      </c>
      <c r="I234">
        <v>0</v>
      </c>
      <c r="K234">
        <f t="shared" si="24"/>
        <v>5.8823529411764705E-2</v>
      </c>
      <c r="L234">
        <f t="shared" si="25"/>
        <v>0.59798994974874375</v>
      </c>
      <c r="M234">
        <f t="shared" si="26"/>
        <v>0.44262295081967212</v>
      </c>
      <c r="N234">
        <f t="shared" si="27"/>
        <v>0.13131313131313133</v>
      </c>
      <c r="O234">
        <f t="shared" si="28"/>
        <v>5.9101654846335699E-2</v>
      </c>
      <c r="P234">
        <f t="shared" si="29"/>
        <v>0.33233979135618485</v>
      </c>
      <c r="Q234">
        <f t="shared" si="30"/>
        <v>5.4227156276686589E-2</v>
      </c>
      <c r="R234">
        <f t="shared" si="31"/>
        <v>0.05</v>
      </c>
    </row>
    <row r="235" spans="1:18" x14ac:dyDescent="0.3">
      <c r="A235">
        <v>5</v>
      </c>
      <c r="B235">
        <v>116</v>
      </c>
      <c r="C235">
        <v>74</v>
      </c>
      <c r="D235">
        <v>29</v>
      </c>
      <c r="E235">
        <v>0</v>
      </c>
      <c r="F235">
        <v>32.299999999999997</v>
      </c>
      <c r="G235">
        <v>0.66</v>
      </c>
      <c r="H235">
        <v>35</v>
      </c>
      <c r="I235">
        <v>1</v>
      </c>
      <c r="K235">
        <f t="shared" si="24"/>
        <v>0.29411764705882354</v>
      </c>
      <c r="L235">
        <f t="shared" si="25"/>
        <v>0.58291457286432158</v>
      </c>
      <c r="M235">
        <f t="shared" si="26"/>
        <v>0.60655737704918034</v>
      </c>
      <c r="N235">
        <f t="shared" si="27"/>
        <v>0.29292929292929293</v>
      </c>
      <c r="O235">
        <f t="shared" si="28"/>
        <v>0</v>
      </c>
      <c r="P235">
        <f t="shared" si="29"/>
        <v>0.481371087928465</v>
      </c>
      <c r="Q235">
        <f t="shared" si="30"/>
        <v>0.24850555081127243</v>
      </c>
      <c r="R235">
        <f t="shared" si="31"/>
        <v>0.23333333333333334</v>
      </c>
    </row>
    <row r="236" spans="1:18" x14ac:dyDescent="0.3">
      <c r="A236">
        <v>8</v>
      </c>
      <c r="B236">
        <v>105</v>
      </c>
      <c r="C236">
        <v>100</v>
      </c>
      <c r="D236">
        <v>36</v>
      </c>
      <c r="E236">
        <v>0</v>
      </c>
      <c r="F236">
        <v>43.3</v>
      </c>
      <c r="G236">
        <v>0.23899999999999999</v>
      </c>
      <c r="H236">
        <v>45</v>
      </c>
      <c r="I236">
        <v>1</v>
      </c>
      <c r="K236">
        <f t="shared" si="24"/>
        <v>0.47058823529411764</v>
      </c>
      <c r="L236">
        <f t="shared" si="25"/>
        <v>0.52763819095477382</v>
      </c>
      <c r="M236">
        <f t="shared" si="26"/>
        <v>0.81967213114754101</v>
      </c>
      <c r="N236">
        <f t="shared" si="27"/>
        <v>0.36363636363636365</v>
      </c>
      <c r="O236">
        <f t="shared" si="28"/>
        <v>0</v>
      </c>
      <c r="P236">
        <f t="shared" si="29"/>
        <v>0.64530551415797321</v>
      </c>
      <c r="Q236">
        <f t="shared" si="30"/>
        <v>6.8744662681468824E-2</v>
      </c>
      <c r="R236">
        <f t="shared" si="31"/>
        <v>0.4</v>
      </c>
    </row>
    <row r="237" spans="1:18" x14ac:dyDescent="0.3">
      <c r="A237">
        <v>5</v>
      </c>
      <c r="B237">
        <v>144</v>
      </c>
      <c r="C237">
        <v>82</v>
      </c>
      <c r="D237">
        <v>26</v>
      </c>
      <c r="E237">
        <v>285</v>
      </c>
      <c r="F237">
        <v>32</v>
      </c>
      <c r="G237">
        <v>0.45200000000000001</v>
      </c>
      <c r="H237">
        <v>58</v>
      </c>
      <c r="I237">
        <v>1</v>
      </c>
      <c r="K237">
        <f t="shared" si="24"/>
        <v>0.29411764705882354</v>
      </c>
      <c r="L237">
        <f t="shared" si="25"/>
        <v>0.72361809045226133</v>
      </c>
      <c r="M237">
        <f t="shared" si="26"/>
        <v>0.67213114754098358</v>
      </c>
      <c r="N237">
        <f t="shared" si="27"/>
        <v>0.26262626262626265</v>
      </c>
      <c r="O237">
        <f t="shared" si="28"/>
        <v>0.33687943262411346</v>
      </c>
      <c r="P237">
        <f t="shared" si="29"/>
        <v>0.47690014903129663</v>
      </c>
      <c r="Q237">
        <f t="shared" si="30"/>
        <v>0.1596925704526046</v>
      </c>
      <c r="R237">
        <f t="shared" si="31"/>
        <v>0.6166666666666667</v>
      </c>
    </row>
    <row r="238" spans="1:18" x14ac:dyDescent="0.3">
      <c r="A238">
        <v>3</v>
      </c>
      <c r="B238">
        <v>100</v>
      </c>
      <c r="C238">
        <v>68</v>
      </c>
      <c r="D238">
        <v>23</v>
      </c>
      <c r="E238">
        <v>81</v>
      </c>
      <c r="F238">
        <v>31.6</v>
      </c>
      <c r="G238">
        <v>0.94899999999999995</v>
      </c>
      <c r="H238">
        <v>28</v>
      </c>
      <c r="I238">
        <v>0</v>
      </c>
      <c r="K238">
        <f t="shared" si="24"/>
        <v>0.17647058823529413</v>
      </c>
      <c r="L238">
        <f t="shared" si="25"/>
        <v>0.50251256281407031</v>
      </c>
      <c r="M238">
        <f t="shared" si="26"/>
        <v>0.55737704918032782</v>
      </c>
      <c r="N238">
        <f t="shared" si="27"/>
        <v>0.23232323232323232</v>
      </c>
      <c r="O238">
        <f t="shared" si="28"/>
        <v>9.5744680851063829E-2</v>
      </c>
      <c r="P238">
        <f t="shared" si="29"/>
        <v>0.47093889716840542</v>
      </c>
      <c r="Q238">
        <f t="shared" si="30"/>
        <v>0.37190435525192145</v>
      </c>
      <c r="R238">
        <f t="shared" si="31"/>
        <v>0.11666666666666667</v>
      </c>
    </row>
    <row r="239" spans="1:18" x14ac:dyDescent="0.3">
      <c r="A239">
        <v>1</v>
      </c>
      <c r="B239">
        <v>100</v>
      </c>
      <c r="C239">
        <v>66</v>
      </c>
      <c r="D239">
        <v>29</v>
      </c>
      <c r="E239">
        <v>196</v>
      </c>
      <c r="F239">
        <v>32</v>
      </c>
      <c r="G239">
        <v>0.44400000000000001</v>
      </c>
      <c r="H239">
        <v>42</v>
      </c>
      <c r="I239">
        <v>0</v>
      </c>
      <c r="K239">
        <f t="shared" si="24"/>
        <v>5.8823529411764705E-2</v>
      </c>
      <c r="L239">
        <f t="shared" si="25"/>
        <v>0.50251256281407031</v>
      </c>
      <c r="M239">
        <f t="shared" si="26"/>
        <v>0.54098360655737709</v>
      </c>
      <c r="N239">
        <f t="shared" si="27"/>
        <v>0.29292929292929293</v>
      </c>
      <c r="O239">
        <f t="shared" si="28"/>
        <v>0.23167848699763594</v>
      </c>
      <c r="P239">
        <f t="shared" si="29"/>
        <v>0.47690014903129663</v>
      </c>
      <c r="Q239">
        <f t="shared" si="30"/>
        <v>0.15627668659265584</v>
      </c>
      <c r="R239">
        <f t="shared" si="31"/>
        <v>0.35</v>
      </c>
    </row>
    <row r="240" spans="1:18" x14ac:dyDescent="0.3">
      <c r="A240">
        <v>5</v>
      </c>
      <c r="B240">
        <v>166</v>
      </c>
      <c r="C240">
        <v>76</v>
      </c>
      <c r="D240">
        <v>0</v>
      </c>
      <c r="E240">
        <v>0</v>
      </c>
      <c r="F240">
        <v>45.7</v>
      </c>
      <c r="G240">
        <v>0.34</v>
      </c>
      <c r="H240">
        <v>27</v>
      </c>
      <c r="I240">
        <v>1</v>
      </c>
      <c r="K240">
        <f t="shared" si="24"/>
        <v>0.29411764705882354</v>
      </c>
      <c r="L240">
        <f t="shared" si="25"/>
        <v>0.83417085427135673</v>
      </c>
      <c r="M240">
        <f t="shared" si="26"/>
        <v>0.62295081967213117</v>
      </c>
      <c r="N240">
        <f t="shared" si="27"/>
        <v>0</v>
      </c>
      <c r="O240">
        <f t="shared" si="28"/>
        <v>0</v>
      </c>
      <c r="P240">
        <f t="shared" si="29"/>
        <v>0.68107302533532055</v>
      </c>
      <c r="Q240">
        <f t="shared" si="30"/>
        <v>0.11187019641332195</v>
      </c>
      <c r="R240">
        <f t="shared" si="31"/>
        <v>0.1</v>
      </c>
    </row>
    <row r="241" spans="1:18" x14ac:dyDescent="0.3">
      <c r="A241">
        <v>1</v>
      </c>
      <c r="B241">
        <v>131</v>
      </c>
      <c r="C241">
        <v>64</v>
      </c>
      <c r="D241">
        <v>14</v>
      </c>
      <c r="E241">
        <v>415</v>
      </c>
      <c r="F241">
        <v>23.7</v>
      </c>
      <c r="G241">
        <v>0.38900000000000001</v>
      </c>
      <c r="H241">
        <v>21</v>
      </c>
      <c r="I241">
        <v>0</v>
      </c>
      <c r="K241">
        <f t="shared" si="24"/>
        <v>5.8823529411764705E-2</v>
      </c>
      <c r="L241">
        <f t="shared" si="25"/>
        <v>0.65829145728643212</v>
      </c>
      <c r="M241">
        <f t="shared" si="26"/>
        <v>0.52459016393442626</v>
      </c>
      <c r="N241">
        <f t="shared" si="27"/>
        <v>0.14141414141414141</v>
      </c>
      <c r="O241">
        <f t="shared" si="28"/>
        <v>0.49054373522458627</v>
      </c>
      <c r="P241">
        <f t="shared" si="29"/>
        <v>0.35320417287630407</v>
      </c>
      <c r="Q241">
        <f t="shared" si="30"/>
        <v>0.13279248505550811</v>
      </c>
      <c r="R241">
        <f t="shared" si="31"/>
        <v>0</v>
      </c>
    </row>
    <row r="242" spans="1:18" x14ac:dyDescent="0.3">
      <c r="A242">
        <v>4</v>
      </c>
      <c r="B242">
        <v>116</v>
      </c>
      <c r="C242">
        <v>72</v>
      </c>
      <c r="D242">
        <v>12</v>
      </c>
      <c r="E242">
        <v>87</v>
      </c>
      <c r="F242">
        <v>22.1</v>
      </c>
      <c r="G242">
        <v>0.46300000000000002</v>
      </c>
      <c r="H242">
        <v>37</v>
      </c>
      <c r="I242">
        <v>0</v>
      </c>
      <c r="K242">
        <f t="shared" si="24"/>
        <v>0.23529411764705882</v>
      </c>
      <c r="L242">
        <f t="shared" si="25"/>
        <v>0.58291457286432158</v>
      </c>
      <c r="M242">
        <f t="shared" si="26"/>
        <v>0.5901639344262295</v>
      </c>
      <c r="N242">
        <f t="shared" si="27"/>
        <v>0.12121212121212122</v>
      </c>
      <c r="O242">
        <f t="shared" si="28"/>
        <v>0.10283687943262411</v>
      </c>
      <c r="P242">
        <f t="shared" si="29"/>
        <v>0.32935916542473925</v>
      </c>
      <c r="Q242">
        <f t="shared" si="30"/>
        <v>0.16438941076003416</v>
      </c>
      <c r="R242">
        <f t="shared" si="31"/>
        <v>0.26666666666666666</v>
      </c>
    </row>
    <row r="243" spans="1:18" x14ac:dyDescent="0.3">
      <c r="A243">
        <v>4</v>
      </c>
      <c r="B243">
        <v>158</v>
      </c>
      <c r="C243">
        <v>78</v>
      </c>
      <c r="D243">
        <v>0</v>
      </c>
      <c r="E243">
        <v>0</v>
      </c>
      <c r="F243">
        <v>32.9</v>
      </c>
      <c r="G243">
        <v>0.80300000000000005</v>
      </c>
      <c r="H243">
        <v>31</v>
      </c>
      <c r="I243">
        <v>1</v>
      </c>
      <c r="K243">
        <f t="shared" si="24"/>
        <v>0.23529411764705882</v>
      </c>
      <c r="L243">
        <f t="shared" si="25"/>
        <v>0.79396984924623115</v>
      </c>
      <c r="M243">
        <f t="shared" si="26"/>
        <v>0.63934426229508201</v>
      </c>
      <c r="N243">
        <f t="shared" si="27"/>
        <v>0</v>
      </c>
      <c r="O243">
        <f t="shared" si="28"/>
        <v>0</v>
      </c>
      <c r="P243">
        <f t="shared" si="29"/>
        <v>0.49031296572280181</v>
      </c>
      <c r="Q243">
        <f t="shared" si="30"/>
        <v>0.30956447480785654</v>
      </c>
      <c r="R243">
        <f t="shared" si="31"/>
        <v>0.16666666666666666</v>
      </c>
    </row>
    <row r="244" spans="1:18" x14ac:dyDescent="0.3">
      <c r="A244">
        <v>2</v>
      </c>
      <c r="B244">
        <v>127</v>
      </c>
      <c r="C244">
        <v>58</v>
      </c>
      <c r="D244">
        <v>24</v>
      </c>
      <c r="E244">
        <v>275</v>
      </c>
      <c r="F244">
        <v>27.7</v>
      </c>
      <c r="G244">
        <v>1.6</v>
      </c>
      <c r="H244">
        <v>25</v>
      </c>
      <c r="I244">
        <v>0</v>
      </c>
      <c r="K244">
        <f t="shared" si="24"/>
        <v>0.11764705882352941</v>
      </c>
      <c r="L244">
        <f t="shared" si="25"/>
        <v>0.63819095477386933</v>
      </c>
      <c r="M244">
        <f t="shared" si="26"/>
        <v>0.47540983606557374</v>
      </c>
      <c r="N244">
        <f t="shared" si="27"/>
        <v>0.24242424242424243</v>
      </c>
      <c r="O244">
        <f t="shared" si="28"/>
        <v>0.32505910165484636</v>
      </c>
      <c r="P244">
        <f t="shared" si="29"/>
        <v>0.4128166915052161</v>
      </c>
      <c r="Q244">
        <f t="shared" si="30"/>
        <v>0.64987190435525188</v>
      </c>
      <c r="R244">
        <f t="shared" si="31"/>
        <v>6.6666666666666666E-2</v>
      </c>
    </row>
    <row r="245" spans="1:18" x14ac:dyDescent="0.3">
      <c r="A245">
        <v>3</v>
      </c>
      <c r="B245">
        <v>96</v>
      </c>
      <c r="C245">
        <v>56</v>
      </c>
      <c r="D245">
        <v>34</v>
      </c>
      <c r="E245">
        <v>115</v>
      </c>
      <c r="F245">
        <v>24.7</v>
      </c>
      <c r="G245">
        <v>0.94399999999999995</v>
      </c>
      <c r="H245">
        <v>39</v>
      </c>
      <c r="I245">
        <v>0</v>
      </c>
      <c r="K245">
        <f t="shared" si="24"/>
        <v>0.17647058823529413</v>
      </c>
      <c r="L245">
        <f t="shared" si="25"/>
        <v>0.48241206030150752</v>
      </c>
      <c r="M245">
        <f t="shared" si="26"/>
        <v>0.45901639344262296</v>
      </c>
      <c r="N245">
        <f t="shared" si="27"/>
        <v>0.34343434343434343</v>
      </c>
      <c r="O245">
        <f t="shared" si="28"/>
        <v>0.13593380614657211</v>
      </c>
      <c r="P245">
        <f t="shared" si="29"/>
        <v>0.36810730253353208</v>
      </c>
      <c r="Q245">
        <f t="shared" si="30"/>
        <v>0.36976942783945344</v>
      </c>
      <c r="R245">
        <f t="shared" si="31"/>
        <v>0.3</v>
      </c>
    </row>
    <row r="246" spans="1:18" x14ac:dyDescent="0.3">
      <c r="A246">
        <v>0</v>
      </c>
      <c r="B246">
        <v>131</v>
      </c>
      <c r="C246">
        <v>66</v>
      </c>
      <c r="D246">
        <v>40</v>
      </c>
      <c r="E246">
        <v>0</v>
      </c>
      <c r="F246">
        <v>34.299999999999997</v>
      </c>
      <c r="G246">
        <v>0.19600000000000001</v>
      </c>
      <c r="H246">
        <v>22</v>
      </c>
      <c r="I246">
        <v>1</v>
      </c>
      <c r="K246">
        <f t="shared" si="24"/>
        <v>0</v>
      </c>
      <c r="L246">
        <f t="shared" si="25"/>
        <v>0.65829145728643212</v>
      </c>
      <c r="M246">
        <f t="shared" si="26"/>
        <v>0.54098360655737709</v>
      </c>
      <c r="N246">
        <f t="shared" si="27"/>
        <v>0.40404040404040403</v>
      </c>
      <c r="O246">
        <f t="shared" si="28"/>
        <v>0</v>
      </c>
      <c r="P246">
        <f t="shared" si="29"/>
        <v>0.51117734724292097</v>
      </c>
      <c r="Q246">
        <f t="shared" si="30"/>
        <v>5.0384286934244238E-2</v>
      </c>
      <c r="R246">
        <f t="shared" si="31"/>
        <v>1.6666666666666666E-2</v>
      </c>
    </row>
    <row r="247" spans="1:18" x14ac:dyDescent="0.3">
      <c r="A247">
        <v>3</v>
      </c>
      <c r="B247">
        <v>82</v>
      </c>
      <c r="C247">
        <v>70</v>
      </c>
      <c r="D247">
        <v>0</v>
      </c>
      <c r="E247">
        <v>0</v>
      </c>
      <c r="F247">
        <v>21.1</v>
      </c>
      <c r="G247">
        <v>0.38900000000000001</v>
      </c>
      <c r="H247">
        <v>25</v>
      </c>
      <c r="I247">
        <v>0</v>
      </c>
      <c r="K247">
        <f t="shared" si="24"/>
        <v>0.17647058823529413</v>
      </c>
      <c r="L247">
        <f t="shared" si="25"/>
        <v>0.4120603015075377</v>
      </c>
      <c r="M247">
        <f t="shared" si="26"/>
        <v>0.57377049180327866</v>
      </c>
      <c r="N247">
        <f t="shared" si="27"/>
        <v>0</v>
      </c>
      <c r="O247">
        <f t="shared" si="28"/>
        <v>0</v>
      </c>
      <c r="P247">
        <f t="shared" si="29"/>
        <v>0.31445603576751124</v>
      </c>
      <c r="Q247">
        <f t="shared" si="30"/>
        <v>0.13279248505550811</v>
      </c>
      <c r="R247">
        <f t="shared" si="31"/>
        <v>6.6666666666666666E-2</v>
      </c>
    </row>
    <row r="248" spans="1:18" x14ac:dyDescent="0.3">
      <c r="A248">
        <v>3</v>
      </c>
      <c r="B248">
        <v>193</v>
      </c>
      <c r="C248">
        <v>70</v>
      </c>
      <c r="D248">
        <v>31</v>
      </c>
      <c r="E248">
        <v>0</v>
      </c>
      <c r="F248">
        <v>34.9</v>
      </c>
      <c r="G248">
        <v>0.24099999999999999</v>
      </c>
      <c r="H248">
        <v>25</v>
      </c>
      <c r="I248">
        <v>1</v>
      </c>
      <c r="K248">
        <f t="shared" si="24"/>
        <v>0.17647058823529413</v>
      </c>
      <c r="L248">
        <f t="shared" si="25"/>
        <v>0.96984924623115576</v>
      </c>
      <c r="M248">
        <f t="shared" si="26"/>
        <v>0.57377049180327866</v>
      </c>
      <c r="N248">
        <f t="shared" si="27"/>
        <v>0.31313131313131315</v>
      </c>
      <c r="O248">
        <f t="shared" si="28"/>
        <v>0</v>
      </c>
      <c r="P248">
        <f t="shared" si="29"/>
        <v>0.52011922503725783</v>
      </c>
      <c r="Q248">
        <f t="shared" si="30"/>
        <v>6.9598633646456007E-2</v>
      </c>
      <c r="R248">
        <f t="shared" si="31"/>
        <v>6.6666666666666666E-2</v>
      </c>
    </row>
    <row r="249" spans="1:18" x14ac:dyDescent="0.3">
      <c r="A249">
        <v>4</v>
      </c>
      <c r="B249">
        <v>95</v>
      </c>
      <c r="C249">
        <v>64</v>
      </c>
      <c r="D249">
        <v>0</v>
      </c>
      <c r="E249">
        <v>0</v>
      </c>
      <c r="F249">
        <v>32</v>
      </c>
      <c r="G249">
        <v>0.161</v>
      </c>
      <c r="H249">
        <v>31</v>
      </c>
      <c r="I249">
        <v>1</v>
      </c>
      <c r="K249">
        <f t="shared" si="24"/>
        <v>0.23529411764705882</v>
      </c>
      <c r="L249">
        <f t="shared" si="25"/>
        <v>0.47738693467336685</v>
      </c>
      <c r="M249">
        <f t="shared" si="26"/>
        <v>0.52459016393442626</v>
      </c>
      <c r="N249">
        <f t="shared" si="27"/>
        <v>0</v>
      </c>
      <c r="O249">
        <f t="shared" si="28"/>
        <v>0</v>
      </c>
      <c r="P249">
        <f t="shared" si="29"/>
        <v>0.47690014903129663</v>
      </c>
      <c r="Q249">
        <f t="shared" si="30"/>
        <v>3.5439795046968404E-2</v>
      </c>
      <c r="R249">
        <f t="shared" si="31"/>
        <v>0.16666666666666666</v>
      </c>
    </row>
    <row r="250" spans="1:18" x14ac:dyDescent="0.3">
      <c r="A250">
        <v>6</v>
      </c>
      <c r="B250">
        <v>137</v>
      </c>
      <c r="C250">
        <v>61</v>
      </c>
      <c r="D250">
        <v>0</v>
      </c>
      <c r="E250">
        <v>0</v>
      </c>
      <c r="F250">
        <v>24.2</v>
      </c>
      <c r="G250">
        <v>0.151</v>
      </c>
      <c r="H250">
        <v>55</v>
      </c>
      <c r="I250">
        <v>0</v>
      </c>
      <c r="K250">
        <f t="shared" si="24"/>
        <v>0.35294117647058826</v>
      </c>
      <c r="L250">
        <f t="shared" si="25"/>
        <v>0.68844221105527637</v>
      </c>
      <c r="M250">
        <f t="shared" si="26"/>
        <v>0.5</v>
      </c>
      <c r="N250">
        <f t="shared" si="27"/>
        <v>0</v>
      </c>
      <c r="O250">
        <f t="shared" si="28"/>
        <v>0</v>
      </c>
      <c r="P250">
        <f t="shared" si="29"/>
        <v>0.36065573770491804</v>
      </c>
      <c r="Q250">
        <f t="shared" si="30"/>
        <v>3.1169940222032448E-2</v>
      </c>
      <c r="R250">
        <f t="shared" si="31"/>
        <v>0.56666666666666665</v>
      </c>
    </row>
    <row r="251" spans="1:18" x14ac:dyDescent="0.3">
      <c r="A251">
        <v>5</v>
      </c>
      <c r="B251">
        <v>136</v>
      </c>
      <c r="C251">
        <v>84</v>
      </c>
      <c r="D251">
        <v>41</v>
      </c>
      <c r="E251">
        <v>88</v>
      </c>
      <c r="F251">
        <v>35</v>
      </c>
      <c r="G251">
        <v>0.28599999999999998</v>
      </c>
      <c r="H251">
        <v>35</v>
      </c>
      <c r="I251">
        <v>1</v>
      </c>
      <c r="K251">
        <f t="shared" si="24"/>
        <v>0.29411764705882354</v>
      </c>
      <c r="L251">
        <f t="shared" si="25"/>
        <v>0.68341708542713564</v>
      </c>
      <c r="M251">
        <f t="shared" si="26"/>
        <v>0.68852459016393441</v>
      </c>
      <c r="N251">
        <f t="shared" si="27"/>
        <v>0.41414141414141414</v>
      </c>
      <c r="O251">
        <f t="shared" si="28"/>
        <v>0.10401891252955082</v>
      </c>
      <c r="P251">
        <f t="shared" si="29"/>
        <v>0.52160953800298071</v>
      </c>
      <c r="Q251">
        <f t="shared" si="30"/>
        <v>8.881298035866779E-2</v>
      </c>
      <c r="R251">
        <f t="shared" si="31"/>
        <v>0.23333333333333334</v>
      </c>
    </row>
    <row r="252" spans="1:18" x14ac:dyDescent="0.3">
      <c r="A252">
        <v>9</v>
      </c>
      <c r="B252">
        <v>72</v>
      </c>
      <c r="C252">
        <v>78</v>
      </c>
      <c r="D252">
        <v>25</v>
      </c>
      <c r="E252">
        <v>0</v>
      </c>
      <c r="F252">
        <v>31.6</v>
      </c>
      <c r="G252">
        <v>0.28000000000000003</v>
      </c>
      <c r="H252">
        <v>38</v>
      </c>
      <c r="I252">
        <v>0</v>
      </c>
      <c r="K252">
        <f t="shared" si="24"/>
        <v>0.52941176470588236</v>
      </c>
      <c r="L252">
        <f t="shared" si="25"/>
        <v>0.36180904522613067</v>
      </c>
      <c r="M252">
        <f t="shared" si="26"/>
        <v>0.63934426229508201</v>
      </c>
      <c r="N252">
        <f t="shared" si="27"/>
        <v>0.25252525252525254</v>
      </c>
      <c r="O252">
        <f t="shared" si="28"/>
        <v>0</v>
      </c>
      <c r="P252">
        <f t="shared" si="29"/>
        <v>0.47093889716840542</v>
      </c>
      <c r="Q252">
        <f t="shared" si="30"/>
        <v>8.6251067463706241E-2</v>
      </c>
      <c r="R252">
        <f t="shared" si="31"/>
        <v>0.28333333333333333</v>
      </c>
    </row>
    <row r="253" spans="1:18" x14ac:dyDescent="0.3">
      <c r="A253">
        <v>5</v>
      </c>
      <c r="B253">
        <v>168</v>
      </c>
      <c r="C253">
        <v>64</v>
      </c>
      <c r="D253">
        <v>0</v>
      </c>
      <c r="E253">
        <v>0</v>
      </c>
      <c r="F253">
        <v>32.9</v>
      </c>
      <c r="G253">
        <v>0.13500000000000001</v>
      </c>
      <c r="H253">
        <v>41</v>
      </c>
      <c r="I253">
        <v>1</v>
      </c>
      <c r="K253">
        <f t="shared" si="24"/>
        <v>0.29411764705882354</v>
      </c>
      <c r="L253">
        <f t="shared" si="25"/>
        <v>0.84422110552763818</v>
      </c>
      <c r="M253">
        <f t="shared" si="26"/>
        <v>0.52459016393442626</v>
      </c>
      <c r="N253">
        <f t="shared" si="27"/>
        <v>0</v>
      </c>
      <c r="O253">
        <f t="shared" si="28"/>
        <v>0</v>
      </c>
      <c r="P253">
        <f t="shared" si="29"/>
        <v>0.49031296572280181</v>
      </c>
      <c r="Q253">
        <f t="shared" si="30"/>
        <v>2.4338172502134929E-2</v>
      </c>
      <c r="R253">
        <f t="shared" si="31"/>
        <v>0.33333333333333331</v>
      </c>
    </row>
    <row r="254" spans="1:18" x14ac:dyDescent="0.3">
      <c r="A254">
        <v>2</v>
      </c>
      <c r="B254">
        <v>123</v>
      </c>
      <c r="C254">
        <v>48</v>
      </c>
      <c r="D254">
        <v>32</v>
      </c>
      <c r="E254">
        <v>165</v>
      </c>
      <c r="F254">
        <v>42.1</v>
      </c>
      <c r="G254">
        <v>0.52</v>
      </c>
      <c r="H254">
        <v>26</v>
      </c>
      <c r="I254">
        <v>0</v>
      </c>
      <c r="K254">
        <f t="shared" si="24"/>
        <v>0.11764705882352941</v>
      </c>
      <c r="L254">
        <f t="shared" si="25"/>
        <v>0.61809045226130654</v>
      </c>
      <c r="M254">
        <f t="shared" si="26"/>
        <v>0.39344262295081966</v>
      </c>
      <c r="N254">
        <f t="shared" si="27"/>
        <v>0.32323232323232326</v>
      </c>
      <c r="O254">
        <f t="shared" si="28"/>
        <v>0.19503546099290781</v>
      </c>
      <c r="P254">
        <f t="shared" si="29"/>
        <v>0.6274217585692996</v>
      </c>
      <c r="Q254">
        <f t="shared" si="30"/>
        <v>0.18872758326216907</v>
      </c>
      <c r="R254">
        <f t="shared" si="31"/>
        <v>8.3333333333333329E-2</v>
      </c>
    </row>
    <row r="255" spans="1:18" x14ac:dyDescent="0.3">
      <c r="A255">
        <v>4</v>
      </c>
      <c r="B255">
        <v>115</v>
      </c>
      <c r="C255">
        <v>72</v>
      </c>
      <c r="D255">
        <v>0</v>
      </c>
      <c r="E255">
        <v>0</v>
      </c>
      <c r="F255">
        <v>28.9</v>
      </c>
      <c r="G255">
        <v>0.376</v>
      </c>
      <c r="H255">
        <v>46</v>
      </c>
      <c r="I255">
        <v>1</v>
      </c>
      <c r="K255">
        <f t="shared" si="24"/>
        <v>0.23529411764705882</v>
      </c>
      <c r="L255">
        <f t="shared" si="25"/>
        <v>0.57788944723618085</v>
      </c>
      <c r="M255">
        <f t="shared" si="26"/>
        <v>0.5901639344262295</v>
      </c>
      <c r="N255">
        <f t="shared" si="27"/>
        <v>0</v>
      </c>
      <c r="O255">
        <f t="shared" si="28"/>
        <v>0</v>
      </c>
      <c r="P255">
        <f t="shared" si="29"/>
        <v>0.43070044709388972</v>
      </c>
      <c r="Q255">
        <f t="shared" si="30"/>
        <v>0.12724167378309137</v>
      </c>
      <c r="R255">
        <f t="shared" si="31"/>
        <v>0.41666666666666669</v>
      </c>
    </row>
    <row r="256" spans="1:18" x14ac:dyDescent="0.3">
      <c r="A256">
        <v>0</v>
      </c>
      <c r="B256">
        <v>101</v>
      </c>
      <c r="C256">
        <v>62</v>
      </c>
      <c r="D256">
        <v>0</v>
      </c>
      <c r="E256">
        <v>0</v>
      </c>
      <c r="F256">
        <v>21.9</v>
      </c>
      <c r="G256">
        <v>0.33600000000000002</v>
      </c>
      <c r="H256">
        <v>25</v>
      </c>
      <c r="I256">
        <v>0</v>
      </c>
      <c r="K256">
        <f t="shared" si="24"/>
        <v>0</v>
      </c>
      <c r="L256">
        <f t="shared" si="25"/>
        <v>0.50753768844221103</v>
      </c>
      <c r="M256">
        <f t="shared" si="26"/>
        <v>0.50819672131147542</v>
      </c>
      <c r="N256">
        <f t="shared" si="27"/>
        <v>0</v>
      </c>
      <c r="O256">
        <f t="shared" si="28"/>
        <v>0</v>
      </c>
      <c r="P256">
        <f t="shared" si="29"/>
        <v>0.3263785394932936</v>
      </c>
      <c r="Q256">
        <f t="shared" si="30"/>
        <v>0.11016225448334757</v>
      </c>
      <c r="R256">
        <f t="shared" si="31"/>
        <v>6.6666666666666666E-2</v>
      </c>
    </row>
    <row r="257" spans="1:18" x14ac:dyDescent="0.3">
      <c r="A257">
        <v>8</v>
      </c>
      <c r="B257">
        <v>197</v>
      </c>
      <c r="C257">
        <v>74</v>
      </c>
      <c r="D257">
        <v>0</v>
      </c>
      <c r="E257">
        <v>0</v>
      </c>
      <c r="F257">
        <v>25.9</v>
      </c>
      <c r="G257">
        <v>1.1910000000000001</v>
      </c>
      <c r="H257">
        <v>39</v>
      </c>
      <c r="I257">
        <v>1</v>
      </c>
      <c r="K257">
        <f t="shared" si="24"/>
        <v>0.47058823529411764</v>
      </c>
      <c r="L257">
        <f t="shared" si="25"/>
        <v>0.98994974874371855</v>
      </c>
      <c r="M257">
        <f t="shared" si="26"/>
        <v>0.60655737704918034</v>
      </c>
      <c r="N257">
        <f t="shared" si="27"/>
        <v>0</v>
      </c>
      <c r="O257">
        <f t="shared" si="28"/>
        <v>0</v>
      </c>
      <c r="P257">
        <f t="shared" si="29"/>
        <v>0.38599105812220569</v>
      </c>
      <c r="Q257">
        <f t="shared" si="30"/>
        <v>0.47523484201537147</v>
      </c>
      <c r="R257">
        <f t="shared" si="31"/>
        <v>0.3</v>
      </c>
    </row>
    <row r="258" spans="1:18" x14ac:dyDescent="0.3">
      <c r="A258">
        <v>1</v>
      </c>
      <c r="B258">
        <v>172</v>
      </c>
      <c r="C258">
        <v>68</v>
      </c>
      <c r="D258">
        <v>49</v>
      </c>
      <c r="E258">
        <v>579</v>
      </c>
      <c r="F258">
        <v>42.4</v>
      </c>
      <c r="G258">
        <v>0.70199999999999996</v>
      </c>
      <c r="H258">
        <v>28</v>
      </c>
      <c r="I258">
        <v>1</v>
      </c>
      <c r="K258">
        <f t="shared" si="24"/>
        <v>5.8823529411764705E-2</v>
      </c>
      <c r="L258">
        <f t="shared" si="25"/>
        <v>0.86432160804020097</v>
      </c>
      <c r="M258">
        <f t="shared" si="26"/>
        <v>0.55737704918032782</v>
      </c>
      <c r="N258">
        <f t="shared" si="27"/>
        <v>0.49494949494949497</v>
      </c>
      <c r="O258">
        <f t="shared" si="28"/>
        <v>0.68439716312056742</v>
      </c>
      <c r="P258">
        <f t="shared" si="29"/>
        <v>0.63189269746646803</v>
      </c>
      <c r="Q258">
        <f t="shared" si="30"/>
        <v>0.26643894107600341</v>
      </c>
      <c r="R258">
        <f t="shared" si="31"/>
        <v>0.11666666666666667</v>
      </c>
    </row>
    <row r="259" spans="1:18" x14ac:dyDescent="0.3">
      <c r="A259">
        <v>6</v>
      </c>
      <c r="B259">
        <v>102</v>
      </c>
      <c r="C259">
        <v>90</v>
      </c>
      <c r="D259">
        <v>39</v>
      </c>
      <c r="E259">
        <v>0</v>
      </c>
      <c r="F259">
        <v>35.700000000000003</v>
      </c>
      <c r="G259">
        <v>0.67400000000000004</v>
      </c>
      <c r="H259">
        <v>28</v>
      </c>
      <c r="I259">
        <v>0</v>
      </c>
      <c r="K259">
        <f t="shared" ref="K259:K322" si="32">(A259-0)/(17-0)</f>
        <v>0.35294117647058826</v>
      </c>
      <c r="L259">
        <f t="shared" ref="L259:L322" si="33">(B259-0)/(199-0)</f>
        <v>0.51256281407035176</v>
      </c>
      <c r="M259">
        <f t="shared" ref="M259:M322" si="34">(C259-0)/(122-0)</f>
        <v>0.73770491803278693</v>
      </c>
      <c r="N259">
        <f t="shared" ref="N259:N322" si="35">(D259-0)/(99-0)</f>
        <v>0.39393939393939392</v>
      </c>
      <c r="O259">
        <f t="shared" ref="O259:O322" si="36">(E259-0)/(846-0)</f>
        <v>0</v>
      </c>
      <c r="P259">
        <f t="shared" ref="P259:P322" si="37">(F259-0)/(67.1-0)</f>
        <v>0.53204172876304034</v>
      </c>
      <c r="Q259">
        <f t="shared" ref="Q259:Q322" si="38">(G259-0.078)/(2.42-0.078)</f>
        <v>0.25448334756618279</v>
      </c>
      <c r="R259">
        <f t="shared" ref="R259:R322" si="39">(H259-21)/(81-21)</f>
        <v>0.11666666666666667</v>
      </c>
    </row>
    <row r="260" spans="1:18" x14ac:dyDescent="0.3">
      <c r="A260">
        <v>1</v>
      </c>
      <c r="B260">
        <v>112</v>
      </c>
      <c r="C260">
        <v>72</v>
      </c>
      <c r="D260">
        <v>30</v>
      </c>
      <c r="E260">
        <v>176</v>
      </c>
      <c r="F260">
        <v>34.4</v>
      </c>
      <c r="G260">
        <v>0.52800000000000002</v>
      </c>
      <c r="H260">
        <v>25</v>
      </c>
      <c r="I260">
        <v>0</v>
      </c>
      <c r="K260">
        <f t="shared" si="32"/>
        <v>5.8823529411764705E-2</v>
      </c>
      <c r="L260">
        <f t="shared" si="33"/>
        <v>0.56281407035175879</v>
      </c>
      <c r="M260">
        <f t="shared" si="34"/>
        <v>0.5901639344262295</v>
      </c>
      <c r="N260">
        <f t="shared" si="35"/>
        <v>0.30303030303030304</v>
      </c>
      <c r="O260">
        <f t="shared" si="36"/>
        <v>0.20803782505910165</v>
      </c>
      <c r="P260">
        <f t="shared" si="37"/>
        <v>0.51266766020864385</v>
      </c>
      <c r="Q260">
        <f t="shared" si="38"/>
        <v>0.19214346712211786</v>
      </c>
      <c r="R260">
        <f t="shared" si="39"/>
        <v>6.6666666666666666E-2</v>
      </c>
    </row>
    <row r="261" spans="1:18" x14ac:dyDescent="0.3">
      <c r="A261">
        <v>1</v>
      </c>
      <c r="B261">
        <v>143</v>
      </c>
      <c r="C261">
        <v>84</v>
      </c>
      <c r="D261">
        <v>23</v>
      </c>
      <c r="E261">
        <v>310</v>
      </c>
      <c r="F261">
        <v>42.4</v>
      </c>
      <c r="G261">
        <v>1.0760000000000001</v>
      </c>
      <c r="H261">
        <v>22</v>
      </c>
      <c r="I261">
        <v>0</v>
      </c>
      <c r="K261">
        <f t="shared" si="32"/>
        <v>5.8823529411764705E-2</v>
      </c>
      <c r="L261">
        <f t="shared" si="33"/>
        <v>0.71859296482412061</v>
      </c>
      <c r="M261">
        <f t="shared" si="34"/>
        <v>0.68852459016393441</v>
      </c>
      <c r="N261">
        <f t="shared" si="35"/>
        <v>0.23232323232323232</v>
      </c>
      <c r="O261">
        <f t="shared" si="36"/>
        <v>0.3664302600472813</v>
      </c>
      <c r="P261">
        <f t="shared" si="37"/>
        <v>0.63189269746646803</v>
      </c>
      <c r="Q261">
        <f t="shared" si="38"/>
        <v>0.42613151152860806</v>
      </c>
      <c r="R261">
        <f t="shared" si="39"/>
        <v>1.6666666666666666E-2</v>
      </c>
    </row>
    <row r="262" spans="1:18" x14ac:dyDescent="0.3">
      <c r="A262">
        <v>1</v>
      </c>
      <c r="B262">
        <v>143</v>
      </c>
      <c r="C262">
        <v>74</v>
      </c>
      <c r="D262">
        <v>22</v>
      </c>
      <c r="E262">
        <v>61</v>
      </c>
      <c r="F262">
        <v>26.2</v>
      </c>
      <c r="G262">
        <v>0.25600000000000001</v>
      </c>
      <c r="H262">
        <v>21</v>
      </c>
      <c r="I262">
        <v>0</v>
      </c>
      <c r="K262">
        <f t="shared" si="32"/>
        <v>5.8823529411764705E-2</v>
      </c>
      <c r="L262">
        <f t="shared" si="33"/>
        <v>0.71859296482412061</v>
      </c>
      <c r="M262">
        <f t="shared" si="34"/>
        <v>0.60655737704918034</v>
      </c>
      <c r="N262">
        <f t="shared" si="35"/>
        <v>0.22222222222222221</v>
      </c>
      <c r="O262">
        <f t="shared" si="36"/>
        <v>7.2104018912529558E-2</v>
      </c>
      <c r="P262">
        <f t="shared" si="37"/>
        <v>0.39046199701937412</v>
      </c>
      <c r="Q262">
        <f t="shared" si="38"/>
        <v>7.6003415883859948E-2</v>
      </c>
      <c r="R262">
        <f t="shared" si="39"/>
        <v>0</v>
      </c>
    </row>
    <row r="263" spans="1:18" x14ac:dyDescent="0.3">
      <c r="A263">
        <v>0</v>
      </c>
      <c r="B263">
        <v>138</v>
      </c>
      <c r="C263">
        <v>60</v>
      </c>
      <c r="D263">
        <v>35</v>
      </c>
      <c r="E263">
        <v>167</v>
      </c>
      <c r="F263">
        <v>34.6</v>
      </c>
      <c r="G263">
        <v>0.53400000000000003</v>
      </c>
      <c r="H263">
        <v>21</v>
      </c>
      <c r="I263">
        <v>1</v>
      </c>
      <c r="K263">
        <f t="shared" si="32"/>
        <v>0</v>
      </c>
      <c r="L263">
        <f t="shared" si="33"/>
        <v>0.69346733668341709</v>
      </c>
      <c r="M263">
        <f t="shared" si="34"/>
        <v>0.49180327868852458</v>
      </c>
      <c r="N263">
        <f t="shared" si="35"/>
        <v>0.35353535353535354</v>
      </c>
      <c r="O263">
        <f t="shared" si="36"/>
        <v>0.19739952718676124</v>
      </c>
      <c r="P263">
        <f t="shared" si="37"/>
        <v>0.51564828614008951</v>
      </c>
      <c r="Q263">
        <f t="shared" si="38"/>
        <v>0.19470538001707943</v>
      </c>
      <c r="R263">
        <f t="shared" si="39"/>
        <v>0</v>
      </c>
    </row>
    <row r="264" spans="1:18" x14ac:dyDescent="0.3">
      <c r="A264">
        <v>3</v>
      </c>
      <c r="B264">
        <v>173</v>
      </c>
      <c r="C264">
        <v>84</v>
      </c>
      <c r="D264">
        <v>33</v>
      </c>
      <c r="E264">
        <v>474</v>
      </c>
      <c r="F264">
        <v>35.700000000000003</v>
      </c>
      <c r="G264">
        <v>0.25800000000000001</v>
      </c>
      <c r="H264">
        <v>22</v>
      </c>
      <c r="I264">
        <v>1</v>
      </c>
      <c r="K264">
        <f t="shared" si="32"/>
        <v>0.17647058823529413</v>
      </c>
      <c r="L264">
        <f t="shared" si="33"/>
        <v>0.8693467336683417</v>
      </c>
      <c r="M264">
        <f t="shared" si="34"/>
        <v>0.68852459016393441</v>
      </c>
      <c r="N264">
        <f t="shared" si="35"/>
        <v>0.33333333333333331</v>
      </c>
      <c r="O264">
        <f t="shared" si="36"/>
        <v>0.56028368794326244</v>
      </c>
      <c r="P264">
        <f t="shared" si="37"/>
        <v>0.53204172876304034</v>
      </c>
      <c r="Q264">
        <f t="shared" si="38"/>
        <v>7.6857386848847131E-2</v>
      </c>
      <c r="R264">
        <f t="shared" si="39"/>
        <v>1.6666666666666666E-2</v>
      </c>
    </row>
    <row r="265" spans="1:18" x14ac:dyDescent="0.3">
      <c r="A265">
        <v>1</v>
      </c>
      <c r="B265">
        <v>97</v>
      </c>
      <c r="C265">
        <v>68</v>
      </c>
      <c r="D265">
        <v>21</v>
      </c>
      <c r="E265">
        <v>0</v>
      </c>
      <c r="F265">
        <v>27.2</v>
      </c>
      <c r="G265">
        <v>1.095</v>
      </c>
      <c r="H265">
        <v>22</v>
      </c>
      <c r="I265">
        <v>0</v>
      </c>
      <c r="K265">
        <f t="shared" si="32"/>
        <v>5.8823529411764705E-2</v>
      </c>
      <c r="L265">
        <f t="shared" si="33"/>
        <v>0.48743718592964824</v>
      </c>
      <c r="M265">
        <f t="shared" si="34"/>
        <v>0.55737704918032782</v>
      </c>
      <c r="N265">
        <f t="shared" si="35"/>
        <v>0.21212121212121213</v>
      </c>
      <c r="O265">
        <f t="shared" si="36"/>
        <v>0</v>
      </c>
      <c r="P265">
        <f t="shared" si="37"/>
        <v>0.40536512667660213</v>
      </c>
      <c r="Q265">
        <f t="shared" si="38"/>
        <v>0.4342442356959863</v>
      </c>
      <c r="R265">
        <f t="shared" si="39"/>
        <v>1.6666666666666666E-2</v>
      </c>
    </row>
    <row r="266" spans="1:18" x14ac:dyDescent="0.3">
      <c r="A266">
        <v>4</v>
      </c>
      <c r="B266">
        <v>144</v>
      </c>
      <c r="C266">
        <v>82</v>
      </c>
      <c r="D266">
        <v>32</v>
      </c>
      <c r="E266">
        <v>0</v>
      </c>
      <c r="F266">
        <v>38.5</v>
      </c>
      <c r="G266">
        <v>0.55400000000000005</v>
      </c>
      <c r="H266">
        <v>37</v>
      </c>
      <c r="I266">
        <v>1</v>
      </c>
      <c r="K266">
        <f t="shared" si="32"/>
        <v>0.23529411764705882</v>
      </c>
      <c r="L266">
        <f t="shared" si="33"/>
        <v>0.72361809045226133</v>
      </c>
      <c r="M266">
        <f t="shared" si="34"/>
        <v>0.67213114754098358</v>
      </c>
      <c r="N266">
        <f t="shared" si="35"/>
        <v>0.32323232323232326</v>
      </c>
      <c r="O266">
        <f t="shared" si="36"/>
        <v>0</v>
      </c>
      <c r="P266">
        <f t="shared" si="37"/>
        <v>0.57377049180327877</v>
      </c>
      <c r="Q266">
        <f t="shared" si="38"/>
        <v>0.20324508966695132</v>
      </c>
      <c r="R266">
        <f t="shared" si="39"/>
        <v>0.26666666666666666</v>
      </c>
    </row>
    <row r="267" spans="1:18" x14ac:dyDescent="0.3">
      <c r="A267">
        <v>1</v>
      </c>
      <c r="B267">
        <v>83</v>
      </c>
      <c r="C267">
        <v>68</v>
      </c>
      <c r="D267">
        <v>0</v>
      </c>
      <c r="E267">
        <v>0</v>
      </c>
      <c r="F267">
        <v>18.2</v>
      </c>
      <c r="G267">
        <v>0.624</v>
      </c>
      <c r="H267">
        <v>27</v>
      </c>
      <c r="I267">
        <v>0</v>
      </c>
      <c r="K267">
        <f t="shared" si="32"/>
        <v>5.8823529411764705E-2</v>
      </c>
      <c r="L267">
        <f t="shared" si="33"/>
        <v>0.41708542713567837</v>
      </c>
      <c r="M267">
        <f t="shared" si="34"/>
        <v>0.55737704918032782</v>
      </c>
      <c r="N267">
        <f t="shared" si="35"/>
        <v>0</v>
      </c>
      <c r="O267">
        <f t="shared" si="36"/>
        <v>0</v>
      </c>
      <c r="P267">
        <f t="shared" si="37"/>
        <v>0.27123695976154993</v>
      </c>
      <c r="Q267">
        <f t="shared" si="38"/>
        <v>0.233134073441503</v>
      </c>
      <c r="R267">
        <f t="shared" si="39"/>
        <v>0.1</v>
      </c>
    </row>
    <row r="268" spans="1:18" x14ac:dyDescent="0.3">
      <c r="A268">
        <v>3</v>
      </c>
      <c r="B268">
        <v>129</v>
      </c>
      <c r="C268">
        <v>64</v>
      </c>
      <c r="D268">
        <v>29</v>
      </c>
      <c r="E268">
        <v>115</v>
      </c>
      <c r="F268">
        <v>26.4</v>
      </c>
      <c r="G268">
        <v>0.219</v>
      </c>
      <c r="H268">
        <v>28</v>
      </c>
      <c r="I268">
        <v>1</v>
      </c>
      <c r="K268">
        <f t="shared" si="32"/>
        <v>0.17647058823529413</v>
      </c>
      <c r="L268">
        <f t="shared" si="33"/>
        <v>0.64824120603015079</v>
      </c>
      <c r="M268">
        <f t="shared" si="34"/>
        <v>0.52459016393442626</v>
      </c>
      <c r="N268">
        <f t="shared" si="35"/>
        <v>0.29292929292929293</v>
      </c>
      <c r="O268">
        <f t="shared" si="36"/>
        <v>0.13593380614657211</v>
      </c>
      <c r="P268">
        <f t="shared" si="37"/>
        <v>0.39344262295081966</v>
      </c>
      <c r="Q268">
        <f t="shared" si="38"/>
        <v>6.0204953031596932E-2</v>
      </c>
      <c r="R268">
        <f t="shared" si="39"/>
        <v>0.11666666666666667</v>
      </c>
    </row>
    <row r="269" spans="1:18" x14ac:dyDescent="0.3">
      <c r="A269">
        <v>1</v>
      </c>
      <c r="B269">
        <v>119</v>
      </c>
      <c r="C269">
        <v>88</v>
      </c>
      <c r="D269">
        <v>41</v>
      </c>
      <c r="E269">
        <v>170</v>
      </c>
      <c r="F269">
        <v>45.3</v>
      </c>
      <c r="G269">
        <v>0.50700000000000001</v>
      </c>
      <c r="H269">
        <v>26</v>
      </c>
      <c r="I269">
        <v>0</v>
      </c>
      <c r="K269">
        <f t="shared" si="32"/>
        <v>5.8823529411764705E-2</v>
      </c>
      <c r="L269">
        <f t="shared" si="33"/>
        <v>0.59798994974874375</v>
      </c>
      <c r="M269">
        <f t="shared" si="34"/>
        <v>0.72131147540983609</v>
      </c>
      <c r="N269">
        <f t="shared" si="35"/>
        <v>0.41414141414141414</v>
      </c>
      <c r="O269">
        <f t="shared" si="36"/>
        <v>0.20094562647754138</v>
      </c>
      <c r="P269">
        <f t="shared" si="37"/>
        <v>0.67511177347242923</v>
      </c>
      <c r="Q269">
        <f t="shared" si="38"/>
        <v>0.18317677198975235</v>
      </c>
      <c r="R269">
        <f t="shared" si="39"/>
        <v>8.3333333333333329E-2</v>
      </c>
    </row>
    <row r="270" spans="1:18" x14ac:dyDescent="0.3">
      <c r="A270">
        <v>2</v>
      </c>
      <c r="B270">
        <v>94</v>
      </c>
      <c r="C270">
        <v>68</v>
      </c>
      <c r="D270">
        <v>18</v>
      </c>
      <c r="E270">
        <v>76</v>
      </c>
      <c r="F270">
        <v>26</v>
      </c>
      <c r="G270">
        <v>0.56100000000000005</v>
      </c>
      <c r="H270">
        <v>21</v>
      </c>
      <c r="I270">
        <v>0</v>
      </c>
      <c r="K270">
        <f t="shared" si="32"/>
        <v>0.11764705882352941</v>
      </c>
      <c r="L270">
        <f t="shared" si="33"/>
        <v>0.47236180904522612</v>
      </c>
      <c r="M270">
        <f t="shared" si="34"/>
        <v>0.55737704918032782</v>
      </c>
      <c r="N270">
        <f t="shared" si="35"/>
        <v>0.18181818181818182</v>
      </c>
      <c r="O270">
        <f t="shared" si="36"/>
        <v>8.9834515366430265E-2</v>
      </c>
      <c r="P270">
        <f t="shared" si="37"/>
        <v>0.38748137108792852</v>
      </c>
      <c r="Q270">
        <f t="shared" si="38"/>
        <v>0.20623398804440651</v>
      </c>
      <c r="R270">
        <f t="shared" si="39"/>
        <v>0</v>
      </c>
    </row>
    <row r="271" spans="1:18" x14ac:dyDescent="0.3">
      <c r="A271">
        <v>0</v>
      </c>
      <c r="B271">
        <v>102</v>
      </c>
      <c r="C271">
        <v>64</v>
      </c>
      <c r="D271">
        <v>46</v>
      </c>
      <c r="E271">
        <v>78</v>
      </c>
      <c r="F271">
        <v>40.6</v>
      </c>
      <c r="G271">
        <v>0.496</v>
      </c>
      <c r="H271">
        <v>21</v>
      </c>
      <c r="I271">
        <v>0</v>
      </c>
      <c r="K271">
        <f t="shared" si="32"/>
        <v>0</v>
      </c>
      <c r="L271">
        <f t="shared" si="33"/>
        <v>0.51256281407035176</v>
      </c>
      <c r="M271">
        <f t="shared" si="34"/>
        <v>0.52459016393442626</v>
      </c>
      <c r="N271">
        <f t="shared" si="35"/>
        <v>0.46464646464646464</v>
      </c>
      <c r="O271">
        <f t="shared" si="36"/>
        <v>9.2198581560283682E-2</v>
      </c>
      <c r="P271">
        <f t="shared" si="37"/>
        <v>0.60506706408345756</v>
      </c>
      <c r="Q271">
        <f t="shared" si="38"/>
        <v>0.17847993168232279</v>
      </c>
      <c r="R271">
        <f t="shared" si="39"/>
        <v>0</v>
      </c>
    </row>
    <row r="272" spans="1:18" x14ac:dyDescent="0.3">
      <c r="A272">
        <v>2</v>
      </c>
      <c r="B272">
        <v>115</v>
      </c>
      <c r="C272">
        <v>64</v>
      </c>
      <c r="D272">
        <v>22</v>
      </c>
      <c r="E272">
        <v>0</v>
      </c>
      <c r="F272">
        <v>30.8</v>
      </c>
      <c r="G272">
        <v>0.42099999999999999</v>
      </c>
      <c r="H272">
        <v>21</v>
      </c>
      <c r="I272">
        <v>0</v>
      </c>
      <c r="K272">
        <f t="shared" si="32"/>
        <v>0.11764705882352941</v>
      </c>
      <c r="L272">
        <f t="shared" si="33"/>
        <v>0.57788944723618085</v>
      </c>
      <c r="M272">
        <f t="shared" si="34"/>
        <v>0.52459016393442626</v>
      </c>
      <c r="N272">
        <f t="shared" si="35"/>
        <v>0.22222222222222221</v>
      </c>
      <c r="O272">
        <f t="shared" si="36"/>
        <v>0</v>
      </c>
      <c r="P272">
        <f t="shared" si="37"/>
        <v>0.45901639344262302</v>
      </c>
      <c r="Q272">
        <f t="shared" si="38"/>
        <v>0.14645602049530315</v>
      </c>
      <c r="R272">
        <f t="shared" si="39"/>
        <v>0</v>
      </c>
    </row>
    <row r="273" spans="1:18" x14ac:dyDescent="0.3">
      <c r="A273">
        <v>8</v>
      </c>
      <c r="B273">
        <v>151</v>
      </c>
      <c r="C273">
        <v>78</v>
      </c>
      <c r="D273">
        <v>32</v>
      </c>
      <c r="E273">
        <v>210</v>
      </c>
      <c r="F273">
        <v>42.9</v>
      </c>
      <c r="G273">
        <v>0.51600000000000001</v>
      </c>
      <c r="H273">
        <v>36</v>
      </c>
      <c r="I273">
        <v>1</v>
      </c>
      <c r="K273">
        <f t="shared" si="32"/>
        <v>0.47058823529411764</v>
      </c>
      <c r="L273">
        <f t="shared" si="33"/>
        <v>0.75879396984924619</v>
      </c>
      <c r="M273">
        <f t="shared" si="34"/>
        <v>0.63934426229508201</v>
      </c>
      <c r="N273">
        <f t="shared" si="35"/>
        <v>0.32323232323232326</v>
      </c>
      <c r="O273">
        <f t="shared" si="36"/>
        <v>0.24822695035460993</v>
      </c>
      <c r="P273">
        <f t="shared" si="37"/>
        <v>0.63934426229508201</v>
      </c>
      <c r="Q273">
        <f t="shared" si="38"/>
        <v>0.1870196413321947</v>
      </c>
      <c r="R273">
        <f t="shared" si="39"/>
        <v>0.25</v>
      </c>
    </row>
    <row r="274" spans="1:18" x14ac:dyDescent="0.3">
      <c r="A274">
        <v>4</v>
      </c>
      <c r="B274">
        <v>184</v>
      </c>
      <c r="C274">
        <v>78</v>
      </c>
      <c r="D274">
        <v>39</v>
      </c>
      <c r="E274">
        <v>277</v>
      </c>
      <c r="F274">
        <v>37</v>
      </c>
      <c r="G274">
        <v>0.26400000000000001</v>
      </c>
      <c r="H274">
        <v>31</v>
      </c>
      <c r="I274">
        <v>1</v>
      </c>
      <c r="K274">
        <f t="shared" si="32"/>
        <v>0.23529411764705882</v>
      </c>
      <c r="L274">
        <f t="shared" si="33"/>
        <v>0.92462311557788945</v>
      </c>
      <c r="M274">
        <f t="shared" si="34"/>
        <v>0.63934426229508201</v>
      </c>
      <c r="N274">
        <f t="shared" si="35"/>
        <v>0.39393939393939392</v>
      </c>
      <c r="O274">
        <f t="shared" si="36"/>
        <v>0.32742316784869974</v>
      </c>
      <c r="P274">
        <f t="shared" si="37"/>
        <v>0.55141579731743673</v>
      </c>
      <c r="Q274">
        <f t="shared" si="38"/>
        <v>7.9419299743808708E-2</v>
      </c>
      <c r="R274">
        <f t="shared" si="39"/>
        <v>0.16666666666666666</v>
      </c>
    </row>
    <row r="275" spans="1:18" x14ac:dyDescent="0.3">
      <c r="A275">
        <v>0</v>
      </c>
      <c r="B275">
        <v>94</v>
      </c>
      <c r="C275">
        <v>0</v>
      </c>
      <c r="D275">
        <v>0</v>
      </c>
      <c r="E275">
        <v>0</v>
      </c>
      <c r="F275">
        <v>0</v>
      </c>
      <c r="G275">
        <v>0.25600000000000001</v>
      </c>
      <c r="H275">
        <v>25</v>
      </c>
      <c r="I275">
        <v>0</v>
      </c>
      <c r="K275">
        <f t="shared" si="32"/>
        <v>0</v>
      </c>
      <c r="L275">
        <f t="shared" si="33"/>
        <v>0.47236180904522612</v>
      </c>
      <c r="M275">
        <f t="shared" si="34"/>
        <v>0</v>
      </c>
      <c r="N275">
        <f t="shared" si="35"/>
        <v>0</v>
      </c>
      <c r="O275">
        <f t="shared" si="36"/>
        <v>0</v>
      </c>
      <c r="P275">
        <f t="shared" si="37"/>
        <v>0</v>
      </c>
      <c r="Q275">
        <f t="shared" si="38"/>
        <v>7.6003415883859948E-2</v>
      </c>
      <c r="R275">
        <f t="shared" si="39"/>
        <v>6.6666666666666666E-2</v>
      </c>
    </row>
    <row r="276" spans="1:18" x14ac:dyDescent="0.3">
      <c r="A276">
        <v>1</v>
      </c>
      <c r="B276">
        <v>181</v>
      </c>
      <c r="C276">
        <v>64</v>
      </c>
      <c r="D276">
        <v>30</v>
      </c>
      <c r="E276">
        <v>180</v>
      </c>
      <c r="F276">
        <v>34.1</v>
      </c>
      <c r="G276">
        <v>0.32800000000000001</v>
      </c>
      <c r="H276">
        <v>38</v>
      </c>
      <c r="I276">
        <v>1</v>
      </c>
      <c r="K276">
        <f t="shared" si="32"/>
        <v>5.8823529411764705E-2</v>
      </c>
      <c r="L276">
        <f t="shared" si="33"/>
        <v>0.90954773869346739</v>
      </c>
      <c r="M276">
        <f t="shared" si="34"/>
        <v>0.52459016393442626</v>
      </c>
      <c r="N276">
        <f t="shared" si="35"/>
        <v>0.30303030303030304</v>
      </c>
      <c r="O276">
        <f t="shared" si="36"/>
        <v>0.21276595744680851</v>
      </c>
      <c r="P276">
        <f t="shared" si="37"/>
        <v>0.50819672131147542</v>
      </c>
      <c r="Q276">
        <f t="shared" si="38"/>
        <v>0.1067463706233988</v>
      </c>
      <c r="R276">
        <f t="shared" si="39"/>
        <v>0.28333333333333333</v>
      </c>
    </row>
    <row r="277" spans="1:18" x14ac:dyDescent="0.3">
      <c r="A277">
        <v>0</v>
      </c>
      <c r="B277">
        <v>135</v>
      </c>
      <c r="C277">
        <v>94</v>
      </c>
      <c r="D277">
        <v>46</v>
      </c>
      <c r="E277">
        <v>145</v>
      </c>
      <c r="F277">
        <v>40.6</v>
      </c>
      <c r="G277">
        <v>0.28399999999999997</v>
      </c>
      <c r="H277">
        <v>26</v>
      </c>
      <c r="I277">
        <v>0</v>
      </c>
      <c r="K277">
        <f t="shared" si="32"/>
        <v>0</v>
      </c>
      <c r="L277">
        <f t="shared" si="33"/>
        <v>0.67839195979899503</v>
      </c>
      <c r="M277">
        <f t="shared" si="34"/>
        <v>0.77049180327868849</v>
      </c>
      <c r="N277">
        <f t="shared" si="35"/>
        <v>0.46464646464646464</v>
      </c>
      <c r="O277">
        <f t="shared" si="36"/>
        <v>0.17139479905437352</v>
      </c>
      <c r="P277">
        <f t="shared" si="37"/>
        <v>0.60506706408345756</v>
      </c>
      <c r="Q277">
        <f t="shared" si="38"/>
        <v>8.7959009393680593E-2</v>
      </c>
      <c r="R277">
        <f t="shared" si="39"/>
        <v>8.3333333333333329E-2</v>
      </c>
    </row>
    <row r="278" spans="1:18" x14ac:dyDescent="0.3">
      <c r="A278">
        <v>1</v>
      </c>
      <c r="B278">
        <v>95</v>
      </c>
      <c r="C278">
        <v>82</v>
      </c>
      <c r="D278">
        <v>25</v>
      </c>
      <c r="E278">
        <v>180</v>
      </c>
      <c r="F278">
        <v>35</v>
      </c>
      <c r="G278">
        <v>0.23300000000000001</v>
      </c>
      <c r="H278">
        <v>43</v>
      </c>
      <c r="I278">
        <v>1</v>
      </c>
      <c r="K278">
        <f t="shared" si="32"/>
        <v>5.8823529411764705E-2</v>
      </c>
      <c r="L278">
        <f t="shared" si="33"/>
        <v>0.47738693467336685</v>
      </c>
      <c r="M278">
        <f t="shared" si="34"/>
        <v>0.67213114754098358</v>
      </c>
      <c r="N278">
        <f t="shared" si="35"/>
        <v>0.25252525252525254</v>
      </c>
      <c r="O278">
        <f t="shared" si="36"/>
        <v>0.21276595744680851</v>
      </c>
      <c r="P278">
        <f t="shared" si="37"/>
        <v>0.52160953800298071</v>
      </c>
      <c r="Q278">
        <f t="shared" si="38"/>
        <v>6.6182749786507261E-2</v>
      </c>
      <c r="R278">
        <f t="shared" si="39"/>
        <v>0.36666666666666664</v>
      </c>
    </row>
    <row r="279" spans="1:18" x14ac:dyDescent="0.3">
      <c r="A279">
        <v>2</v>
      </c>
      <c r="B279">
        <v>99</v>
      </c>
      <c r="C279">
        <v>0</v>
      </c>
      <c r="D279">
        <v>0</v>
      </c>
      <c r="E279">
        <v>0</v>
      </c>
      <c r="F279">
        <v>22.2</v>
      </c>
      <c r="G279">
        <v>0.108</v>
      </c>
      <c r="H279">
        <v>23</v>
      </c>
      <c r="I279">
        <v>0</v>
      </c>
      <c r="K279">
        <f t="shared" si="32"/>
        <v>0.11764705882352941</v>
      </c>
      <c r="L279">
        <f t="shared" si="33"/>
        <v>0.49748743718592964</v>
      </c>
      <c r="M279">
        <f t="shared" si="34"/>
        <v>0</v>
      </c>
      <c r="N279">
        <f t="shared" si="35"/>
        <v>0</v>
      </c>
      <c r="O279">
        <f t="shared" si="36"/>
        <v>0</v>
      </c>
      <c r="P279">
        <f t="shared" si="37"/>
        <v>0.33084947839046203</v>
      </c>
      <c r="Q279">
        <f t="shared" si="38"/>
        <v>1.2809564474807855E-2</v>
      </c>
      <c r="R279">
        <f t="shared" si="39"/>
        <v>3.3333333333333333E-2</v>
      </c>
    </row>
    <row r="280" spans="1:18" x14ac:dyDescent="0.3">
      <c r="A280">
        <v>3</v>
      </c>
      <c r="B280">
        <v>89</v>
      </c>
      <c r="C280">
        <v>74</v>
      </c>
      <c r="D280">
        <v>16</v>
      </c>
      <c r="E280">
        <v>85</v>
      </c>
      <c r="F280">
        <v>30.4</v>
      </c>
      <c r="G280">
        <v>0.55100000000000005</v>
      </c>
      <c r="H280">
        <v>38</v>
      </c>
      <c r="I280">
        <v>0</v>
      </c>
      <c r="K280">
        <f t="shared" si="32"/>
        <v>0.17647058823529413</v>
      </c>
      <c r="L280">
        <f t="shared" si="33"/>
        <v>0.44723618090452261</v>
      </c>
      <c r="M280">
        <f t="shared" si="34"/>
        <v>0.60655737704918034</v>
      </c>
      <c r="N280">
        <f t="shared" si="35"/>
        <v>0.16161616161616163</v>
      </c>
      <c r="O280">
        <f t="shared" si="36"/>
        <v>0.10047281323877069</v>
      </c>
      <c r="P280">
        <f t="shared" si="37"/>
        <v>0.45305514157973176</v>
      </c>
      <c r="Q280">
        <f t="shared" si="38"/>
        <v>0.20196413321947054</v>
      </c>
      <c r="R280">
        <f t="shared" si="39"/>
        <v>0.28333333333333333</v>
      </c>
    </row>
    <row r="281" spans="1:18" x14ac:dyDescent="0.3">
      <c r="A281">
        <v>1</v>
      </c>
      <c r="B281">
        <v>80</v>
      </c>
      <c r="C281">
        <v>74</v>
      </c>
      <c r="D281">
        <v>11</v>
      </c>
      <c r="E281">
        <v>60</v>
      </c>
      <c r="F281">
        <v>30</v>
      </c>
      <c r="G281">
        <v>0.52700000000000002</v>
      </c>
      <c r="H281">
        <v>22</v>
      </c>
      <c r="I281">
        <v>0</v>
      </c>
      <c r="K281">
        <f t="shared" si="32"/>
        <v>5.8823529411764705E-2</v>
      </c>
      <c r="L281">
        <f t="shared" si="33"/>
        <v>0.4020100502512563</v>
      </c>
      <c r="M281">
        <f t="shared" si="34"/>
        <v>0.60655737704918034</v>
      </c>
      <c r="N281">
        <f t="shared" si="35"/>
        <v>0.1111111111111111</v>
      </c>
      <c r="O281">
        <f t="shared" si="36"/>
        <v>7.0921985815602842E-2</v>
      </c>
      <c r="P281">
        <f t="shared" si="37"/>
        <v>0.44709388971684055</v>
      </c>
      <c r="Q281">
        <f t="shared" si="38"/>
        <v>0.19171648163962424</v>
      </c>
      <c r="R281">
        <f t="shared" si="39"/>
        <v>1.6666666666666666E-2</v>
      </c>
    </row>
    <row r="282" spans="1:18" x14ac:dyDescent="0.3">
      <c r="A282">
        <v>2</v>
      </c>
      <c r="B282">
        <v>139</v>
      </c>
      <c r="C282">
        <v>75</v>
      </c>
      <c r="D282">
        <v>0</v>
      </c>
      <c r="E282">
        <v>0</v>
      </c>
      <c r="F282">
        <v>25.6</v>
      </c>
      <c r="G282">
        <v>0.16700000000000001</v>
      </c>
      <c r="H282">
        <v>29</v>
      </c>
      <c r="I282">
        <v>0</v>
      </c>
      <c r="K282">
        <f t="shared" si="32"/>
        <v>0.11764705882352941</v>
      </c>
      <c r="L282">
        <f t="shared" si="33"/>
        <v>0.69849246231155782</v>
      </c>
      <c r="M282">
        <f t="shared" si="34"/>
        <v>0.61475409836065575</v>
      </c>
      <c r="N282">
        <f t="shared" si="35"/>
        <v>0</v>
      </c>
      <c r="O282">
        <f t="shared" si="36"/>
        <v>0</v>
      </c>
      <c r="P282">
        <f t="shared" si="37"/>
        <v>0.38152011922503731</v>
      </c>
      <c r="Q282">
        <f t="shared" si="38"/>
        <v>3.8001707941929974E-2</v>
      </c>
      <c r="R282">
        <f t="shared" si="39"/>
        <v>0.13333333333333333</v>
      </c>
    </row>
    <row r="283" spans="1:18" x14ac:dyDescent="0.3">
      <c r="A283">
        <v>1</v>
      </c>
      <c r="B283">
        <v>90</v>
      </c>
      <c r="C283">
        <v>68</v>
      </c>
      <c r="D283">
        <v>8</v>
      </c>
      <c r="E283">
        <v>0</v>
      </c>
      <c r="F283">
        <v>24.5</v>
      </c>
      <c r="G283">
        <v>1.1379999999999999</v>
      </c>
      <c r="H283">
        <v>36</v>
      </c>
      <c r="I283">
        <v>0</v>
      </c>
      <c r="K283">
        <f t="shared" si="32"/>
        <v>5.8823529411764705E-2</v>
      </c>
      <c r="L283">
        <f t="shared" si="33"/>
        <v>0.45226130653266333</v>
      </c>
      <c r="M283">
        <f t="shared" si="34"/>
        <v>0.55737704918032782</v>
      </c>
      <c r="N283">
        <f t="shared" si="35"/>
        <v>8.0808080808080815E-2</v>
      </c>
      <c r="O283">
        <f t="shared" si="36"/>
        <v>0</v>
      </c>
      <c r="P283">
        <f t="shared" si="37"/>
        <v>0.36512667660208648</v>
      </c>
      <c r="Q283">
        <f t="shared" si="38"/>
        <v>0.45260461144321085</v>
      </c>
      <c r="R283">
        <f t="shared" si="39"/>
        <v>0.25</v>
      </c>
    </row>
    <row r="284" spans="1:18" x14ac:dyDescent="0.3">
      <c r="A284">
        <v>0</v>
      </c>
      <c r="B284">
        <v>141</v>
      </c>
      <c r="C284">
        <v>0</v>
      </c>
      <c r="D284">
        <v>0</v>
      </c>
      <c r="E284">
        <v>0</v>
      </c>
      <c r="F284">
        <v>42.4</v>
      </c>
      <c r="G284">
        <v>0.20499999999999999</v>
      </c>
      <c r="H284">
        <v>29</v>
      </c>
      <c r="I284">
        <v>1</v>
      </c>
      <c r="K284">
        <f t="shared" si="32"/>
        <v>0</v>
      </c>
      <c r="L284">
        <f t="shared" si="33"/>
        <v>0.70854271356783916</v>
      </c>
      <c r="M284">
        <f t="shared" si="34"/>
        <v>0</v>
      </c>
      <c r="N284">
        <f t="shared" si="35"/>
        <v>0</v>
      </c>
      <c r="O284">
        <f t="shared" si="36"/>
        <v>0</v>
      </c>
      <c r="P284">
        <f t="shared" si="37"/>
        <v>0.63189269746646803</v>
      </c>
      <c r="Q284">
        <f t="shared" si="38"/>
        <v>5.4227156276686589E-2</v>
      </c>
      <c r="R284">
        <f t="shared" si="39"/>
        <v>0.13333333333333333</v>
      </c>
    </row>
    <row r="285" spans="1:18" x14ac:dyDescent="0.3">
      <c r="A285">
        <v>12</v>
      </c>
      <c r="B285">
        <v>140</v>
      </c>
      <c r="C285">
        <v>85</v>
      </c>
      <c r="D285">
        <v>33</v>
      </c>
      <c r="E285">
        <v>0</v>
      </c>
      <c r="F285">
        <v>37.4</v>
      </c>
      <c r="G285">
        <v>0.24399999999999999</v>
      </c>
      <c r="H285">
        <v>41</v>
      </c>
      <c r="I285">
        <v>0</v>
      </c>
      <c r="K285">
        <f t="shared" si="32"/>
        <v>0.70588235294117652</v>
      </c>
      <c r="L285">
        <f t="shared" si="33"/>
        <v>0.70351758793969854</v>
      </c>
      <c r="M285">
        <f t="shared" si="34"/>
        <v>0.69672131147540983</v>
      </c>
      <c r="N285">
        <f t="shared" si="35"/>
        <v>0.33333333333333331</v>
      </c>
      <c r="O285">
        <f t="shared" si="36"/>
        <v>0</v>
      </c>
      <c r="P285">
        <f t="shared" si="37"/>
        <v>0.55737704918032793</v>
      </c>
      <c r="Q285">
        <f t="shared" si="38"/>
        <v>7.0879590093936795E-2</v>
      </c>
      <c r="R285">
        <f t="shared" si="39"/>
        <v>0.33333333333333331</v>
      </c>
    </row>
    <row r="286" spans="1:18" x14ac:dyDescent="0.3">
      <c r="A286">
        <v>5</v>
      </c>
      <c r="B286">
        <v>147</v>
      </c>
      <c r="C286">
        <v>75</v>
      </c>
      <c r="D286">
        <v>0</v>
      </c>
      <c r="E286">
        <v>0</v>
      </c>
      <c r="F286">
        <v>29.9</v>
      </c>
      <c r="G286">
        <v>0.434</v>
      </c>
      <c r="H286">
        <v>28</v>
      </c>
      <c r="I286">
        <v>0</v>
      </c>
      <c r="K286">
        <f t="shared" si="32"/>
        <v>0.29411764705882354</v>
      </c>
      <c r="L286">
        <f t="shared" si="33"/>
        <v>0.7386934673366834</v>
      </c>
      <c r="M286">
        <f t="shared" si="34"/>
        <v>0.61475409836065575</v>
      </c>
      <c r="N286">
        <f t="shared" si="35"/>
        <v>0</v>
      </c>
      <c r="O286">
        <f t="shared" si="36"/>
        <v>0</v>
      </c>
      <c r="P286">
        <f t="shared" si="37"/>
        <v>0.44560357675111772</v>
      </c>
      <c r="Q286">
        <f t="shared" si="38"/>
        <v>0.1520068317677199</v>
      </c>
      <c r="R286">
        <f t="shared" si="39"/>
        <v>0.11666666666666667</v>
      </c>
    </row>
    <row r="287" spans="1:18" x14ac:dyDescent="0.3">
      <c r="A287">
        <v>1</v>
      </c>
      <c r="B287">
        <v>97</v>
      </c>
      <c r="C287">
        <v>70</v>
      </c>
      <c r="D287">
        <v>15</v>
      </c>
      <c r="E287">
        <v>0</v>
      </c>
      <c r="F287">
        <v>18.2</v>
      </c>
      <c r="G287">
        <v>0.14699999999999999</v>
      </c>
      <c r="H287">
        <v>21</v>
      </c>
      <c r="I287">
        <v>0</v>
      </c>
      <c r="K287">
        <f t="shared" si="32"/>
        <v>5.8823529411764705E-2</v>
      </c>
      <c r="L287">
        <f t="shared" si="33"/>
        <v>0.48743718592964824</v>
      </c>
      <c r="M287">
        <f t="shared" si="34"/>
        <v>0.57377049180327866</v>
      </c>
      <c r="N287">
        <f t="shared" si="35"/>
        <v>0.15151515151515152</v>
      </c>
      <c r="O287">
        <f t="shared" si="36"/>
        <v>0</v>
      </c>
      <c r="P287">
        <f t="shared" si="37"/>
        <v>0.27123695976154993</v>
      </c>
      <c r="Q287">
        <f t="shared" si="38"/>
        <v>2.9461998292058065E-2</v>
      </c>
      <c r="R287">
        <f t="shared" si="39"/>
        <v>0</v>
      </c>
    </row>
    <row r="288" spans="1:18" x14ac:dyDescent="0.3">
      <c r="A288">
        <v>6</v>
      </c>
      <c r="B288">
        <v>107</v>
      </c>
      <c r="C288">
        <v>88</v>
      </c>
      <c r="D288">
        <v>0</v>
      </c>
      <c r="E288">
        <v>0</v>
      </c>
      <c r="F288">
        <v>36.799999999999997</v>
      </c>
      <c r="G288">
        <v>0.72699999999999998</v>
      </c>
      <c r="H288">
        <v>31</v>
      </c>
      <c r="I288">
        <v>0</v>
      </c>
      <c r="K288">
        <f t="shared" si="32"/>
        <v>0.35294117647058826</v>
      </c>
      <c r="L288">
        <f t="shared" si="33"/>
        <v>0.53768844221105527</v>
      </c>
      <c r="M288">
        <f t="shared" si="34"/>
        <v>0.72131147540983609</v>
      </c>
      <c r="N288">
        <f t="shared" si="35"/>
        <v>0</v>
      </c>
      <c r="O288">
        <f t="shared" si="36"/>
        <v>0</v>
      </c>
      <c r="P288">
        <f t="shared" si="37"/>
        <v>0.54843517138599107</v>
      </c>
      <c r="Q288">
        <f t="shared" si="38"/>
        <v>0.27711357813834331</v>
      </c>
      <c r="R288">
        <f t="shared" si="39"/>
        <v>0.16666666666666666</v>
      </c>
    </row>
    <row r="289" spans="1:18" x14ac:dyDescent="0.3">
      <c r="A289">
        <v>0</v>
      </c>
      <c r="B289">
        <v>189</v>
      </c>
      <c r="C289">
        <v>104</v>
      </c>
      <c r="D289">
        <v>25</v>
      </c>
      <c r="E289">
        <v>0</v>
      </c>
      <c r="F289">
        <v>34.299999999999997</v>
      </c>
      <c r="G289">
        <v>0.435</v>
      </c>
      <c r="H289">
        <v>41</v>
      </c>
      <c r="I289">
        <v>1</v>
      </c>
      <c r="K289">
        <f t="shared" si="32"/>
        <v>0</v>
      </c>
      <c r="L289">
        <f t="shared" si="33"/>
        <v>0.94974874371859297</v>
      </c>
      <c r="M289">
        <f t="shared" si="34"/>
        <v>0.85245901639344257</v>
      </c>
      <c r="N289">
        <f t="shared" si="35"/>
        <v>0.25252525252525254</v>
      </c>
      <c r="O289">
        <f t="shared" si="36"/>
        <v>0</v>
      </c>
      <c r="P289">
        <f t="shared" si="37"/>
        <v>0.51117734724292097</v>
      </c>
      <c r="Q289">
        <f t="shared" si="38"/>
        <v>0.15243381725021349</v>
      </c>
      <c r="R289">
        <f t="shared" si="39"/>
        <v>0.33333333333333331</v>
      </c>
    </row>
    <row r="290" spans="1:18" x14ac:dyDescent="0.3">
      <c r="A290">
        <v>2</v>
      </c>
      <c r="B290">
        <v>83</v>
      </c>
      <c r="C290">
        <v>66</v>
      </c>
      <c r="D290">
        <v>23</v>
      </c>
      <c r="E290">
        <v>50</v>
      </c>
      <c r="F290">
        <v>32.200000000000003</v>
      </c>
      <c r="G290">
        <v>0.497</v>
      </c>
      <c r="H290">
        <v>22</v>
      </c>
      <c r="I290">
        <v>0</v>
      </c>
      <c r="K290">
        <f t="shared" si="32"/>
        <v>0.11764705882352941</v>
      </c>
      <c r="L290">
        <f t="shared" si="33"/>
        <v>0.41708542713567837</v>
      </c>
      <c r="M290">
        <f t="shared" si="34"/>
        <v>0.54098360655737709</v>
      </c>
      <c r="N290">
        <f t="shared" si="35"/>
        <v>0.23232323232323232</v>
      </c>
      <c r="O290">
        <f t="shared" si="36"/>
        <v>5.9101654846335699E-2</v>
      </c>
      <c r="P290">
        <f t="shared" si="37"/>
        <v>0.47988077496274228</v>
      </c>
      <c r="Q290">
        <f t="shared" si="38"/>
        <v>0.17890691716481638</v>
      </c>
      <c r="R290">
        <f t="shared" si="39"/>
        <v>1.6666666666666666E-2</v>
      </c>
    </row>
    <row r="291" spans="1:18" x14ac:dyDescent="0.3">
      <c r="A291">
        <v>4</v>
      </c>
      <c r="B291">
        <v>117</v>
      </c>
      <c r="C291">
        <v>64</v>
      </c>
      <c r="D291">
        <v>27</v>
      </c>
      <c r="E291">
        <v>120</v>
      </c>
      <c r="F291">
        <v>33.200000000000003</v>
      </c>
      <c r="G291">
        <v>0.23</v>
      </c>
      <c r="H291">
        <v>24</v>
      </c>
      <c r="I291">
        <v>0</v>
      </c>
      <c r="K291">
        <f t="shared" si="32"/>
        <v>0.23529411764705882</v>
      </c>
      <c r="L291">
        <f t="shared" si="33"/>
        <v>0.5879396984924623</v>
      </c>
      <c r="M291">
        <f t="shared" si="34"/>
        <v>0.52459016393442626</v>
      </c>
      <c r="N291">
        <f t="shared" si="35"/>
        <v>0.27272727272727271</v>
      </c>
      <c r="O291">
        <f t="shared" si="36"/>
        <v>0.14184397163120568</v>
      </c>
      <c r="P291">
        <f t="shared" si="37"/>
        <v>0.49478390461997029</v>
      </c>
      <c r="Q291">
        <f t="shared" si="38"/>
        <v>6.4901793339026487E-2</v>
      </c>
      <c r="R291">
        <f t="shared" si="39"/>
        <v>0.05</v>
      </c>
    </row>
    <row r="292" spans="1:18" x14ac:dyDescent="0.3">
      <c r="A292">
        <v>8</v>
      </c>
      <c r="B292">
        <v>108</v>
      </c>
      <c r="C292">
        <v>70</v>
      </c>
      <c r="D292">
        <v>0</v>
      </c>
      <c r="E292">
        <v>0</v>
      </c>
      <c r="F292">
        <v>30.5</v>
      </c>
      <c r="G292">
        <v>0.95499999999999996</v>
      </c>
      <c r="H292">
        <v>33</v>
      </c>
      <c r="I292">
        <v>1</v>
      </c>
      <c r="K292">
        <f t="shared" si="32"/>
        <v>0.47058823529411764</v>
      </c>
      <c r="L292">
        <f t="shared" si="33"/>
        <v>0.542713567839196</v>
      </c>
      <c r="M292">
        <f t="shared" si="34"/>
        <v>0.57377049180327866</v>
      </c>
      <c r="N292">
        <f t="shared" si="35"/>
        <v>0</v>
      </c>
      <c r="O292">
        <f t="shared" si="36"/>
        <v>0</v>
      </c>
      <c r="P292">
        <f t="shared" si="37"/>
        <v>0.45454545454545459</v>
      </c>
      <c r="Q292">
        <f t="shared" si="38"/>
        <v>0.374466268146883</v>
      </c>
      <c r="R292">
        <f t="shared" si="39"/>
        <v>0.2</v>
      </c>
    </row>
    <row r="293" spans="1:18" x14ac:dyDescent="0.3">
      <c r="A293">
        <v>4</v>
      </c>
      <c r="B293">
        <v>117</v>
      </c>
      <c r="C293">
        <v>62</v>
      </c>
      <c r="D293">
        <v>12</v>
      </c>
      <c r="E293">
        <v>0</v>
      </c>
      <c r="F293">
        <v>29.7</v>
      </c>
      <c r="G293">
        <v>0.38</v>
      </c>
      <c r="H293">
        <v>30</v>
      </c>
      <c r="I293">
        <v>1</v>
      </c>
      <c r="K293">
        <f t="shared" si="32"/>
        <v>0.23529411764705882</v>
      </c>
      <c r="L293">
        <f t="shared" si="33"/>
        <v>0.5879396984924623</v>
      </c>
      <c r="M293">
        <f t="shared" si="34"/>
        <v>0.50819672131147542</v>
      </c>
      <c r="N293">
        <f t="shared" si="35"/>
        <v>0.12121212121212122</v>
      </c>
      <c r="O293">
        <f t="shared" si="36"/>
        <v>0</v>
      </c>
      <c r="P293">
        <f t="shared" si="37"/>
        <v>0.44262295081967218</v>
      </c>
      <c r="Q293">
        <f t="shared" si="38"/>
        <v>0.12894961571306574</v>
      </c>
      <c r="R293">
        <f t="shared" si="39"/>
        <v>0.15</v>
      </c>
    </row>
    <row r="294" spans="1:18" x14ac:dyDescent="0.3">
      <c r="A294">
        <v>0</v>
      </c>
      <c r="B294">
        <v>180</v>
      </c>
      <c r="C294">
        <v>78</v>
      </c>
      <c r="D294">
        <v>63</v>
      </c>
      <c r="E294">
        <v>14</v>
      </c>
      <c r="F294">
        <v>59.4</v>
      </c>
      <c r="G294">
        <v>2.42</v>
      </c>
      <c r="H294">
        <v>25</v>
      </c>
      <c r="I294">
        <v>1</v>
      </c>
      <c r="K294">
        <f t="shared" si="32"/>
        <v>0</v>
      </c>
      <c r="L294">
        <f t="shared" si="33"/>
        <v>0.90452261306532666</v>
      </c>
      <c r="M294">
        <f t="shared" si="34"/>
        <v>0.63934426229508201</v>
      </c>
      <c r="N294">
        <f t="shared" si="35"/>
        <v>0.63636363636363635</v>
      </c>
      <c r="O294">
        <f t="shared" si="36"/>
        <v>1.6548463356973995E-2</v>
      </c>
      <c r="P294">
        <f t="shared" si="37"/>
        <v>0.88524590163934436</v>
      </c>
      <c r="Q294">
        <f t="shared" si="38"/>
        <v>1</v>
      </c>
      <c r="R294">
        <f t="shared" si="39"/>
        <v>6.6666666666666666E-2</v>
      </c>
    </row>
    <row r="295" spans="1:18" x14ac:dyDescent="0.3">
      <c r="A295">
        <v>1</v>
      </c>
      <c r="B295">
        <v>100</v>
      </c>
      <c r="C295">
        <v>72</v>
      </c>
      <c r="D295">
        <v>12</v>
      </c>
      <c r="E295">
        <v>70</v>
      </c>
      <c r="F295">
        <v>25.3</v>
      </c>
      <c r="G295">
        <v>0.65800000000000003</v>
      </c>
      <c r="H295">
        <v>28</v>
      </c>
      <c r="I295">
        <v>0</v>
      </c>
      <c r="K295">
        <f t="shared" si="32"/>
        <v>5.8823529411764705E-2</v>
      </c>
      <c r="L295">
        <f t="shared" si="33"/>
        <v>0.50251256281407031</v>
      </c>
      <c r="M295">
        <f t="shared" si="34"/>
        <v>0.5901639344262295</v>
      </c>
      <c r="N295">
        <f t="shared" si="35"/>
        <v>0.12121212121212122</v>
      </c>
      <c r="O295">
        <f t="shared" si="36"/>
        <v>8.2742316784869971E-2</v>
      </c>
      <c r="P295">
        <f t="shared" si="37"/>
        <v>0.37704918032786888</v>
      </c>
      <c r="Q295">
        <f t="shared" si="38"/>
        <v>0.24765157984628525</v>
      </c>
      <c r="R295">
        <f t="shared" si="39"/>
        <v>0.11666666666666667</v>
      </c>
    </row>
    <row r="296" spans="1:18" x14ac:dyDescent="0.3">
      <c r="A296">
        <v>0</v>
      </c>
      <c r="B296">
        <v>95</v>
      </c>
      <c r="C296">
        <v>80</v>
      </c>
      <c r="D296">
        <v>45</v>
      </c>
      <c r="E296">
        <v>92</v>
      </c>
      <c r="F296">
        <v>36.5</v>
      </c>
      <c r="G296">
        <v>0.33</v>
      </c>
      <c r="H296">
        <v>26</v>
      </c>
      <c r="I296">
        <v>0</v>
      </c>
      <c r="K296">
        <f t="shared" si="32"/>
        <v>0</v>
      </c>
      <c r="L296">
        <f t="shared" si="33"/>
        <v>0.47738693467336685</v>
      </c>
      <c r="M296">
        <f t="shared" si="34"/>
        <v>0.65573770491803274</v>
      </c>
      <c r="N296">
        <f t="shared" si="35"/>
        <v>0.45454545454545453</v>
      </c>
      <c r="O296">
        <f t="shared" si="36"/>
        <v>0.10874704491725769</v>
      </c>
      <c r="P296">
        <f t="shared" si="37"/>
        <v>0.54396423248882275</v>
      </c>
      <c r="Q296">
        <f t="shared" si="38"/>
        <v>0.10760034158838599</v>
      </c>
      <c r="R296">
        <f t="shared" si="39"/>
        <v>8.3333333333333329E-2</v>
      </c>
    </row>
    <row r="297" spans="1:18" x14ac:dyDescent="0.3">
      <c r="A297">
        <v>0</v>
      </c>
      <c r="B297">
        <v>104</v>
      </c>
      <c r="C297">
        <v>64</v>
      </c>
      <c r="D297">
        <v>37</v>
      </c>
      <c r="E297">
        <v>64</v>
      </c>
      <c r="F297">
        <v>33.6</v>
      </c>
      <c r="G297">
        <v>0.51</v>
      </c>
      <c r="H297">
        <v>22</v>
      </c>
      <c r="I297">
        <v>1</v>
      </c>
      <c r="K297">
        <f t="shared" si="32"/>
        <v>0</v>
      </c>
      <c r="L297">
        <f t="shared" si="33"/>
        <v>0.52261306532663321</v>
      </c>
      <c r="M297">
        <f t="shared" si="34"/>
        <v>0.52459016393442626</v>
      </c>
      <c r="N297">
        <f t="shared" si="35"/>
        <v>0.37373737373737376</v>
      </c>
      <c r="O297">
        <f t="shared" si="36"/>
        <v>7.5650118203309691E-2</v>
      </c>
      <c r="P297">
        <f t="shared" si="37"/>
        <v>0.50074515648286144</v>
      </c>
      <c r="Q297">
        <f t="shared" si="38"/>
        <v>0.18445772843723313</v>
      </c>
      <c r="R297">
        <f t="shared" si="39"/>
        <v>1.6666666666666666E-2</v>
      </c>
    </row>
    <row r="298" spans="1:18" x14ac:dyDescent="0.3">
      <c r="A298">
        <v>0</v>
      </c>
      <c r="B298">
        <v>120</v>
      </c>
      <c r="C298">
        <v>74</v>
      </c>
      <c r="D298">
        <v>18</v>
      </c>
      <c r="E298">
        <v>63</v>
      </c>
      <c r="F298">
        <v>30.5</v>
      </c>
      <c r="G298">
        <v>0.28499999999999998</v>
      </c>
      <c r="H298">
        <v>26</v>
      </c>
      <c r="I298">
        <v>0</v>
      </c>
      <c r="K298">
        <f t="shared" si="32"/>
        <v>0</v>
      </c>
      <c r="L298">
        <f t="shared" si="33"/>
        <v>0.60301507537688437</v>
      </c>
      <c r="M298">
        <f t="shared" si="34"/>
        <v>0.60655737704918034</v>
      </c>
      <c r="N298">
        <f t="shared" si="35"/>
        <v>0.18181818181818182</v>
      </c>
      <c r="O298">
        <f t="shared" si="36"/>
        <v>7.4468085106382975E-2</v>
      </c>
      <c r="P298">
        <f t="shared" si="37"/>
        <v>0.45454545454545459</v>
      </c>
      <c r="Q298">
        <f t="shared" si="38"/>
        <v>8.8385994876174184E-2</v>
      </c>
      <c r="R298">
        <f t="shared" si="39"/>
        <v>8.3333333333333329E-2</v>
      </c>
    </row>
    <row r="299" spans="1:18" x14ac:dyDescent="0.3">
      <c r="A299">
        <v>1</v>
      </c>
      <c r="B299">
        <v>82</v>
      </c>
      <c r="C299">
        <v>64</v>
      </c>
      <c r="D299">
        <v>13</v>
      </c>
      <c r="E299">
        <v>95</v>
      </c>
      <c r="F299">
        <v>21.2</v>
      </c>
      <c r="G299">
        <v>0.41499999999999998</v>
      </c>
      <c r="H299">
        <v>23</v>
      </c>
      <c r="I299">
        <v>0</v>
      </c>
      <c r="K299">
        <f t="shared" si="32"/>
        <v>5.8823529411764705E-2</v>
      </c>
      <c r="L299">
        <f t="shared" si="33"/>
        <v>0.4120603015075377</v>
      </c>
      <c r="M299">
        <f t="shared" si="34"/>
        <v>0.52459016393442626</v>
      </c>
      <c r="N299">
        <f t="shared" si="35"/>
        <v>0.13131313131313133</v>
      </c>
      <c r="O299">
        <f t="shared" si="36"/>
        <v>0.11229314420803782</v>
      </c>
      <c r="P299">
        <f t="shared" si="37"/>
        <v>0.31594634873323402</v>
      </c>
      <c r="Q299">
        <f t="shared" si="38"/>
        <v>0.14389410760034158</v>
      </c>
      <c r="R299">
        <f t="shared" si="39"/>
        <v>3.3333333333333333E-2</v>
      </c>
    </row>
    <row r="300" spans="1:18" x14ac:dyDescent="0.3">
      <c r="A300">
        <v>2</v>
      </c>
      <c r="B300">
        <v>134</v>
      </c>
      <c r="C300">
        <v>70</v>
      </c>
      <c r="D300">
        <v>0</v>
      </c>
      <c r="E300">
        <v>0</v>
      </c>
      <c r="F300">
        <v>28.9</v>
      </c>
      <c r="G300">
        <v>0.54200000000000004</v>
      </c>
      <c r="H300">
        <v>23</v>
      </c>
      <c r="I300">
        <v>1</v>
      </c>
      <c r="K300">
        <f t="shared" si="32"/>
        <v>0.11764705882352941</v>
      </c>
      <c r="L300">
        <f t="shared" si="33"/>
        <v>0.6733668341708543</v>
      </c>
      <c r="M300">
        <f t="shared" si="34"/>
        <v>0.57377049180327866</v>
      </c>
      <c r="N300">
        <f t="shared" si="35"/>
        <v>0</v>
      </c>
      <c r="O300">
        <f t="shared" si="36"/>
        <v>0</v>
      </c>
      <c r="P300">
        <f t="shared" si="37"/>
        <v>0.43070044709388972</v>
      </c>
      <c r="Q300">
        <f t="shared" si="38"/>
        <v>0.19812126387702819</v>
      </c>
      <c r="R300">
        <f t="shared" si="39"/>
        <v>3.3333333333333333E-2</v>
      </c>
    </row>
    <row r="301" spans="1:18" x14ac:dyDescent="0.3">
      <c r="A301">
        <v>0</v>
      </c>
      <c r="B301">
        <v>91</v>
      </c>
      <c r="C301">
        <v>68</v>
      </c>
      <c r="D301">
        <v>32</v>
      </c>
      <c r="E301">
        <v>210</v>
      </c>
      <c r="F301">
        <v>39.9</v>
      </c>
      <c r="G301">
        <v>0.38100000000000001</v>
      </c>
      <c r="H301">
        <v>25</v>
      </c>
      <c r="I301">
        <v>0</v>
      </c>
      <c r="K301">
        <f t="shared" si="32"/>
        <v>0</v>
      </c>
      <c r="L301">
        <f t="shared" si="33"/>
        <v>0.457286432160804</v>
      </c>
      <c r="M301">
        <f t="shared" si="34"/>
        <v>0.55737704918032782</v>
      </c>
      <c r="N301">
        <f t="shared" si="35"/>
        <v>0.32323232323232326</v>
      </c>
      <c r="O301">
        <f t="shared" si="36"/>
        <v>0.24822695035460993</v>
      </c>
      <c r="P301">
        <f t="shared" si="37"/>
        <v>0.59463487332339793</v>
      </c>
      <c r="Q301">
        <f t="shared" si="38"/>
        <v>0.12937660119555935</v>
      </c>
      <c r="R301">
        <f t="shared" si="39"/>
        <v>6.6666666666666666E-2</v>
      </c>
    </row>
    <row r="302" spans="1:18" x14ac:dyDescent="0.3">
      <c r="A302">
        <v>2</v>
      </c>
      <c r="B302">
        <v>119</v>
      </c>
      <c r="C302">
        <v>0</v>
      </c>
      <c r="D302">
        <v>0</v>
      </c>
      <c r="E302">
        <v>0</v>
      </c>
      <c r="F302">
        <v>19.600000000000001</v>
      </c>
      <c r="G302">
        <v>0.83199999999999996</v>
      </c>
      <c r="H302">
        <v>72</v>
      </c>
      <c r="I302">
        <v>0</v>
      </c>
      <c r="K302">
        <f t="shared" si="32"/>
        <v>0.11764705882352941</v>
      </c>
      <c r="L302">
        <f t="shared" si="33"/>
        <v>0.59798994974874375</v>
      </c>
      <c r="M302">
        <f t="shared" si="34"/>
        <v>0</v>
      </c>
      <c r="N302">
        <f t="shared" si="35"/>
        <v>0</v>
      </c>
      <c r="O302">
        <f t="shared" si="36"/>
        <v>0</v>
      </c>
      <c r="P302">
        <f t="shared" si="37"/>
        <v>0.2921013412816692</v>
      </c>
      <c r="Q302">
        <f t="shared" si="38"/>
        <v>0.3219470538001708</v>
      </c>
      <c r="R302">
        <f t="shared" si="39"/>
        <v>0.85</v>
      </c>
    </row>
    <row r="303" spans="1:18" x14ac:dyDescent="0.3">
      <c r="A303">
        <v>2</v>
      </c>
      <c r="B303">
        <v>100</v>
      </c>
      <c r="C303">
        <v>54</v>
      </c>
      <c r="D303">
        <v>28</v>
      </c>
      <c r="E303">
        <v>105</v>
      </c>
      <c r="F303">
        <v>37.799999999999997</v>
      </c>
      <c r="G303">
        <v>0.498</v>
      </c>
      <c r="H303">
        <v>24</v>
      </c>
      <c r="I303">
        <v>0</v>
      </c>
      <c r="K303">
        <f t="shared" si="32"/>
        <v>0.11764705882352941</v>
      </c>
      <c r="L303">
        <f t="shared" si="33"/>
        <v>0.50251256281407031</v>
      </c>
      <c r="M303">
        <f t="shared" si="34"/>
        <v>0.44262295081967212</v>
      </c>
      <c r="N303">
        <f t="shared" si="35"/>
        <v>0.28282828282828282</v>
      </c>
      <c r="O303">
        <f t="shared" si="36"/>
        <v>0.12411347517730496</v>
      </c>
      <c r="P303">
        <f t="shared" si="37"/>
        <v>0.56333830104321914</v>
      </c>
      <c r="Q303">
        <f t="shared" si="38"/>
        <v>0.17933390264730997</v>
      </c>
      <c r="R303">
        <f t="shared" si="39"/>
        <v>0.05</v>
      </c>
    </row>
    <row r="304" spans="1:18" x14ac:dyDescent="0.3">
      <c r="A304">
        <v>14</v>
      </c>
      <c r="B304">
        <v>175</v>
      </c>
      <c r="C304">
        <v>62</v>
      </c>
      <c r="D304">
        <v>30</v>
      </c>
      <c r="E304">
        <v>0</v>
      </c>
      <c r="F304">
        <v>33.6</v>
      </c>
      <c r="G304">
        <v>0.21199999999999999</v>
      </c>
      <c r="H304">
        <v>38</v>
      </c>
      <c r="I304">
        <v>1</v>
      </c>
      <c r="K304">
        <f t="shared" si="32"/>
        <v>0.82352941176470584</v>
      </c>
      <c r="L304">
        <f t="shared" si="33"/>
        <v>0.87939698492462315</v>
      </c>
      <c r="M304">
        <f t="shared" si="34"/>
        <v>0.50819672131147542</v>
      </c>
      <c r="N304">
        <f t="shared" si="35"/>
        <v>0.30303030303030304</v>
      </c>
      <c r="O304">
        <f t="shared" si="36"/>
        <v>0</v>
      </c>
      <c r="P304">
        <f t="shared" si="37"/>
        <v>0.50074515648286144</v>
      </c>
      <c r="Q304">
        <f t="shared" si="38"/>
        <v>5.7216054654141764E-2</v>
      </c>
      <c r="R304">
        <f t="shared" si="39"/>
        <v>0.28333333333333333</v>
      </c>
    </row>
    <row r="305" spans="1:18" x14ac:dyDescent="0.3">
      <c r="A305">
        <v>1</v>
      </c>
      <c r="B305">
        <v>135</v>
      </c>
      <c r="C305">
        <v>54</v>
      </c>
      <c r="D305">
        <v>0</v>
      </c>
      <c r="E305">
        <v>0</v>
      </c>
      <c r="F305">
        <v>26.7</v>
      </c>
      <c r="G305">
        <v>0.68700000000000006</v>
      </c>
      <c r="H305">
        <v>62</v>
      </c>
      <c r="I305">
        <v>0</v>
      </c>
      <c r="K305">
        <f t="shared" si="32"/>
        <v>5.8823529411764705E-2</v>
      </c>
      <c r="L305">
        <f t="shared" si="33"/>
        <v>0.67839195979899503</v>
      </c>
      <c r="M305">
        <f t="shared" si="34"/>
        <v>0.44262295081967212</v>
      </c>
      <c r="N305">
        <f t="shared" si="35"/>
        <v>0</v>
      </c>
      <c r="O305">
        <f t="shared" si="36"/>
        <v>0</v>
      </c>
      <c r="P305">
        <f t="shared" si="37"/>
        <v>0.3979135618479881</v>
      </c>
      <c r="Q305">
        <f t="shared" si="38"/>
        <v>0.26003415883859954</v>
      </c>
      <c r="R305">
        <f t="shared" si="39"/>
        <v>0.68333333333333335</v>
      </c>
    </row>
    <row r="306" spans="1:18" x14ac:dyDescent="0.3">
      <c r="A306">
        <v>5</v>
      </c>
      <c r="B306">
        <v>86</v>
      </c>
      <c r="C306">
        <v>68</v>
      </c>
      <c r="D306">
        <v>28</v>
      </c>
      <c r="E306">
        <v>71</v>
      </c>
      <c r="F306">
        <v>30.2</v>
      </c>
      <c r="G306">
        <v>0.36399999999999999</v>
      </c>
      <c r="H306">
        <v>24</v>
      </c>
      <c r="I306">
        <v>0</v>
      </c>
      <c r="K306">
        <f t="shared" si="32"/>
        <v>0.29411764705882354</v>
      </c>
      <c r="L306">
        <f t="shared" si="33"/>
        <v>0.43216080402010049</v>
      </c>
      <c r="M306">
        <f t="shared" si="34"/>
        <v>0.55737704918032782</v>
      </c>
      <c r="N306">
        <f t="shared" si="35"/>
        <v>0.28282828282828282</v>
      </c>
      <c r="O306">
        <f t="shared" si="36"/>
        <v>8.3924349881796687E-2</v>
      </c>
      <c r="P306">
        <f t="shared" si="37"/>
        <v>0.45007451564828616</v>
      </c>
      <c r="Q306">
        <f t="shared" si="38"/>
        <v>0.12211784799316822</v>
      </c>
      <c r="R306">
        <f t="shared" si="39"/>
        <v>0.05</v>
      </c>
    </row>
    <row r="307" spans="1:18" x14ac:dyDescent="0.3">
      <c r="A307">
        <v>10</v>
      </c>
      <c r="B307">
        <v>148</v>
      </c>
      <c r="C307">
        <v>84</v>
      </c>
      <c r="D307">
        <v>48</v>
      </c>
      <c r="E307">
        <v>237</v>
      </c>
      <c r="F307">
        <v>37.6</v>
      </c>
      <c r="G307">
        <v>1.0009999999999999</v>
      </c>
      <c r="H307">
        <v>51</v>
      </c>
      <c r="I307">
        <v>1</v>
      </c>
      <c r="K307">
        <f t="shared" si="32"/>
        <v>0.58823529411764708</v>
      </c>
      <c r="L307">
        <f t="shared" si="33"/>
        <v>0.74371859296482412</v>
      </c>
      <c r="M307">
        <f t="shared" si="34"/>
        <v>0.68852459016393441</v>
      </c>
      <c r="N307">
        <f t="shared" si="35"/>
        <v>0.48484848484848486</v>
      </c>
      <c r="O307">
        <f t="shared" si="36"/>
        <v>0.28014184397163122</v>
      </c>
      <c r="P307">
        <f t="shared" si="37"/>
        <v>0.56035767511177359</v>
      </c>
      <c r="Q307">
        <f t="shared" si="38"/>
        <v>0.39410760034158832</v>
      </c>
      <c r="R307">
        <f t="shared" si="39"/>
        <v>0.5</v>
      </c>
    </row>
    <row r="308" spans="1:18" x14ac:dyDescent="0.3">
      <c r="A308">
        <v>9</v>
      </c>
      <c r="B308">
        <v>134</v>
      </c>
      <c r="C308">
        <v>74</v>
      </c>
      <c r="D308">
        <v>33</v>
      </c>
      <c r="E308">
        <v>60</v>
      </c>
      <c r="F308">
        <v>25.9</v>
      </c>
      <c r="G308">
        <v>0.46</v>
      </c>
      <c r="H308">
        <v>81</v>
      </c>
      <c r="I308">
        <v>0</v>
      </c>
      <c r="K308">
        <f t="shared" si="32"/>
        <v>0.52941176470588236</v>
      </c>
      <c r="L308">
        <f t="shared" si="33"/>
        <v>0.6733668341708543</v>
      </c>
      <c r="M308">
        <f t="shared" si="34"/>
        <v>0.60655737704918034</v>
      </c>
      <c r="N308">
        <f t="shared" si="35"/>
        <v>0.33333333333333331</v>
      </c>
      <c r="O308">
        <f t="shared" si="36"/>
        <v>7.0921985815602842E-2</v>
      </c>
      <c r="P308">
        <f t="shared" si="37"/>
        <v>0.38599105812220569</v>
      </c>
      <c r="Q308">
        <f t="shared" si="38"/>
        <v>0.16310845431255336</v>
      </c>
      <c r="R308">
        <f t="shared" si="39"/>
        <v>1</v>
      </c>
    </row>
    <row r="309" spans="1:18" x14ac:dyDescent="0.3">
      <c r="A309">
        <v>9</v>
      </c>
      <c r="B309">
        <v>120</v>
      </c>
      <c r="C309">
        <v>72</v>
      </c>
      <c r="D309">
        <v>22</v>
      </c>
      <c r="E309">
        <v>56</v>
      </c>
      <c r="F309">
        <v>20.8</v>
      </c>
      <c r="G309">
        <v>0.73299999999999998</v>
      </c>
      <c r="H309">
        <v>48</v>
      </c>
      <c r="I309">
        <v>0</v>
      </c>
      <c r="K309">
        <f t="shared" si="32"/>
        <v>0.52941176470588236</v>
      </c>
      <c r="L309">
        <f t="shared" si="33"/>
        <v>0.60301507537688437</v>
      </c>
      <c r="M309">
        <f t="shared" si="34"/>
        <v>0.5901639344262295</v>
      </c>
      <c r="N309">
        <f t="shared" si="35"/>
        <v>0.22222222222222221</v>
      </c>
      <c r="O309">
        <f t="shared" si="36"/>
        <v>6.6193853427895979E-2</v>
      </c>
      <c r="P309">
        <f t="shared" si="37"/>
        <v>0.30998509687034281</v>
      </c>
      <c r="Q309">
        <f t="shared" si="38"/>
        <v>0.27967549103330486</v>
      </c>
      <c r="R309">
        <f t="shared" si="39"/>
        <v>0.45</v>
      </c>
    </row>
    <row r="310" spans="1:18" x14ac:dyDescent="0.3">
      <c r="A310">
        <v>1</v>
      </c>
      <c r="B310">
        <v>71</v>
      </c>
      <c r="C310">
        <v>62</v>
      </c>
      <c r="D310">
        <v>0</v>
      </c>
      <c r="E310">
        <v>0</v>
      </c>
      <c r="F310">
        <v>21.8</v>
      </c>
      <c r="G310">
        <v>0.41599999999999998</v>
      </c>
      <c r="H310">
        <v>26</v>
      </c>
      <c r="I310">
        <v>0</v>
      </c>
      <c r="K310">
        <f t="shared" si="32"/>
        <v>5.8823529411764705E-2</v>
      </c>
      <c r="L310">
        <f t="shared" si="33"/>
        <v>0.35678391959798994</v>
      </c>
      <c r="M310">
        <f t="shared" si="34"/>
        <v>0.50819672131147542</v>
      </c>
      <c r="N310">
        <f t="shared" si="35"/>
        <v>0</v>
      </c>
      <c r="O310">
        <f t="shared" si="36"/>
        <v>0</v>
      </c>
      <c r="P310">
        <f t="shared" si="37"/>
        <v>0.32488822652757082</v>
      </c>
      <c r="Q310">
        <f t="shared" si="38"/>
        <v>0.14432109308283517</v>
      </c>
      <c r="R310">
        <f t="shared" si="39"/>
        <v>8.3333333333333329E-2</v>
      </c>
    </row>
    <row r="311" spans="1:18" x14ac:dyDescent="0.3">
      <c r="A311">
        <v>8</v>
      </c>
      <c r="B311">
        <v>74</v>
      </c>
      <c r="C311">
        <v>70</v>
      </c>
      <c r="D311">
        <v>40</v>
      </c>
      <c r="E311">
        <v>49</v>
      </c>
      <c r="F311">
        <v>35.299999999999997</v>
      </c>
      <c r="G311">
        <v>0.70499999999999996</v>
      </c>
      <c r="H311">
        <v>39</v>
      </c>
      <c r="I311">
        <v>0</v>
      </c>
      <c r="K311">
        <f t="shared" si="32"/>
        <v>0.47058823529411764</v>
      </c>
      <c r="L311">
        <f t="shared" si="33"/>
        <v>0.37185929648241206</v>
      </c>
      <c r="M311">
        <f t="shared" si="34"/>
        <v>0.57377049180327866</v>
      </c>
      <c r="N311">
        <f t="shared" si="35"/>
        <v>0.40404040404040403</v>
      </c>
      <c r="O311">
        <f t="shared" si="36"/>
        <v>5.7919621749408984E-2</v>
      </c>
      <c r="P311">
        <f t="shared" si="37"/>
        <v>0.52608047690014903</v>
      </c>
      <c r="Q311">
        <f t="shared" si="38"/>
        <v>0.26771989752348418</v>
      </c>
      <c r="R311">
        <f t="shared" si="39"/>
        <v>0.3</v>
      </c>
    </row>
    <row r="312" spans="1:18" x14ac:dyDescent="0.3">
      <c r="A312">
        <v>5</v>
      </c>
      <c r="B312">
        <v>88</v>
      </c>
      <c r="C312">
        <v>78</v>
      </c>
      <c r="D312">
        <v>30</v>
      </c>
      <c r="E312">
        <v>0</v>
      </c>
      <c r="F312">
        <v>27.6</v>
      </c>
      <c r="G312">
        <v>0.25800000000000001</v>
      </c>
      <c r="H312">
        <v>37</v>
      </c>
      <c r="I312">
        <v>0</v>
      </c>
      <c r="K312">
        <f t="shared" si="32"/>
        <v>0.29411764705882354</v>
      </c>
      <c r="L312">
        <f t="shared" si="33"/>
        <v>0.44221105527638194</v>
      </c>
      <c r="M312">
        <f t="shared" si="34"/>
        <v>0.63934426229508201</v>
      </c>
      <c r="N312">
        <f t="shared" si="35"/>
        <v>0.30303030303030304</v>
      </c>
      <c r="O312">
        <f t="shared" si="36"/>
        <v>0</v>
      </c>
      <c r="P312">
        <f t="shared" si="37"/>
        <v>0.41132637853949333</v>
      </c>
      <c r="Q312">
        <f t="shared" si="38"/>
        <v>7.6857386848847131E-2</v>
      </c>
      <c r="R312">
        <f t="shared" si="39"/>
        <v>0.26666666666666666</v>
      </c>
    </row>
    <row r="313" spans="1:18" x14ac:dyDescent="0.3">
      <c r="A313">
        <v>10</v>
      </c>
      <c r="B313">
        <v>115</v>
      </c>
      <c r="C313">
        <v>98</v>
      </c>
      <c r="D313">
        <v>0</v>
      </c>
      <c r="E313">
        <v>0</v>
      </c>
      <c r="F313">
        <v>24</v>
      </c>
      <c r="G313">
        <v>1.022</v>
      </c>
      <c r="H313">
        <v>34</v>
      </c>
      <c r="I313">
        <v>0</v>
      </c>
      <c r="K313">
        <f t="shared" si="32"/>
        <v>0.58823529411764708</v>
      </c>
      <c r="L313">
        <f t="shared" si="33"/>
        <v>0.57788944723618085</v>
      </c>
      <c r="M313">
        <f t="shared" si="34"/>
        <v>0.80327868852459017</v>
      </c>
      <c r="N313">
        <f t="shared" si="35"/>
        <v>0</v>
      </c>
      <c r="O313">
        <f t="shared" si="36"/>
        <v>0</v>
      </c>
      <c r="P313">
        <f t="shared" si="37"/>
        <v>0.35767511177347244</v>
      </c>
      <c r="Q313">
        <f t="shared" si="38"/>
        <v>0.4030742954739539</v>
      </c>
      <c r="R313">
        <f t="shared" si="39"/>
        <v>0.21666666666666667</v>
      </c>
    </row>
    <row r="314" spans="1:18" x14ac:dyDescent="0.3">
      <c r="A314">
        <v>0</v>
      </c>
      <c r="B314">
        <v>124</v>
      </c>
      <c r="C314">
        <v>56</v>
      </c>
      <c r="D314">
        <v>13</v>
      </c>
      <c r="E314">
        <v>105</v>
      </c>
      <c r="F314">
        <v>21.8</v>
      </c>
      <c r="G314">
        <v>0.45200000000000001</v>
      </c>
      <c r="H314">
        <v>21</v>
      </c>
      <c r="I314">
        <v>0</v>
      </c>
      <c r="K314">
        <f t="shared" si="32"/>
        <v>0</v>
      </c>
      <c r="L314">
        <f t="shared" si="33"/>
        <v>0.62311557788944727</v>
      </c>
      <c r="M314">
        <f t="shared" si="34"/>
        <v>0.45901639344262296</v>
      </c>
      <c r="N314">
        <f t="shared" si="35"/>
        <v>0.13131313131313133</v>
      </c>
      <c r="O314">
        <f t="shared" si="36"/>
        <v>0.12411347517730496</v>
      </c>
      <c r="P314">
        <f t="shared" si="37"/>
        <v>0.32488822652757082</v>
      </c>
      <c r="Q314">
        <f t="shared" si="38"/>
        <v>0.1596925704526046</v>
      </c>
      <c r="R314">
        <f t="shared" si="39"/>
        <v>0</v>
      </c>
    </row>
    <row r="315" spans="1:18" x14ac:dyDescent="0.3">
      <c r="A315">
        <v>0</v>
      </c>
      <c r="B315">
        <v>74</v>
      </c>
      <c r="C315">
        <v>52</v>
      </c>
      <c r="D315">
        <v>10</v>
      </c>
      <c r="E315">
        <v>36</v>
      </c>
      <c r="F315">
        <v>27.8</v>
      </c>
      <c r="G315">
        <v>0.26900000000000002</v>
      </c>
      <c r="H315">
        <v>22</v>
      </c>
      <c r="I315">
        <v>0</v>
      </c>
      <c r="K315">
        <f t="shared" si="32"/>
        <v>0</v>
      </c>
      <c r="L315">
        <f t="shared" si="33"/>
        <v>0.37185929648241206</v>
      </c>
      <c r="M315">
        <f t="shared" si="34"/>
        <v>0.42622950819672129</v>
      </c>
      <c r="N315">
        <f t="shared" si="35"/>
        <v>0.10101010101010101</v>
      </c>
      <c r="O315">
        <f t="shared" si="36"/>
        <v>4.2553191489361701E-2</v>
      </c>
      <c r="P315">
        <f t="shared" si="37"/>
        <v>0.41430700447093893</v>
      </c>
      <c r="Q315">
        <f t="shared" si="38"/>
        <v>8.1554227156276679E-2</v>
      </c>
      <c r="R315">
        <f t="shared" si="39"/>
        <v>1.6666666666666666E-2</v>
      </c>
    </row>
    <row r="316" spans="1:18" x14ac:dyDescent="0.3">
      <c r="A316">
        <v>0</v>
      </c>
      <c r="B316">
        <v>97</v>
      </c>
      <c r="C316">
        <v>64</v>
      </c>
      <c r="D316">
        <v>36</v>
      </c>
      <c r="E316">
        <v>100</v>
      </c>
      <c r="F316">
        <v>36.799999999999997</v>
      </c>
      <c r="G316">
        <v>0.6</v>
      </c>
      <c r="H316">
        <v>25</v>
      </c>
      <c r="I316">
        <v>0</v>
      </c>
      <c r="K316">
        <f t="shared" si="32"/>
        <v>0</v>
      </c>
      <c r="L316">
        <f t="shared" si="33"/>
        <v>0.48743718592964824</v>
      </c>
      <c r="M316">
        <f t="shared" si="34"/>
        <v>0.52459016393442626</v>
      </c>
      <c r="N316">
        <f t="shared" si="35"/>
        <v>0.36363636363636365</v>
      </c>
      <c r="O316">
        <f t="shared" si="36"/>
        <v>0.1182033096926714</v>
      </c>
      <c r="P316">
        <f t="shared" si="37"/>
        <v>0.54843517138599107</v>
      </c>
      <c r="Q316">
        <f t="shared" si="38"/>
        <v>0.22288642186165669</v>
      </c>
      <c r="R316">
        <f t="shared" si="39"/>
        <v>6.6666666666666666E-2</v>
      </c>
    </row>
    <row r="317" spans="1:18" x14ac:dyDescent="0.3">
      <c r="A317">
        <v>8</v>
      </c>
      <c r="B317">
        <v>120</v>
      </c>
      <c r="C317">
        <v>0</v>
      </c>
      <c r="D317">
        <v>0</v>
      </c>
      <c r="E317">
        <v>0</v>
      </c>
      <c r="F317">
        <v>30</v>
      </c>
      <c r="G317">
        <v>0.183</v>
      </c>
      <c r="H317">
        <v>38</v>
      </c>
      <c r="I317">
        <v>1</v>
      </c>
      <c r="K317">
        <f t="shared" si="32"/>
        <v>0.47058823529411764</v>
      </c>
      <c r="L317">
        <f t="shared" si="33"/>
        <v>0.60301507537688437</v>
      </c>
      <c r="M317">
        <f t="shared" si="34"/>
        <v>0</v>
      </c>
      <c r="N317">
        <f t="shared" si="35"/>
        <v>0</v>
      </c>
      <c r="O317">
        <f t="shared" si="36"/>
        <v>0</v>
      </c>
      <c r="P317">
        <f t="shared" si="37"/>
        <v>0.44709388971684055</v>
      </c>
      <c r="Q317">
        <f t="shared" si="38"/>
        <v>4.4833475661827493E-2</v>
      </c>
      <c r="R317">
        <f t="shared" si="39"/>
        <v>0.28333333333333333</v>
      </c>
    </row>
    <row r="318" spans="1:18" x14ac:dyDescent="0.3">
      <c r="A318">
        <v>6</v>
      </c>
      <c r="B318">
        <v>154</v>
      </c>
      <c r="C318">
        <v>78</v>
      </c>
      <c r="D318">
        <v>41</v>
      </c>
      <c r="E318">
        <v>140</v>
      </c>
      <c r="F318">
        <v>46.1</v>
      </c>
      <c r="G318">
        <v>0.57099999999999995</v>
      </c>
      <c r="H318">
        <v>27</v>
      </c>
      <c r="I318">
        <v>0</v>
      </c>
      <c r="K318">
        <f t="shared" si="32"/>
        <v>0.35294117647058826</v>
      </c>
      <c r="L318">
        <f t="shared" si="33"/>
        <v>0.77386934673366836</v>
      </c>
      <c r="M318">
        <f t="shared" si="34"/>
        <v>0.63934426229508201</v>
      </c>
      <c r="N318">
        <f t="shared" si="35"/>
        <v>0.41414141414141414</v>
      </c>
      <c r="O318">
        <f t="shared" si="36"/>
        <v>0.16548463356973994</v>
      </c>
      <c r="P318">
        <f t="shared" si="37"/>
        <v>0.68703427719821175</v>
      </c>
      <c r="Q318">
        <f t="shared" si="38"/>
        <v>0.2105038428693424</v>
      </c>
      <c r="R318">
        <f t="shared" si="39"/>
        <v>0.1</v>
      </c>
    </row>
    <row r="319" spans="1:18" x14ac:dyDescent="0.3">
      <c r="A319">
        <v>1</v>
      </c>
      <c r="B319">
        <v>144</v>
      </c>
      <c r="C319">
        <v>82</v>
      </c>
      <c r="D319">
        <v>40</v>
      </c>
      <c r="E319">
        <v>0</v>
      </c>
      <c r="F319">
        <v>41.3</v>
      </c>
      <c r="G319">
        <v>0.60699999999999998</v>
      </c>
      <c r="H319">
        <v>28</v>
      </c>
      <c r="I319">
        <v>0</v>
      </c>
      <c r="K319">
        <f t="shared" si="32"/>
        <v>5.8823529411764705E-2</v>
      </c>
      <c r="L319">
        <f t="shared" si="33"/>
        <v>0.72361809045226133</v>
      </c>
      <c r="M319">
        <f t="shared" si="34"/>
        <v>0.67213114754098358</v>
      </c>
      <c r="N319">
        <f t="shared" si="35"/>
        <v>0.40404040404040403</v>
      </c>
      <c r="O319">
        <f t="shared" si="36"/>
        <v>0</v>
      </c>
      <c r="P319">
        <f t="shared" si="37"/>
        <v>0.6154992548435172</v>
      </c>
      <c r="Q319">
        <f t="shared" si="38"/>
        <v>0.22587532023911186</v>
      </c>
      <c r="R319">
        <f t="shared" si="39"/>
        <v>0.11666666666666667</v>
      </c>
    </row>
    <row r="320" spans="1:18" x14ac:dyDescent="0.3">
      <c r="A320">
        <v>0</v>
      </c>
      <c r="B320">
        <v>137</v>
      </c>
      <c r="C320">
        <v>70</v>
      </c>
      <c r="D320">
        <v>38</v>
      </c>
      <c r="E320">
        <v>0</v>
      </c>
      <c r="F320">
        <v>33.200000000000003</v>
      </c>
      <c r="G320">
        <v>0.17</v>
      </c>
      <c r="H320">
        <v>22</v>
      </c>
      <c r="I320">
        <v>0</v>
      </c>
      <c r="K320">
        <f t="shared" si="32"/>
        <v>0</v>
      </c>
      <c r="L320">
        <f t="shared" si="33"/>
        <v>0.68844221105527637</v>
      </c>
      <c r="M320">
        <f t="shared" si="34"/>
        <v>0.57377049180327866</v>
      </c>
      <c r="N320">
        <f t="shared" si="35"/>
        <v>0.38383838383838381</v>
      </c>
      <c r="O320">
        <f t="shared" si="36"/>
        <v>0</v>
      </c>
      <c r="P320">
        <f t="shared" si="37"/>
        <v>0.49478390461997029</v>
      </c>
      <c r="Q320">
        <f t="shared" si="38"/>
        <v>3.9282664389410762E-2</v>
      </c>
      <c r="R320">
        <f t="shared" si="39"/>
        <v>1.6666666666666666E-2</v>
      </c>
    </row>
    <row r="321" spans="1:18" x14ac:dyDescent="0.3">
      <c r="A321">
        <v>0</v>
      </c>
      <c r="B321">
        <v>119</v>
      </c>
      <c r="C321">
        <v>66</v>
      </c>
      <c r="D321">
        <v>27</v>
      </c>
      <c r="E321">
        <v>0</v>
      </c>
      <c r="F321">
        <v>38.799999999999997</v>
      </c>
      <c r="G321">
        <v>0.25900000000000001</v>
      </c>
      <c r="H321">
        <v>22</v>
      </c>
      <c r="I321">
        <v>0</v>
      </c>
      <c r="K321">
        <f t="shared" si="32"/>
        <v>0</v>
      </c>
      <c r="L321">
        <f t="shared" si="33"/>
        <v>0.59798994974874375</v>
      </c>
      <c r="M321">
        <f t="shared" si="34"/>
        <v>0.54098360655737709</v>
      </c>
      <c r="N321">
        <f t="shared" si="35"/>
        <v>0.27272727272727271</v>
      </c>
      <c r="O321">
        <f t="shared" si="36"/>
        <v>0</v>
      </c>
      <c r="P321">
        <f t="shared" si="37"/>
        <v>0.57824143070044709</v>
      </c>
      <c r="Q321">
        <f t="shared" si="38"/>
        <v>7.7284372331340723E-2</v>
      </c>
      <c r="R321">
        <f t="shared" si="39"/>
        <v>1.6666666666666666E-2</v>
      </c>
    </row>
    <row r="322" spans="1:18" x14ac:dyDescent="0.3">
      <c r="A322">
        <v>7</v>
      </c>
      <c r="B322">
        <v>136</v>
      </c>
      <c r="C322">
        <v>90</v>
      </c>
      <c r="D322">
        <v>0</v>
      </c>
      <c r="E322">
        <v>0</v>
      </c>
      <c r="F322">
        <v>29.9</v>
      </c>
      <c r="G322">
        <v>0.21</v>
      </c>
      <c r="H322">
        <v>50</v>
      </c>
      <c r="I322">
        <v>0</v>
      </c>
      <c r="K322">
        <f t="shared" si="32"/>
        <v>0.41176470588235292</v>
      </c>
      <c r="L322">
        <f t="shared" si="33"/>
        <v>0.68341708542713564</v>
      </c>
      <c r="M322">
        <f t="shared" si="34"/>
        <v>0.73770491803278693</v>
      </c>
      <c r="N322">
        <f t="shared" si="35"/>
        <v>0</v>
      </c>
      <c r="O322">
        <f t="shared" si="36"/>
        <v>0</v>
      </c>
      <c r="P322">
        <f t="shared" si="37"/>
        <v>0.44560357675111772</v>
      </c>
      <c r="Q322">
        <f t="shared" si="38"/>
        <v>5.6362083689154567E-2</v>
      </c>
      <c r="R322">
        <f t="shared" si="39"/>
        <v>0.48333333333333334</v>
      </c>
    </row>
    <row r="323" spans="1:18" x14ac:dyDescent="0.3">
      <c r="A323">
        <v>4</v>
      </c>
      <c r="B323">
        <v>114</v>
      </c>
      <c r="C323">
        <v>64</v>
      </c>
      <c r="D323">
        <v>0</v>
      </c>
      <c r="E323">
        <v>0</v>
      </c>
      <c r="F323">
        <v>28.9</v>
      </c>
      <c r="G323">
        <v>0.126</v>
      </c>
      <c r="H323">
        <v>24</v>
      </c>
      <c r="I323">
        <v>0</v>
      </c>
      <c r="K323">
        <f t="shared" ref="K323:K386" si="40">(A323-0)/(17-0)</f>
        <v>0.23529411764705882</v>
      </c>
      <c r="L323">
        <f t="shared" ref="L323:L386" si="41">(B323-0)/(199-0)</f>
        <v>0.57286432160804024</v>
      </c>
      <c r="M323">
        <f t="shared" ref="M323:M386" si="42">(C323-0)/(122-0)</f>
        <v>0.52459016393442626</v>
      </c>
      <c r="N323">
        <f t="shared" ref="N323:N386" si="43">(D323-0)/(99-0)</f>
        <v>0</v>
      </c>
      <c r="O323">
        <f t="shared" ref="O323:O386" si="44">(E323-0)/(846-0)</f>
        <v>0</v>
      </c>
      <c r="P323">
        <f t="shared" ref="P323:P386" si="45">(F323-0)/(67.1-0)</f>
        <v>0.43070044709388972</v>
      </c>
      <c r="Q323">
        <f t="shared" ref="Q323:Q386" si="46">(G323-0.078)/(2.42-0.078)</f>
        <v>2.0495303159692571E-2</v>
      </c>
      <c r="R323">
        <f t="shared" ref="R323:R386" si="47">(H323-21)/(81-21)</f>
        <v>0.05</v>
      </c>
    </row>
    <row r="324" spans="1:18" x14ac:dyDescent="0.3">
      <c r="A324">
        <v>0</v>
      </c>
      <c r="B324">
        <v>137</v>
      </c>
      <c r="C324">
        <v>84</v>
      </c>
      <c r="D324">
        <v>27</v>
      </c>
      <c r="E324">
        <v>0</v>
      </c>
      <c r="F324">
        <v>27.3</v>
      </c>
      <c r="G324">
        <v>0.23100000000000001</v>
      </c>
      <c r="H324">
        <v>59</v>
      </c>
      <c r="I324">
        <v>0</v>
      </c>
      <c r="K324">
        <f t="shared" si="40"/>
        <v>0</v>
      </c>
      <c r="L324">
        <f t="shared" si="41"/>
        <v>0.68844221105527637</v>
      </c>
      <c r="M324">
        <f t="shared" si="42"/>
        <v>0.68852459016393441</v>
      </c>
      <c r="N324">
        <f t="shared" si="43"/>
        <v>0.27272727272727271</v>
      </c>
      <c r="O324">
        <f t="shared" si="44"/>
        <v>0</v>
      </c>
      <c r="P324">
        <f t="shared" si="45"/>
        <v>0.40685543964232496</v>
      </c>
      <c r="Q324">
        <f t="shared" si="46"/>
        <v>6.5328778821520078E-2</v>
      </c>
      <c r="R324">
        <f t="shared" si="47"/>
        <v>0.6333333333333333</v>
      </c>
    </row>
    <row r="325" spans="1:18" x14ac:dyDescent="0.3">
      <c r="A325">
        <v>2</v>
      </c>
      <c r="B325">
        <v>105</v>
      </c>
      <c r="C325">
        <v>80</v>
      </c>
      <c r="D325">
        <v>45</v>
      </c>
      <c r="E325">
        <v>191</v>
      </c>
      <c r="F325">
        <v>33.700000000000003</v>
      </c>
      <c r="G325">
        <v>0.71099999999999997</v>
      </c>
      <c r="H325">
        <v>29</v>
      </c>
      <c r="I325">
        <v>1</v>
      </c>
      <c r="K325">
        <f t="shared" si="40"/>
        <v>0.11764705882352941</v>
      </c>
      <c r="L325">
        <f t="shared" si="41"/>
        <v>0.52763819095477382</v>
      </c>
      <c r="M325">
        <f t="shared" si="42"/>
        <v>0.65573770491803274</v>
      </c>
      <c r="N325">
        <f t="shared" si="43"/>
        <v>0.45454545454545453</v>
      </c>
      <c r="O325">
        <f t="shared" si="44"/>
        <v>0.22576832151300236</v>
      </c>
      <c r="P325">
        <f t="shared" si="45"/>
        <v>0.50223546944858433</v>
      </c>
      <c r="Q325">
        <f t="shared" si="46"/>
        <v>0.27028181041844579</v>
      </c>
      <c r="R325">
        <f t="shared" si="47"/>
        <v>0.13333333333333333</v>
      </c>
    </row>
    <row r="326" spans="1:18" x14ac:dyDescent="0.3">
      <c r="A326">
        <v>7</v>
      </c>
      <c r="B326">
        <v>114</v>
      </c>
      <c r="C326">
        <v>76</v>
      </c>
      <c r="D326">
        <v>17</v>
      </c>
      <c r="E326">
        <v>110</v>
      </c>
      <c r="F326">
        <v>23.8</v>
      </c>
      <c r="G326">
        <v>0.46600000000000003</v>
      </c>
      <c r="H326">
        <v>31</v>
      </c>
      <c r="I326">
        <v>0</v>
      </c>
      <c r="K326">
        <f t="shared" si="40"/>
        <v>0.41176470588235292</v>
      </c>
      <c r="L326">
        <f t="shared" si="41"/>
        <v>0.57286432160804024</v>
      </c>
      <c r="M326">
        <f t="shared" si="42"/>
        <v>0.62295081967213117</v>
      </c>
      <c r="N326">
        <f t="shared" si="43"/>
        <v>0.17171717171717171</v>
      </c>
      <c r="O326">
        <f t="shared" si="44"/>
        <v>0.13002364066193853</v>
      </c>
      <c r="P326">
        <f t="shared" si="45"/>
        <v>0.35469448584202684</v>
      </c>
      <c r="Q326">
        <f t="shared" si="46"/>
        <v>0.16567036720751493</v>
      </c>
      <c r="R326">
        <f t="shared" si="47"/>
        <v>0.16666666666666666</v>
      </c>
    </row>
    <row r="327" spans="1:18" x14ac:dyDescent="0.3">
      <c r="A327">
        <v>8</v>
      </c>
      <c r="B327">
        <v>126</v>
      </c>
      <c r="C327">
        <v>74</v>
      </c>
      <c r="D327">
        <v>38</v>
      </c>
      <c r="E327">
        <v>75</v>
      </c>
      <c r="F327">
        <v>25.9</v>
      </c>
      <c r="G327">
        <v>0.16200000000000001</v>
      </c>
      <c r="H327">
        <v>39</v>
      </c>
      <c r="I327">
        <v>0</v>
      </c>
      <c r="K327">
        <f t="shared" si="40"/>
        <v>0.47058823529411764</v>
      </c>
      <c r="L327">
        <f t="shared" si="41"/>
        <v>0.63316582914572861</v>
      </c>
      <c r="M327">
        <f t="shared" si="42"/>
        <v>0.60655737704918034</v>
      </c>
      <c r="N327">
        <f t="shared" si="43"/>
        <v>0.38383838383838381</v>
      </c>
      <c r="O327">
        <f t="shared" si="44"/>
        <v>8.8652482269503549E-2</v>
      </c>
      <c r="P327">
        <f t="shared" si="45"/>
        <v>0.38599105812220569</v>
      </c>
      <c r="Q327">
        <f t="shared" si="46"/>
        <v>3.5866780529461996E-2</v>
      </c>
      <c r="R327">
        <f t="shared" si="47"/>
        <v>0.3</v>
      </c>
    </row>
    <row r="328" spans="1:18" x14ac:dyDescent="0.3">
      <c r="A328">
        <v>4</v>
      </c>
      <c r="B328">
        <v>132</v>
      </c>
      <c r="C328">
        <v>86</v>
      </c>
      <c r="D328">
        <v>31</v>
      </c>
      <c r="E328">
        <v>0</v>
      </c>
      <c r="F328">
        <v>28</v>
      </c>
      <c r="G328">
        <v>0.41899999999999998</v>
      </c>
      <c r="H328">
        <v>63</v>
      </c>
      <c r="I328">
        <v>0</v>
      </c>
      <c r="K328">
        <f t="shared" si="40"/>
        <v>0.23529411764705882</v>
      </c>
      <c r="L328">
        <f t="shared" si="41"/>
        <v>0.66331658291457285</v>
      </c>
      <c r="M328">
        <f t="shared" si="42"/>
        <v>0.70491803278688525</v>
      </c>
      <c r="N328">
        <f t="shared" si="43"/>
        <v>0.31313131313131315</v>
      </c>
      <c r="O328">
        <f t="shared" si="44"/>
        <v>0</v>
      </c>
      <c r="P328">
        <f t="shared" si="45"/>
        <v>0.41728763040238454</v>
      </c>
      <c r="Q328">
        <f t="shared" si="46"/>
        <v>0.14560204953031594</v>
      </c>
      <c r="R328">
        <f t="shared" si="47"/>
        <v>0.7</v>
      </c>
    </row>
    <row r="329" spans="1:18" x14ac:dyDescent="0.3">
      <c r="A329">
        <v>3</v>
      </c>
      <c r="B329">
        <v>158</v>
      </c>
      <c r="C329">
        <v>70</v>
      </c>
      <c r="D329">
        <v>30</v>
      </c>
      <c r="E329">
        <v>328</v>
      </c>
      <c r="F329">
        <v>35.5</v>
      </c>
      <c r="G329">
        <v>0.34399999999999997</v>
      </c>
      <c r="H329">
        <v>35</v>
      </c>
      <c r="I329">
        <v>1</v>
      </c>
      <c r="K329">
        <f t="shared" si="40"/>
        <v>0.17647058823529413</v>
      </c>
      <c r="L329">
        <f t="shared" si="41"/>
        <v>0.79396984924623115</v>
      </c>
      <c r="M329">
        <f t="shared" si="42"/>
        <v>0.57377049180327866</v>
      </c>
      <c r="N329">
        <f t="shared" si="43"/>
        <v>0.30303030303030304</v>
      </c>
      <c r="O329">
        <f t="shared" si="44"/>
        <v>0.38770685579196218</v>
      </c>
      <c r="P329">
        <f t="shared" si="45"/>
        <v>0.52906110283159469</v>
      </c>
      <c r="Q329">
        <f t="shared" si="46"/>
        <v>0.1135781383432963</v>
      </c>
      <c r="R329">
        <f t="shared" si="47"/>
        <v>0.23333333333333334</v>
      </c>
    </row>
    <row r="330" spans="1:18" x14ac:dyDescent="0.3">
      <c r="A330">
        <v>0</v>
      </c>
      <c r="B330">
        <v>123</v>
      </c>
      <c r="C330">
        <v>88</v>
      </c>
      <c r="D330">
        <v>37</v>
      </c>
      <c r="E330">
        <v>0</v>
      </c>
      <c r="F330">
        <v>35.200000000000003</v>
      </c>
      <c r="G330">
        <v>0.19700000000000001</v>
      </c>
      <c r="H330">
        <v>29</v>
      </c>
      <c r="I330">
        <v>0</v>
      </c>
      <c r="K330">
        <f t="shared" si="40"/>
        <v>0</v>
      </c>
      <c r="L330">
        <f t="shared" si="41"/>
        <v>0.61809045226130654</v>
      </c>
      <c r="M330">
        <f t="shared" si="42"/>
        <v>0.72131147540983609</v>
      </c>
      <c r="N330">
        <f t="shared" si="43"/>
        <v>0.37373737373737376</v>
      </c>
      <c r="O330">
        <f t="shared" si="44"/>
        <v>0</v>
      </c>
      <c r="P330">
        <f t="shared" si="45"/>
        <v>0.52459016393442637</v>
      </c>
      <c r="Q330">
        <f t="shared" si="46"/>
        <v>5.0811272416737829E-2</v>
      </c>
      <c r="R330">
        <f t="shared" si="47"/>
        <v>0.13333333333333333</v>
      </c>
    </row>
    <row r="331" spans="1:18" x14ac:dyDescent="0.3">
      <c r="A331">
        <v>4</v>
      </c>
      <c r="B331">
        <v>85</v>
      </c>
      <c r="C331">
        <v>58</v>
      </c>
      <c r="D331">
        <v>22</v>
      </c>
      <c r="E331">
        <v>49</v>
      </c>
      <c r="F331">
        <v>27.8</v>
      </c>
      <c r="G331">
        <v>0.30599999999999999</v>
      </c>
      <c r="H331">
        <v>28</v>
      </c>
      <c r="I331">
        <v>0</v>
      </c>
      <c r="K331">
        <f t="shared" si="40"/>
        <v>0.23529411764705882</v>
      </c>
      <c r="L331">
        <f t="shared" si="41"/>
        <v>0.42713567839195982</v>
      </c>
      <c r="M331">
        <f t="shared" si="42"/>
        <v>0.47540983606557374</v>
      </c>
      <c r="N331">
        <f t="shared" si="43"/>
        <v>0.22222222222222221</v>
      </c>
      <c r="O331">
        <f t="shared" si="44"/>
        <v>5.7919621749408984E-2</v>
      </c>
      <c r="P331">
        <f t="shared" si="45"/>
        <v>0.41430700447093893</v>
      </c>
      <c r="Q331">
        <f t="shared" si="46"/>
        <v>9.7352690008539702E-2</v>
      </c>
      <c r="R331">
        <f t="shared" si="47"/>
        <v>0.11666666666666667</v>
      </c>
    </row>
    <row r="332" spans="1:18" x14ac:dyDescent="0.3">
      <c r="A332">
        <v>0</v>
      </c>
      <c r="B332">
        <v>84</v>
      </c>
      <c r="C332">
        <v>82</v>
      </c>
      <c r="D332">
        <v>31</v>
      </c>
      <c r="E332">
        <v>125</v>
      </c>
      <c r="F332">
        <v>38.200000000000003</v>
      </c>
      <c r="G332">
        <v>0.23300000000000001</v>
      </c>
      <c r="H332">
        <v>23</v>
      </c>
      <c r="I332">
        <v>0</v>
      </c>
      <c r="K332">
        <f t="shared" si="40"/>
        <v>0</v>
      </c>
      <c r="L332">
        <f t="shared" si="41"/>
        <v>0.42211055276381909</v>
      </c>
      <c r="M332">
        <f t="shared" si="42"/>
        <v>0.67213114754098358</v>
      </c>
      <c r="N332">
        <f t="shared" si="43"/>
        <v>0.31313131313131315</v>
      </c>
      <c r="O332">
        <f t="shared" si="44"/>
        <v>0.14775413711583923</v>
      </c>
      <c r="P332">
        <f t="shared" si="45"/>
        <v>0.56929955290611034</v>
      </c>
      <c r="Q332">
        <f t="shared" si="46"/>
        <v>6.6182749786507261E-2</v>
      </c>
      <c r="R332">
        <f t="shared" si="47"/>
        <v>3.3333333333333333E-2</v>
      </c>
    </row>
    <row r="333" spans="1:18" x14ac:dyDescent="0.3">
      <c r="A333">
        <v>0</v>
      </c>
      <c r="B333">
        <v>145</v>
      </c>
      <c r="C333">
        <v>0</v>
      </c>
      <c r="D333">
        <v>0</v>
      </c>
      <c r="E333">
        <v>0</v>
      </c>
      <c r="F333">
        <v>44.2</v>
      </c>
      <c r="G333">
        <v>0.63</v>
      </c>
      <c r="H333">
        <v>31</v>
      </c>
      <c r="I333">
        <v>1</v>
      </c>
      <c r="K333">
        <f t="shared" si="40"/>
        <v>0</v>
      </c>
      <c r="L333">
        <f t="shared" si="41"/>
        <v>0.72864321608040206</v>
      </c>
      <c r="M333">
        <f t="shared" si="42"/>
        <v>0</v>
      </c>
      <c r="N333">
        <f t="shared" si="43"/>
        <v>0</v>
      </c>
      <c r="O333">
        <f t="shared" si="44"/>
        <v>0</v>
      </c>
      <c r="P333">
        <f t="shared" si="45"/>
        <v>0.65871833084947851</v>
      </c>
      <c r="Q333">
        <f t="shared" si="46"/>
        <v>0.23569598633646457</v>
      </c>
      <c r="R333">
        <f t="shared" si="47"/>
        <v>0.16666666666666666</v>
      </c>
    </row>
    <row r="334" spans="1:18" x14ac:dyDescent="0.3">
      <c r="A334">
        <v>0</v>
      </c>
      <c r="B334">
        <v>135</v>
      </c>
      <c r="C334">
        <v>68</v>
      </c>
      <c r="D334">
        <v>42</v>
      </c>
      <c r="E334">
        <v>250</v>
      </c>
      <c r="F334">
        <v>42.3</v>
      </c>
      <c r="G334">
        <v>0.36499999999999999</v>
      </c>
      <c r="H334">
        <v>24</v>
      </c>
      <c r="I334">
        <v>1</v>
      </c>
      <c r="K334">
        <f t="shared" si="40"/>
        <v>0</v>
      </c>
      <c r="L334">
        <f t="shared" si="41"/>
        <v>0.67839195979899503</v>
      </c>
      <c r="M334">
        <f t="shared" si="42"/>
        <v>0.55737704918032782</v>
      </c>
      <c r="N334">
        <f t="shared" si="43"/>
        <v>0.42424242424242425</v>
      </c>
      <c r="O334">
        <f t="shared" si="44"/>
        <v>0.29550827423167847</v>
      </c>
      <c r="P334">
        <f t="shared" si="45"/>
        <v>0.63040238450074515</v>
      </c>
      <c r="Q334">
        <f t="shared" si="46"/>
        <v>0.12254483347566181</v>
      </c>
      <c r="R334">
        <f t="shared" si="47"/>
        <v>0.05</v>
      </c>
    </row>
    <row r="335" spans="1:18" x14ac:dyDescent="0.3">
      <c r="A335">
        <v>1</v>
      </c>
      <c r="B335">
        <v>139</v>
      </c>
      <c r="C335">
        <v>62</v>
      </c>
      <c r="D335">
        <v>41</v>
      </c>
      <c r="E335">
        <v>480</v>
      </c>
      <c r="F335">
        <v>40.700000000000003</v>
      </c>
      <c r="G335">
        <v>0.53600000000000003</v>
      </c>
      <c r="H335">
        <v>21</v>
      </c>
      <c r="I335">
        <v>0</v>
      </c>
      <c r="K335">
        <f t="shared" si="40"/>
        <v>5.8823529411764705E-2</v>
      </c>
      <c r="L335">
        <f t="shared" si="41"/>
        <v>0.69849246231155782</v>
      </c>
      <c r="M335">
        <f t="shared" si="42"/>
        <v>0.50819672131147542</v>
      </c>
      <c r="N335">
        <f t="shared" si="43"/>
        <v>0.41414141414141414</v>
      </c>
      <c r="O335">
        <f t="shared" si="44"/>
        <v>0.56737588652482274</v>
      </c>
      <c r="P335">
        <f t="shared" si="45"/>
        <v>0.60655737704918045</v>
      </c>
      <c r="Q335">
        <f t="shared" si="46"/>
        <v>0.19555935098206662</v>
      </c>
      <c r="R335">
        <f t="shared" si="47"/>
        <v>0</v>
      </c>
    </row>
    <row r="336" spans="1:18" x14ac:dyDescent="0.3">
      <c r="A336">
        <v>0</v>
      </c>
      <c r="B336">
        <v>173</v>
      </c>
      <c r="C336">
        <v>78</v>
      </c>
      <c r="D336">
        <v>32</v>
      </c>
      <c r="E336">
        <v>265</v>
      </c>
      <c r="F336">
        <v>46.5</v>
      </c>
      <c r="G336">
        <v>1.159</v>
      </c>
      <c r="H336">
        <v>58</v>
      </c>
      <c r="I336">
        <v>0</v>
      </c>
      <c r="K336">
        <f t="shared" si="40"/>
        <v>0</v>
      </c>
      <c r="L336">
        <f t="shared" si="41"/>
        <v>0.8693467336683417</v>
      </c>
      <c r="M336">
        <f t="shared" si="42"/>
        <v>0.63934426229508201</v>
      </c>
      <c r="N336">
        <f t="shared" si="43"/>
        <v>0.32323232323232326</v>
      </c>
      <c r="O336">
        <f t="shared" si="44"/>
        <v>0.3132387706855792</v>
      </c>
      <c r="P336">
        <f t="shared" si="45"/>
        <v>0.69299552906110284</v>
      </c>
      <c r="Q336">
        <f t="shared" si="46"/>
        <v>0.46157130657557638</v>
      </c>
      <c r="R336">
        <f t="shared" si="47"/>
        <v>0.6166666666666667</v>
      </c>
    </row>
    <row r="337" spans="1:18" x14ac:dyDescent="0.3">
      <c r="A337">
        <v>4</v>
      </c>
      <c r="B337">
        <v>99</v>
      </c>
      <c r="C337">
        <v>72</v>
      </c>
      <c r="D337">
        <v>17</v>
      </c>
      <c r="E337">
        <v>0</v>
      </c>
      <c r="F337">
        <v>25.6</v>
      </c>
      <c r="G337">
        <v>0.29399999999999998</v>
      </c>
      <c r="H337">
        <v>28</v>
      </c>
      <c r="I337">
        <v>0</v>
      </c>
      <c r="K337">
        <f t="shared" si="40"/>
        <v>0.23529411764705882</v>
      </c>
      <c r="L337">
        <f t="shared" si="41"/>
        <v>0.49748743718592964</v>
      </c>
      <c r="M337">
        <f t="shared" si="42"/>
        <v>0.5901639344262295</v>
      </c>
      <c r="N337">
        <f t="shared" si="43"/>
        <v>0.17171717171717171</v>
      </c>
      <c r="O337">
        <f t="shared" si="44"/>
        <v>0</v>
      </c>
      <c r="P337">
        <f t="shared" si="45"/>
        <v>0.38152011922503731</v>
      </c>
      <c r="Q337">
        <f t="shared" si="46"/>
        <v>9.2228864218616549E-2</v>
      </c>
      <c r="R337">
        <f t="shared" si="47"/>
        <v>0.11666666666666667</v>
      </c>
    </row>
    <row r="338" spans="1:18" x14ac:dyDescent="0.3">
      <c r="A338">
        <v>8</v>
      </c>
      <c r="B338">
        <v>194</v>
      </c>
      <c r="C338">
        <v>80</v>
      </c>
      <c r="D338">
        <v>0</v>
      </c>
      <c r="E338">
        <v>0</v>
      </c>
      <c r="F338">
        <v>26.1</v>
      </c>
      <c r="G338">
        <v>0.55100000000000005</v>
      </c>
      <c r="H338">
        <v>67</v>
      </c>
      <c r="I338">
        <v>0</v>
      </c>
      <c r="K338">
        <f t="shared" si="40"/>
        <v>0.47058823529411764</v>
      </c>
      <c r="L338">
        <f t="shared" si="41"/>
        <v>0.97487437185929648</v>
      </c>
      <c r="M338">
        <f t="shared" si="42"/>
        <v>0.65573770491803274</v>
      </c>
      <c r="N338">
        <f t="shared" si="43"/>
        <v>0</v>
      </c>
      <c r="O338">
        <f t="shared" si="44"/>
        <v>0</v>
      </c>
      <c r="P338">
        <f t="shared" si="45"/>
        <v>0.38897168405365135</v>
      </c>
      <c r="Q338">
        <f t="shared" si="46"/>
        <v>0.20196413321947054</v>
      </c>
      <c r="R338">
        <f t="shared" si="47"/>
        <v>0.76666666666666672</v>
      </c>
    </row>
    <row r="339" spans="1:18" x14ac:dyDescent="0.3">
      <c r="A339">
        <v>2</v>
      </c>
      <c r="B339">
        <v>83</v>
      </c>
      <c r="C339">
        <v>65</v>
      </c>
      <c r="D339">
        <v>28</v>
      </c>
      <c r="E339">
        <v>66</v>
      </c>
      <c r="F339">
        <v>36.799999999999997</v>
      </c>
      <c r="G339">
        <v>0.629</v>
      </c>
      <c r="H339">
        <v>24</v>
      </c>
      <c r="I339">
        <v>0</v>
      </c>
      <c r="K339">
        <f t="shared" si="40"/>
        <v>0.11764705882352941</v>
      </c>
      <c r="L339">
        <f t="shared" si="41"/>
        <v>0.41708542713567837</v>
      </c>
      <c r="M339">
        <f t="shared" si="42"/>
        <v>0.53278688524590168</v>
      </c>
      <c r="N339">
        <f t="shared" si="43"/>
        <v>0.28282828282828282</v>
      </c>
      <c r="O339">
        <f t="shared" si="44"/>
        <v>7.8014184397163122E-2</v>
      </c>
      <c r="P339">
        <f t="shared" si="45"/>
        <v>0.54843517138599107</v>
      </c>
      <c r="Q339">
        <f t="shared" si="46"/>
        <v>0.23526900085397098</v>
      </c>
      <c r="R339">
        <f t="shared" si="47"/>
        <v>0.05</v>
      </c>
    </row>
    <row r="340" spans="1:18" x14ac:dyDescent="0.3">
      <c r="A340">
        <v>2</v>
      </c>
      <c r="B340">
        <v>89</v>
      </c>
      <c r="C340">
        <v>90</v>
      </c>
      <c r="D340">
        <v>30</v>
      </c>
      <c r="E340">
        <v>0</v>
      </c>
      <c r="F340">
        <v>33.5</v>
      </c>
      <c r="G340">
        <v>0.29199999999999998</v>
      </c>
      <c r="H340">
        <v>42</v>
      </c>
      <c r="I340">
        <v>0</v>
      </c>
      <c r="K340">
        <f t="shared" si="40"/>
        <v>0.11764705882352941</v>
      </c>
      <c r="L340">
        <f t="shared" si="41"/>
        <v>0.44723618090452261</v>
      </c>
      <c r="M340">
        <f t="shared" si="42"/>
        <v>0.73770491803278693</v>
      </c>
      <c r="N340">
        <f t="shared" si="43"/>
        <v>0.30303030303030304</v>
      </c>
      <c r="O340">
        <f t="shared" si="44"/>
        <v>0</v>
      </c>
      <c r="P340">
        <f t="shared" si="45"/>
        <v>0.49925484351713867</v>
      </c>
      <c r="Q340">
        <f t="shared" si="46"/>
        <v>9.1374893253629366E-2</v>
      </c>
      <c r="R340">
        <f t="shared" si="47"/>
        <v>0.35</v>
      </c>
    </row>
    <row r="341" spans="1:18" x14ac:dyDescent="0.3">
      <c r="A341">
        <v>4</v>
      </c>
      <c r="B341">
        <v>99</v>
      </c>
      <c r="C341">
        <v>68</v>
      </c>
      <c r="D341">
        <v>38</v>
      </c>
      <c r="E341">
        <v>0</v>
      </c>
      <c r="F341">
        <v>32.799999999999997</v>
      </c>
      <c r="G341">
        <v>0.14499999999999999</v>
      </c>
      <c r="H341">
        <v>33</v>
      </c>
      <c r="I341">
        <v>0</v>
      </c>
      <c r="K341">
        <f t="shared" si="40"/>
        <v>0.23529411764705882</v>
      </c>
      <c r="L341">
        <f t="shared" si="41"/>
        <v>0.49748743718592964</v>
      </c>
      <c r="M341">
        <f t="shared" si="42"/>
        <v>0.55737704918032782</v>
      </c>
      <c r="N341">
        <f t="shared" si="43"/>
        <v>0.38383838383838381</v>
      </c>
      <c r="O341">
        <f t="shared" si="44"/>
        <v>0</v>
      </c>
      <c r="P341">
        <f t="shared" si="45"/>
        <v>0.48882265275707898</v>
      </c>
      <c r="Q341">
        <f t="shared" si="46"/>
        <v>2.8608027327070875E-2</v>
      </c>
      <c r="R341">
        <f t="shared" si="47"/>
        <v>0.2</v>
      </c>
    </row>
    <row r="342" spans="1:18" x14ac:dyDescent="0.3">
      <c r="A342">
        <v>4</v>
      </c>
      <c r="B342">
        <v>125</v>
      </c>
      <c r="C342">
        <v>70</v>
      </c>
      <c r="D342">
        <v>18</v>
      </c>
      <c r="E342">
        <v>122</v>
      </c>
      <c r="F342">
        <v>28.9</v>
      </c>
      <c r="G342">
        <v>1.1439999999999999</v>
      </c>
      <c r="H342">
        <v>45</v>
      </c>
      <c r="I342">
        <v>1</v>
      </c>
      <c r="K342">
        <f t="shared" si="40"/>
        <v>0.23529411764705882</v>
      </c>
      <c r="L342">
        <f t="shared" si="41"/>
        <v>0.62814070351758799</v>
      </c>
      <c r="M342">
        <f t="shared" si="42"/>
        <v>0.57377049180327866</v>
      </c>
      <c r="N342">
        <f t="shared" si="43"/>
        <v>0.18181818181818182</v>
      </c>
      <c r="O342">
        <f t="shared" si="44"/>
        <v>0.14420803782505912</v>
      </c>
      <c r="P342">
        <f t="shared" si="45"/>
        <v>0.43070044709388972</v>
      </c>
      <c r="Q342">
        <f t="shared" si="46"/>
        <v>0.4551665243381724</v>
      </c>
      <c r="R342">
        <f t="shared" si="47"/>
        <v>0.4</v>
      </c>
    </row>
    <row r="343" spans="1:18" x14ac:dyDescent="0.3">
      <c r="A343">
        <v>3</v>
      </c>
      <c r="B343">
        <v>80</v>
      </c>
      <c r="C343">
        <v>0</v>
      </c>
      <c r="D343">
        <v>0</v>
      </c>
      <c r="E343">
        <v>0</v>
      </c>
      <c r="F343">
        <v>0</v>
      </c>
      <c r="G343">
        <v>0.17399999999999999</v>
      </c>
      <c r="H343">
        <v>22</v>
      </c>
      <c r="I343">
        <v>0</v>
      </c>
      <c r="K343">
        <f t="shared" si="40"/>
        <v>0.17647058823529413</v>
      </c>
      <c r="L343">
        <f t="shared" si="41"/>
        <v>0.4020100502512563</v>
      </c>
      <c r="M343">
        <f t="shared" si="42"/>
        <v>0</v>
      </c>
      <c r="N343">
        <f t="shared" si="43"/>
        <v>0</v>
      </c>
      <c r="O343">
        <f t="shared" si="44"/>
        <v>0</v>
      </c>
      <c r="P343">
        <f t="shared" si="45"/>
        <v>0</v>
      </c>
      <c r="Q343">
        <f t="shared" si="46"/>
        <v>4.0990606319385135E-2</v>
      </c>
      <c r="R343">
        <f t="shared" si="47"/>
        <v>1.6666666666666666E-2</v>
      </c>
    </row>
    <row r="344" spans="1:18" x14ac:dyDescent="0.3">
      <c r="A344">
        <v>6</v>
      </c>
      <c r="B344">
        <v>166</v>
      </c>
      <c r="C344">
        <v>74</v>
      </c>
      <c r="D344">
        <v>0</v>
      </c>
      <c r="E344">
        <v>0</v>
      </c>
      <c r="F344">
        <v>26.6</v>
      </c>
      <c r="G344">
        <v>0.30399999999999999</v>
      </c>
      <c r="H344">
        <v>66</v>
      </c>
      <c r="I344">
        <v>0</v>
      </c>
      <c r="K344">
        <f t="shared" si="40"/>
        <v>0.35294117647058826</v>
      </c>
      <c r="L344">
        <f t="shared" si="41"/>
        <v>0.83417085427135673</v>
      </c>
      <c r="M344">
        <f t="shared" si="42"/>
        <v>0.60655737704918034</v>
      </c>
      <c r="N344">
        <f t="shared" si="43"/>
        <v>0</v>
      </c>
      <c r="O344">
        <f t="shared" si="44"/>
        <v>0</v>
      </c>
      <c r="P344">
        <f t="shared" si="45"/>
        <v>0.39642324888226532</v>
      </c>
      <c r="Q344">
        <f t="shared" si="46"/>
        <v>9.6498719043552506E-2</v>
      </c>
      <c r="R344">
        <f t="shared" si="47"/>
        <v>0.75</v>
      </c>
    </row>
    <row r="345" spans="1:18" x14ac:dyDescent="0.3">
      <c r="A345">
        <v>5</v>
      </c>
      <c r="B345">
        <v>110</v>
      </c>
      <c r="C345">
        <v>68</v>
      </c>
      <c r="D345">
        <v>0</v>
      </c>
      <c r="E345">
        <v>0</v>
      </c>
      <c r="F345">
        <v>26</v>
      </c>
      <c r="G345">
        <v>0.29199999999999998</v>
      </c>
      <c r="H345">
        <v>30</v>
      </c>
      <c r="I345">
        <v>0</v>
      </c>
      <c r="K345">
        <f t="shared" si="40"/>
        <v>0.29411764705882354</v>
      </c>
      <c r="L345">
        <f t="shared" si="41"/>
        <v>0.55276381909547734</v>
      </c>
      <c r="M345">
        <f t="shared" si="42"/>
        <v>0.55737704918032782</v>
      </c>
      <c r="N345">
        <f t="shared" si="43"/>
        <v>0</v>
      </c>
      <c r="O345">
        <f t="shared" si="44"/>
        <v>0</v>
      </c>
      <c r="P345">
        <f t="shared" si="45"/>
        <v>0.38748137108792852</v>
      </c>
      <c r="Q345">
        <f t="shared" si="46"/>
        <v>9.1374893253629366E-2</v>
      </c>
      <c r="R345">
        <f t="shared" si="47"/>
        <v>0.15</v>
      </c>
    </row>
    <row r="346" spans="1:18" x14ac:dyDescent="0.3">
      <c r="A346">
        <v>2</v>
      </c>
      <c r="B346">
        <v>81</v>
      </c>
      <c r="C346">
        <v>72</v>
      </c>
      <c r="D346">
        <v>15</v>
      </c>
      <c r="E346">
        <v>76</v>
      </c>
      <c r="F346">
        <v>30.1</v>
      </c>
      <c r="G346">
        <v>0.54700000000000004</v>
      </c>
      <c r="H346">
        <v>25</v>
      </c>
      <c r="I346">
        <v>0</v>
      </c>
      <c r="K346">
        <f t="shared" si="40"/>
        <v>0.11764705882352941</v>
      </c>
      <c r="L346">
        <f t="shared" si="41"/>
        <v>0.40703517587939697</v>
      </c>
      <c r="M346">
        <f t="shared" si="42"/>
        <v>0.5901639344262295</v>
      </c>
      <c r="N346">
        <f t="shared" si="43"/>
        <v>0.15151515151515152</v>
      </c>
      <c r="O346">
        <f t="shared" si="44"/>
        <v>8.9834515366430265E-2</v>
      </c>
      <c r="P346">
        <f t="shared" si="45"/>
        <v>0.44858420268256338</v>
      </c>
      <c r="Q346">
        <f t="shared" si="46"/>
        <v>0.20025619128949615</v>
      </c>
      <c r="R346">
        <f t="shared" si="47"/>
        <v>6.6666666666666666E-2</v>
      </c>
    </row>
    <row r="347" spans="1:18" x14ac:dyDescent="0.3">
      <c r="A347">
        <v>7</v>
      </c>
      <c r="B347">
        <v>195</v>
      </c>
      <c r="C347">
        <v>70</v>
      </c>
      <c r="D347">
        <v>33</v>
      </c>
      <c r="E347">
        <v>145</v>
      </c>
      <c r="F347">
        <v>25.1</v>
      </c>
      <c r="G347">
        <v>0.16300000000000001</v>
      </c>
      <c r="H347">
        <v>55</v>
      </c>
      <c r="I347">
        <v>1</v>
      </c>
      <c r="K347">
        <f t="shared" si="40"/>
        <v>0.41176470588235292</v>
      </c>
      <c r="L347">
        <f t="shared" si="41"/>
        <v>0.97989949748743721</v>
      </c>
      <c r="M347">
        <f t="shared" si="42"/>
        <v>0.57377049180327866</v>
      </c>
      <c r="N347">
        <f t="shared" si="43"/>
        <v>0.33333333333333331</v>
      </c>
      <c r="O347">
        <f t="shared" si="44"/>
        <v>0.17139479905437352</v>
      </c>
      <c r="P347">
        <f t="shared" si="45"/>
        <v>0.37406855439642328</v>
      </c>
      <c r="Q347">
        <f t="shared" si="46"/>
        <v>3.6293766011955594E-2</v>
      </c>
      <c r="R347">
        <f t="shared" si="47"/>
        <v>0.56666666666666665</v>
      </c>
    </row>
    <row r="348" spans="1:18" x14ac:dyDescent="0.3">
      <c r="A348">
        <v>6</v>
      </c>
      <c r="B348">
        <v>154</v>
      </c>
      <c r="C348">
        <v>74</v>
      </c>
      <c r="D348">
        <v>32</v>
      </c>
      <c r="E348">
        <v>193</v>
      </c>
      <c r="F348">
        <v>29.3</v>
      </c>
      <c r="G348">
        <v>0.83899999999999997</v>
      </c>
      <c r="H348">
        <v>39</v>
      </c>
      <c r="I348">
        <v>0</v>
      </c>
      <c r="K348">
        <f t="shared" si="40"/>
        <v>0.35294117647058826</v>
      </c>
      <c r="L348">
        <f t="shared" si="41"/>
        <v>0.77386934673366836</v>
      </c>
      <c r="M348">
        <f t="shared" si="42"/>
        <v>0.60655737704918034</v>
      </c>
      <c r="N348">
        <f t="shared" si="43"/>
        <v>0.32323232323232326</v>
      </c>
      <c r="O348">
        <f t="shared" si="44"/>
        <v>0.22813238770685579</v>
      </c>
      <c r="P348">
        <f t="shared" si="45"/>
        <v>0.43666169895678097</v>
      </c>
      <c r="Q348">
        <f t="shared" si="46"/>
        <v>0.32493595217762594</v>
      </c>
      <c r="R348">
        <f t="shared" si="47"/>
        <v>0.3</v>
      </c>
    </row>
    <row r="349" spans="1:18" x14ac:dyDescent="0.3">
      <c r="A349">
        <v>2</v>
      </c>
      <c r="B349">
        <v>117</v>
      </c>
      <c r="C349">
        <v>90</v>
      </c>
      <c r="D349">
        <v>19</v>
      </c>
      <c r="E349">
        <v>71</v>
      </c>
      <c r="F349">
        <v>25.2</v>
      </c>
      <c r="G349">
        <v>0.313</v>
      </c>
      <c r="H349">
        <v>21</v>
      </c>
      <c r="I349">
        <v>0</v>
      </c>
      <c r="K349">
        <f t="shared" si="40"/>
        <v>0.11764705882352941</v>
      </c>
      <c r="L349">
        <f t="shared" si="41"/>
        <v>0.5879396984924623</v>
      </c>
      <c r="M349">
        <f t="shared" si="42"/>
        <v>0.73770491803278693</v>
      </c>
      <c r="N349">
        <f t="shared" si="43"/>
        <v>0.19191919191919191</v>
      </c>
      <c r="O349">
        <f t="shared" si="44"/>
        <v>8.3924349881796687E-2</v>
      </c>
      <c r="P349">
        <f t="shared" si="45"/>
        <v>0.37555886736214605</v>
      </c>
      <c r="Q349">
        <f t="shared" si="46"/>
        <v>0.10034158838599487</v>
      </c>
      <c r="R349">
        <f t="shared" si="47"/>
        <v>0</v>
      </c>
    </row>
    <row r="350" spans="1:18" x14ac:dyDescent="0.3">
      <c r="A350">
        <v>3</v>
      </c>
      <c r="B350">
        <v>84</v>
      </c>
      <c r="C350">
        <v>72</v>
      </c>
      <c r="D350">
        <v>32</v>
      </c>
      <c r="E350">
        <v>0</v>
      </c>
      <c r="F350">
        <v>37.200000000000003</v>
      </c>
      <c r="G350">
        <v>0.26700000000000002</v>
      </c>
      <c r="H350">
        <v>28</v>
      </c>
      <c r="I350">
        <v>0</v>
      </c>
      <c r="K350">
        <f t="shared" si="40"/>
        <v>0.17647058823529413</v>
      </c>
      <c r="L350">
        <f t="shared" si="41"/>
        <v>0.42211055276381909</v>
      </c>
      <c r="M350">
        <f t="shared" si="42"/>
        <v>0.5901639344262295</v>
      </c>
      <c r="N350">
        <f t="shared" si="43"/>
        <v>0.32323232323232326</v>
      </c>
      <c r="O350">
        <f t="shared" si="44"/>
        <v>0</v>
      </c>
      <c r="P350">
        <f t="shared" si="45"/>
        <v>0.55439642324888239</v>
      </c>
      <c r="Q350">
        <f t="shared" si="46"/>
        <v>8.0700256191289496E-2</v>
      </c>
      <c r="R350">
        <f t="shared" si="47"/>
        <v>0.11666666666666667</v>
      </c>
    </row>
    <row r="351" spans="1:18" x14ac:dyDescent="0.3">
      <c r="A351">
        <v>6</v>
      </c>
      <c r="B351">
        <v>0</v>
      </c>
      <c r="C351">
        <v>68</v>
      </c>
      <c r="D351">
        <v>41</v>
      </c>
      <c r="E351">
        <v>0</v>
      </c>
      <c r="F351">
        <v>39</v>
      </c>
      <c r="G351">
        <v>0.72699999999999998</v>
      </c>
      <c r="H351">
        <v>41</v>
      </c>
      <c r="I351">
        <v>1</v>
      </c>
      <c r="K351">
        <f t="shared" si="40"/>
        <v>0.35294117647058826</v>
      </c>
      <c r="L351">
        <f t="shared" si="41"/>
        <v>0</v>
      </c>
      <c r="M351">
        <f t="shared" si="42"/>
        <v>0.55737704918032782</v>
      </c>
      <c r="N351">
        <f t="shared" si="43"/>
        <v>0.41414141414141414</v>
      </c>
      <c r="O351">
        <f t="shared" si="44"/>
        <v>0</v>
      </c>
      <c r="P351">
        <f t="shared" si="45"/>
        <v>0.58122205663189275</v>
      </c>
      <c r="Q351">
        <f t="shared" si="46"/>
        <v>0.27711357813834331</v>
      </c>
      <c r="R351">
        <f t="shared" si="47"/>
        <v>0.33333333333333331</v>
      </c>
    </row>
    <row r="352" spans="1:18" x14ac:dyDescent="0.3">
      <c r="A352">
        <v>7</v>
      </c>
      <c r="B352">
        <v>94</v>
      </c>
      <c r="C352">
        <v>64</v>
      </c>
      <c r="D352">
        <v>25</v>
      </c>
      <c r="E352">
        <v>79</v>
      </c>
      <c r="F352">
        <v>33.299999999999997</v>
      </c>
      <c r="G352">
        <v>0.73799999999999999</v>
      </c>
      <c r="H352">
        <v>41</v>
      </c>
      <c r="I352">
        <v>0</v>
      </c>
      <c r="K352">
        <f t="shared" si="40"/>
        <v>0.41176470588235292</v>
      </c>
      <c r="L352">
        <f t="shared" si="41"/>
        <v>0.47236180904522612</v>
      </c>
      <c r="M352">
        <f t="shared" si="42"/>
        <v>0.52459016393442626</v>
      </c>
      <c r="N352">
        <f t="shared" si="43"/>
        <v>0.25252525252525254</v>
      </c>
      <c r="O352">
        <f t="shared" si="44"/>
        <v>9.3380614657210398E-2</v>
      </c>
      <c r="P352">
        <f t="shared" si="45"/>
        <v>0.49627421758569301</v>
      </c>
      <c r="Q352">
        <f t="shared" si="46"/>
        <v>0.28181041844577287</v>
      </c>
      <c r="R352">
        <f t="shared" si="47"/>
        <v>0.33333333333333331</v>
      </c>
    </row>
    <row r="353" spans="1:18" x14ac:dyDescent="0.3">
      <c r="A353">
        <v>3</v>
      </c>
      <c r="B353">
        <v>96</v>
      </c>
      <c r="C353">
        <v>78</v>
      </c>
      <c r="D353">
        <v>39</v>
      </c>
      <c r="E353">
        <v>0</v>
      </c>
      <c r="F353">
        <v>37.299999999999997</v>
      </c>
      <c r="G353">
        <v>0.23799999999999999</v>
      </c>
      <c r="H353">
        <v>40</v>
      </c>
      <c r="I353">
        <v>0</v>
      </c>
      <c r="K353">
        <f t="shared" si="40"/>
        <v>0.17647058823529413</v>
      </c>
      <c r="L353">
        <f t="shared" si="41"/>
        <v>0.48241206030150752</v>
      </c>
      <c r="M353">
        <f t="shared" si="42"/>
        <v>0.63934426229508201</v>
      </c>
      <c r="N353">
        <f t="shared" si="43"/>
        <v>0.39393939393939392</v>
      </c>
      <c r="O353">
        <f t="shared" si="44"/>
        <v>0</v>
      </c>
      <c r="P353">
        <f t="shared" si="45"/>
        <v>0.55588673621460505</v>
      </c>
      <c r="Q353">
        <f t="shared" si="46"/>
        <v>6.8317677198975219E-2</v>
      </c>
      <c r="R353">
        <f t="shared" si="47"/>
        <v>0.31666666666666665</v>
      </c>
    </row>
    <row r="354" spans="1:18" x14ac:dyDescent="0.3">
      <c r="A354">
        <v>10</v>
      </c>
      <c r="B354">
        <v>75</v>
      </c>
      <c r="C354">
        <v>82</v>
      </c>
      <c r="D354">
        <v>0</v>
      </c>
      <c r="E354">
        <v>0</v>
      </c>
      <c r="F354">
        <v>33.299999999999997</v>
      </c>
      <c r="G354">
        <v>0.26300000000000001</v>
      </c>
      <c r="H354">
        <v>38</v>
      </c>
      <c r="I354">
        <v>0</v>
      </c>
      <c r="K354">
        <f t="shared" si="40"/>
        <v>0.58823529411764708</v>
      </c>
      <c r="L354">
        <f t="shared" si="41"/>
        <v>0.37688442211055279</v>
      </c>
      <c r="M354">
        <f t="shared" si="42"/>
        <v>0.67213114754098358</v>
      </c>
      <c r="N354">
        <f t="shared" si="43"/>
        <v>0</v>
      </c>
      <c r="O354">
        <f t="shared" si="44"/>
        <v>0</v>
      </c>
      <c r="P354">
        <f t="shared" si="45"/>
        <v>0.49627421758569301</v>
      </c>
      <c r="Q354">
        <f t="shared" si="46"/>
        <v>7.8992314261315116E-2</v>
      </c>
      <c r="R354">
        <f t="shared" si="47"/>
        <v>0.28333333333333333</v>
      </c>
    </row>
    <row r="355" spans="1:18" x14ac:dyDescent="0.3">
      <c r="A355">
        <v>0</v>
      </c>
      <c r="B355">
        <v>180</v>
      </c>
      <c r="C355">
        <v>90</v>
      </c>
      <c r="D355">
        <v>26</v>
      </c>
      <c r="E355">
        <v>90</v>
      </c>
      <c r="F355">
        <v>36.5</v>
      </c>
      <c r="G355">
        <v>0.314</v>
      </c>
      <c r="H355">
        <v>35</v>
      </c>
      <c r="I355">
        <v>1</v>
      </c>
      <c r="K355">
        <f t="shared" si="40"/>
        <v>0</v>
      </c>
      <c r="L355">
        <f t="shared" si="41"/>
        <v>0.90452261306532666</v>
      </c>
      <c r="M355">
        <f t="shared" si="42"/>
        <v>0.73770491803278693</v>
      </c>
      <c r="N355">
        <f t="shared" si="43"/>
        <v>0.26262626262626265</v>
      </c>
      <c r="O355">
        <f t="shared" si="44"/>
        <v>0.10638297872340426</v>
      </c>
      <c r="P355">
        <f t="shared" si="45"/>
        <v>0.54396423248882275</v>
      </c>
      <c r="Q355">
        <f t="shared" si="46"/>
        <v>0.10076857386848846</v>
      </c>
      <c r="R355">
        <f t="shared" si="47"/>
        <v>0.23333333333333334</v>
      </c>
    </row>
    <row r="356" spans="1:18" x14ac:dyDescent="0.3">
      <c r="A356">
        <v>1</v>
      </c>
      <c r="B356">
        <v>130</v>
      </c>
      <c r="C356">
        <v>60</v>
      </c>
      <c r="D356">
        <v>23</v>
      </c>
      <c r="E356">
        <v>170</v>
      </c>
      <c r="F356">
        <v>28.6</v>
      </c>
      <c r="G356">
        <v>0.69199999999999995</v>
      </c>
      <c r="H356">
        <v>21</v>
      </c>
      <c r="I356">
        <v>0</v>
      </c>
      <c r="K356">
        <f t="shared" si="40"/>
        <v>5.8823529411764705E-2</v>
      </c>
      <c r="L356">
        <f t="shared" si="41"/>
        <v>0.65326633165829151</v>
      </c>
      <c r="M356">
        <f t="shared" si="42"/>
        <v>0.49180327868852458</v>
      </c>
      <c r="N356">
        <f t="shared" si="43"/>
        <v>0.23232323232323232</v>
      </c>
      <c r="O356">
        <f t="shared" si="44"/>
        <v>0.20094562647754138</v>
      </c>
      <c r="P356">
        <f t="shared" si="45"/>
        <v>0.4262295081967214</v>
      </c>
      <c r="Q356">
        <f t="shared" si="46"/>
        <v>0.26216908625106744</v>
      </c>
      <c r="R356">
        <f t="shared" si="47"/>
        <v>0</v>
      </c>
    </row>
    <row r="357" spans="1:18" x14ac:dyDescent="0.3">
      <c r="A357">
        <v>2</v>
      </c>
      <c r="B357">
        <v>84</v>
      </c>
      <c r="C357">
        <v>50</v>
      </c>
      <c r="D357">
        <v>23</v>
      </c>
      <c r="E357">
        <v>76</v>
      </c>
      <c r="F357">
        <v>30.4</v>
      </c>
      <c r="G357">
        <v>0.96799999999999997</v>
      </c>
      <c r="H357">
        <v>21</v>
      </c>
      <c r="I357">
        <v>0</v>
      </c>
      <c r="K357">
        <f t="shared" si="40"/>
        <v>0.11764705882352941</v>
      </c>
      <c r="L357">
        <f t="shared" si="41"/>
        <v>0.42211055276381909</v>
      </c>
      <c r="M357">
        <f t="shared" si="42"/>
        <v>0.4098360655737705</v>
      </c>
      <c r="N357">
        <f t="shared" si="43"/>
        <v>0.23232323232323232</v>
      </c>
      <c r="O357">
        <f t="shared" si="44"/>
        <v>8.9834515366430265E-2</v>
      </c>
      <c r="P357">
        <f t="shared" si="45"/>
        <v>0.45305514157973176</v>
      </c>
      <c r="Q357">
        <f t="shared" si="46"/>
        <v>0.38001707941929974</v>
      </c>
      <c r="R357">
        <f t="shared" si="47"/>
        <v>0</v>
      </c>
    </row>
    <row r="358" spans="1:18" x14ac:dyDescent="0.3">
      <c r="A358">
        <v>8</v>
      </c>
      <c r="B358">
        <v>120</v>
      </c>
      <c r="C358">
        <v>78</v>
      </c>
      <c r="D358">
        <v>0</v>
      </c>
      <c r="E358">
        <v>0</v>
      </c>
      <c r="F358">
        <v>25</v>
      </c>
      <c r="G358">
        <v>0.40899999999999997</v>
      </c>
      <c r="H358">
        <v>64</v>
      </c>
      <c r="I358">
        <v>0</v>
      </c>
      <c r="K358">
        <f t="shared" si="40"/>
        <v>0.47058823529411764</v>
      </c>
      <c r="L358">
        <f t="shared" si="41"/>
        <v>0.60301507537688437</v>
      </c>
      <c r="M358">
        <f t="shared" si="42"/>
        <v>0.63934426229508201</v>
      </c>
      <c r="N358">
        <f t="shared" si="43"/>
        <v>0</v>
      </c>
      <c r="O358">
        <f t="shared" si="44"/>
        <v>0</v>
      </c>
      <c r="P358">
        <f t="shared" si="45"/>
        <v>0.37257824143070045</v>
      </c>
      <c r="Q358">
        <f t="shared" si="46"/>
        <v>0.14133219470538</v>
      </c>
      <c r="R358">
        <f t="shared" si="47"/>
        <v>0.71666666666666667</v>
      </c>
    </row>
    <row r="359" spans="1:18" x14ac:dyDescent="0.3">
      <c r="A359">
        <v>12</v>
      </c>
      <c r="B359">
        <v>84</v>
      </c>
      <c r="C359">
        <v>72</v>
      </c>
      <c r="D359">
        <v>31</v>
      </c>
      <c r="E359">
        <v>0</v>
      </c>
      <c r="F359">
        <v>29.7</v>
      </c>
      <c r="G359">
        <v>0.29699999999999999</v>
      </c>
      <c r="H359">
        <v>46</v>
      </c>
      <c r="I359">
        <v>1</v>
      </c>
      <c r="K359">
        <f t="shared" si="40"/>
        <v>0.70588235294117652</v>
      </c>
      <c r="L359">
        <f t="shared" si="41"/>
        <v>0.42211055276381909</v>
      </c>
      <c r="M359">
        <f t="shared" si="42"/>
        <v>0.5901639344262295</v>
      </c>
      <c r="N359">
        <f t="shared" si="43"/>
        <v>0.31313131313131315</v>
      </c>
      <c r="O359">
        <f t="shared" si="44"/>
        <v>0</v>
      </c>
      <c r="P359">
        <f t="shared" si="45"/>
        <v>0.44262295081967218</v>
      </c>
      <c r="Q359">
        <f t="shared" si="46"/>
        <v>9.3509820666097337E-2</v>
      </c>
      <c r="R359">
        <f t="shared" si="47"/>
        <v>0.41666666666666669</v>
      </c>
    </row>
    <row r="360" spans="1:18" x14ac:dyDescent="0.3">
      <c r="A360">
        <v>0</v>
      </c>
      <c r="B360">
        <v>139</v>
      </c>
      <c r="C360">
        <v>62</v>
      </c>
      <c r="D360">
        <v>17</v>
      </c>
      <c r="E360">
        <v>210</v>
      </c>
      <c r="F360">
        <v>22.1</v>
      </c>
      <c r="G360">
        <v>0.20699999999999999</v>
      </c>
      <c r="H360">
        <v>21</v>
      </c>
      <c r="I360">
        <v>0</v>
      </c>
      <c r="K360">
        <f t="shared" si="40"/>
        <v>0</v>
      </c>
      <c r="L360">
        <f t="shared" si="41"/>
        <v>0.69849246231155782</v>
      </c>
      <c r="M360">
        <f t="shared" si="42"/>
        <v>0.50819672131147542</v>
      </c>
      <c r="N360">
        <f t="shared" si="43"/>
        <v>0.17171717171717171</v>
      </c>
      <c r="O360">
        <f t="shared" si="44"/>
        <v>0.24822695035460993</v>
      </c>
      <c r="P360">
        <f t="shared" si="45"/>
        <v>0.32935916542473925</v>
      </c>
      <c r="Q360">
        <f t="shared" si="46"/>
        <v>5.5081127241673786E-2</v>
      </c>
      <c r="R360">
        <f t="shared" si="47"/>
        <v>0</v>
      </c>
    </row>
    <row r="361" spans="1:18" x14ac:dyDescent="0.3">
      <c r="A361">
        <v>9</v>
      </c>
      <c r="B361">
        <v>91</v>
      </c>
      <c r="C361">
        <v>68</v>
      </c>
      <c r="D361">
        <v>0</v>
      </c>
      <c r="E361">
        <v>0</v>
      </c>
      <c r="F361">
        <v>24.2</v>
      </c>
      <c r="G361">
        <v>0.2</v>
      </c>
      <c r="H361">
        <v>58</v>
      </c>
      <c r="I361">
        <v>0</v>
      </c>
      <c r="K361">
        <f t="shared" si="40"/>
        <v>0.52941176470588236</v>
      </c>
      <c r="L361">
        <f t="shared" si="41"/>
        <v>0.457286432160804</v>
      </c>
      <c r="M361">
        <f t="shared" si="42"/>
        <v>0.55737704918032782</v>
      </c>
      <c r="N361">
        <f t="shared" si="43"/>
        <v>0</v>
      </c>
      <c r="O361">
        <f t="shared" si="44"/>
        <v>0</v>
      </c>
      <c r="P361">
        <f t="shared" si="45"/>
        <v>0.36065573770491804</v>
      </c>
      <c r="Q361">
        <f t="shared" si="46"/>
        <v>5.2092228864218618E-2</v>
      </c>
      <c r="R361">
        <f t="shared" si="47"/>
        <v>0.6166666666666667</v>
      </c>
    </row>
    <row r="362" spans="1:18" x14ac:dyDescent="0.3">
      <c r="A362">
        <v>2</v>
      </c>
      <c r="B362">
        <v>91</v>
      </c>
      <c r="C362">
        <v>62</v>
      </c>
      <c r="D362">
        <v>0</v>
      </c>
      <c r="E362">
        <v>0</v>
      </c>
      <c r="F362">
        <v>27.3</v>
      </c>
      <c r="G362">
        <v>0.52500000000000002</v>
      </c>
      <c r="H362">
        <v>22</v>
      </c>
      <c r="I362">
        <v>0</v>
      </c>
      <c r="K362">
        <f t="shared" si="40"/>
        <v>0.11764705882352941</v>
      </c>
      <c r="L362">
        <f t="shared" si="41"/>
        <v>0.457286432160804</v>
      </c>
      <c r="M362">
        <f t="shared" si="42"/>
        <v>0.50819672131147542</v>
      </c>
      <c r="N362">
        <f t="shared" si="43"/>
        <v>0</v>
      </c>
      <c r="O362">
        <f t="shared" si="44"/>
        <v>0</v>
      </c>
      <c r="P362">
        <f t="shared" si="45"/>
        <v>0.40685543964232496</v>
      </c>
      <c r="Q362">
        <f t="shared" si="46"/>
        <v>0.19086251067463705</v>
      </c>
      <c r="R362">
        <f t="shared" si="47"/>
        <v>1.6666666666666666E-2</v>
      </c>
    </row>
    <row r="363" spans="1:18" x14ac:dyDescent="0.3">
      <c r="A363">
        <v>3</v>
      </c>
      <c r="B363">
        <v>99</v>
      </c>
      <c r="C363">
        <v>54</v>
      </c>
      <c r="D363">
        <v>19</v>
      </c>
      <c r="E363">
        <v>86</v>
      </c>
      <c r="F363">
        <v>25.6</v>
      </c>
      <c r="G363">
        <v>0.154</v>
      </c>
      <c r="H363">
        <v>24</v>
      </c>
      <c r="I363">
        <v>0</v>
      </c>
      <c r="K363">
        <f t="shared" si="40"/>
        <v>0.17647058823529413</v>
      </c>
      <c r="L363">
        <f t="shared" si="41"/>
        <v>0.49748743718592964</v>
      </c>
      <c r="M363">
        <f t="shared" si="42"/>
        <v>0.44262295081967212</v>
      </c>
      <c r="N363">
        <f t="shared" si="43"/>
        <v>0.19191919191919191</v>
      </c>
      <c r="O363">
        <f t="shared" si="44"/>
        <v>0.10165484633569739</v>
      </c>
      <c r="P363">
        <f t="shared" si="45"/>
        <v>0.38152011922503731</v>
      </c>
      <c r="Q363">
        <f t="shared" si="46"/>
        <v>3.2450896669513236E-2</v>
      </c>
      <c r="R363">
        <f t="shared" si="47"/>
        <v>0.05</v>
      </c>
    </row>
    <row r="364" spans="1:18" x14ac:dyDescent="0.3">
      <c r="A364">
        <v>3</v>
      </c>
      <c r="B364">
        <v>163</v>
      </c>
      <c r="C364">
        <v>70</v>
      </c>
      <c r="D364">
        <v>18</v>
      </c>
      <c r="E364">
        <v>105</v>
      </c>
      <c r="F364">
        <v>31.6</v>
      </c>
      <c r="G364">
        <v>0.26800000000000002</v>
      </c>
      <c r="H364">
        <v>28</v>
      </c>
      <c r="I364">
        <v>1</v>
      </c>
      <c r="K364">
        <f t="shared" si="40"/>
        <v>0.17647058823529413</v>
      </c>
      <c r="L364">
        <f t="shared" si="41"/>
        <v>0.81909547738693467</v>
      </c>
      <c r="M364">
        <f t="shared" si="42"/>
        <v>0.57377049180327866</v>
      </c>
      <c r="N364">
        <f t="shared" si="43"/>
        <v>0.18181818181818182</v>
      </c>
      <c r="O364">
        <f t="shared" si="44"/>
        <v>0.12411347517730496</v>
      </c>
      <c r="P364">
        <f t="shared" si="45"/>
        <v>0.47093889716840542</v>
      </c>
      <c r="Q364">
        <f t="shared" si="46"/>
        <v>8.1127241673783088E-2</v>
      </c>
      <c r="R364">
        <f t="shared" si="47"/>
        <v>0.11666666666666667</v>
      </c>
    </row>
    <row r="365" spans="1:18" x14ac:dyDescent="0.3">
      <c r="A365">
        <v>9</v>
      </c>
      <c r="B365">
        <v>145</v>
      </c>
      <c r="C365">
        <v>88</v>
      </c>
      <c r="D365">
        <v>34</v>
      </c>
      <c r="E365">
        <v>165</v>
      </c>
      <c r="F365">
        <v>30.3</v>
      </c>
      <c r="G365">
        <v>0.77100000000000002</v>
      </c>
      <c r="H365">
        <v>53</v>
      </c>
      <c r="I365">
        <v>1</v>
      </c>
      <c r="K365">
        <f t="shared" si="40"/>
        <v>0.52941176470588236</v>
      </c>
      <c r="L365">
        <f t="shared" si="41"/>
        <v>0.72864321608040206</v>
      </c>
      <c r="M365">
        <f t="shared" si="42"/>
        <v>0.72131147540983609</v>
      </c>
      <c r="N365">
        <f t="shared" si="43"/>
        <v>0.34343434343434343</v>
      </c>
      <c r="O365">
        <f t="shared" si="44"/>
        <v>0.19503546099290781</v>
      </c>
      <c r="P365">
        <f t="shared" si="45"/>
        <v>0.45156482861400898</v>
      </c>
      <c r="Q365">
        <f t="shared" si="46"/>
        <v>0.2959009393680615</v>
      </c>
      <c r="R365">
        <f t="shared" si="47"/>
        <v>0.53333333333333333</v>
      </c>
    </row>
    <row r="366" spans="1:18" x14ac:dyDescent="0.3">
      <c r="A366">
        <v>7</v>
      </c>
      <c r="B366">
        <v>125</v>
      </c>
      <c r="C366">
        <v>86</v>
      </c>
      <c r="D366">
        <v>0</v>
      </c>
      <c r="E366">
        <v>0</v>
      </c>
      <c r="F366">
        <v>37.6</v>
      </c>
      <c r="G366">
        <v>0.30399999999999999</v>
      </c>
      <c r="H366">
        <v>51</v>
      </c>
      <c r="I366">
        <v>0</v>
      </c>
      <c r="K366">
        <f t="shared" si="40"/>
        <v>0.41176470588235292</v>
      </c>
      <c r="L366">
        <f t="shared" si="41"/>
        <v>0.62814070351758799</v>
      </c>
      <c r="M366">
        <f t="shared" si="42"/>
        <v>0.70491803278688525</v>
      </c>
      <c r="N366">
        <f t="shared" si="43"/>
        <v>0</v>
      </c>
      <c r="O366">
        <f t="shared" si="44"/>
        <v>0</v>
      </c>
      <c r="P366">
        <f t="shared" si="45"/>
        <v>0.56035767511177359</v>
      </c>
      <c r="Q366">
        <f t="shared" si="46"/>
        <v>9.6498719043552506E-2</v>
      </c>
      <c r="R366">
        <f t="shared" si="47"/>
        <v>0.5</v>
      </c>
    </row>
    <row r="367" spans="1:18" x14ac:dyDescent="0.3">
      <c r="A367">
        <v>13</v>
      </c>
      <c r="B367">
        <v>76</v>
      </c>
      <c r="C367">
        <v>60</v>
      </c>
      <c r="D367">
        <v>0</v>
      </c>
      <c r="E367">
        <v>0</v>
      </c>
      <c r="F367">
        <v>32.799999999999997</v>
      </c>
      <c r="G367">
        <v>0.18</v>
      </c>
      <c r="H367">
        <v>41</v>
      </c>
      <c r="I367">
        <v>0</v>
      </c>
      <c r="K367">
        <f t="shared" si="40"/>
        <v>0.76470588235294112</v>
      </c>
      <c r="L367">
        <f t="shared" si="41"/>
        <v>0.38190954773869346</v>
      </c>
      <c r="M367">
        <f t="shared" si="42"/>
        <v>0.49180327868852458</v>
      </c>
      <c r="N367">
        <f t="shared" si="43"/>
        <v>0</v>
      </c>
      <c r="O367">
        <f t="shared" si="44"/>
        <v>0</v>
      </c>
      <c r="P367">
        <f t="shared" si="45"/>
        <v>0.48882265275707898</v>
      </c>
      <c r="Q367">
        <f t="shared" si="46"/>
        <v>4.3552519214346705E-2</v>
      </c>
      <c r="R367">
        <f t="shared" si="47"/>
        <v>0.33333333333333331</v>
      </c>
    </row>
    <row r="368" spans="1:18" x14ac:dyDescent="0.3">
      <c r="A368">
        <v>6</v>
      </c>
      <c r="B368">
        <v>129</v>
      </c>
      <c r="C368">
        <v>90</v>
      </c>
      <c r="D368">
        <v>7</v>
      </c>
      <c r="E368">
        <v>326</v>
      </c>
      <c r="F368">
        <v>19.600000000000001</v>
      </c>
      <c r="G368">
        <v>0.58199999999999996</v>
      </c>
      <c r="H368">
        <v>60</v>
      </c>
      <c r="I368">
        <v>0</v>
      </c>
      <c r="K368">
        <f t="shared" si="40"/>
        <v>0.35294117647058826</v>
      </c>
      <c r="L368">
        <f t="shared" si="41"/>
        <v>0.64824120603015079</v>
      </c>
      <c r="M368">
        <f t="shared" si="42"/>
        <v>0.73770491803278693</v>
      </c>
      <c r="N368">
        <f t="shared" si="43"/>
        <v>7.0707070707070704E-2</v>
      </c>
      <c r="O368">
        <f t="shared" si="44"/>
        <v>0.38534278959810875</v>
      </c>
      <c r="P368">
        <f t="shared" si="45"/>
        <v>0.2921013412816692</v>
      </c>
      <c r="Q368">
        <f t="shared" si="46"/>
        <v>0.21520068317677199</v>
      </c>
      <c r="R368">
        <f t="shared" si="47"/>
        <v>0.65</v>
      </c>
    </row>
    <row r="369" spans="1:18" x14ac:dyDescent="0.3">
      <c r="A369">
        <v>2</v>
      </c>
      <c r="B369">
        <v>68</v>
      </c>
      <c r="C369">
        <v>70</v>
      </c>
      <c r="D369">
        <v>32</v>
      </c>
      <c r="E369">
        <v>66</v>
      </c>
      <c r="F369">
        <v>25</v>
      </c>
      <c r="G369">
        <v>0.187</v>
      </c>
      <c r="H369">
        <v>25</v>
      </c>
      <c r="I369">
        <v>0</v>
      </c>
      <c r="K369">
        <f t="shared" si="40"/>
        <v>0.11764705882352941</v>
      </c>
      <c r="L369">
        <f t="shared" si="41"/>
        <v>0.34170854271356782</v>
      </c>
      <c r="M369">
        <f t="shared" si="42"/>
        <v>0.57377049180327866</v>
      </c>
      <c r="N369">
        <f t="shared" si="43"/>
        <v>0.32323232323232326</v>
      </c>
      <c r="O369">
        <f t="shared" si="44"/>
        <v>7.8014184397163122E-2</v>
      </c>
      <c r="P369">
        <f t="shared" si="45"/>
        <v>0.37257824143070045</v>
      </c>
      <c r="Q369">
        <f t="shared" si="46"/>
        <v>4.654141759180188E-2</v>
      </c>
      <c r="R369">
        <f t="shared" si="47"/>
        <v>6.6666666666666666E-2</v>
      </c>
    </row>
    <row r="370" spans="1:18" x14ac:dyDescent="0.3">
      <c r="A370">
        <v>3</v>
      </c>
      <c r="B370">
        <v>124</v>
      </c>
      <c r="C370">
        <v>80</v>
      </c>
      <c r="D370">
        <v>33</v>
      </c>
      <c r="E370">
        <v>130</v>
      </c>
      <c r="F370">
        <v>33.200000000000003</v>
      </c>
      <c r="G370">
        <v>0.30499999999999999</v>
      </c>
      <c r="H370">
        <v>26</v>
      </c>
      <c r="I370">
        <v>0</v>
      </c>
      <c r="K370">
        <f t="shared" si="40"/>
        <v>0.17647058823529413</v>
      </c>
      <c r="L370">
        <f t="shared" si="41"/>
        <v>0.62311557788944727</v>
      </c>
      <c r="M370">
        <f t="shared" si="42"/>
        <v>0.65573770491803274</v>
      </c>
      <c r="N370">
        <f t="shared" si="43"/>
        <v>0.33333333333333331</v>
      </c>
      <c r="O370">
        <f t="shared" si="44"/>
        <v>0.15366430260047281</v>
      </c>
      <c r="P370">
        <f t="shared" si="45"/>
        <v>0.49478390461997029</v>
      </c>
      <c r="Q370">
        <f t="shared" si="46"/>
        <v>9.6925704526046097E-2</v>
      </c>
      <c r="R370">
        <f t="shared" si="47"/>
        <v>8.3333333333333329E-2</v>
      </c>
    </row>
    <row r="371" spans="1:18" x14ac:dyDescent="0.3">
      <c r="A371">
        <v>6</v>
      </c>
      <c r="B371">
        <v>114</v>
      </c>
      <c r="C371">
        <v>0</v>
      </c>
      <c r="D371">
        <v>0</v>
      </c>
      <c r="E371">
        <v>0</v>
      </c>
      <c r="F371">
        <v>0</v>
      </c>
      <c r="G371">
        <v>0.189</v>
      </c>
      <c r="H371">
        <v>26</v>
      </c>
      <c r="I371">
        <v>0</v>
      </c>
      <c r="K371">
        <f t="shared" si="40"/>
        <v>0.35294117647058826</v>
      </c>
      <c r="L371">
        <f t="shared" si="41"/>
        <v>0.57286432160804024</v>
      </c>
      <c r="M371">
        <f t="shared" si="42"/>
        <v>0</v>
      </c>
      <c r="N371">
        <f t="shared" si="43"/>
        <v>0</v>
      </c>
      <c r="O371">
        <f t="shared" si="44"/>
        <v>0</v>
      </c>
      <c r="P371">
        <f t="shared" si="45"/>
        <v>0</v>
      </c>
      <c r="Q371">
        <f t="shared" si="46"/>
        <v>4.739538855678907E-2</v>
      </c>
      <c r="R371">
        <f t="shared" si="47"/>
        <v>8.3333333333333329E-2</v>
      </c>
    </row>
    <row r="372" spans="1:18" x14ac:dyDescent="0.3">
      <c r="A372">
        <v>9</v>
      </c>
      <c r="B372">
        <v>130</v>
      </c>
      <c r="C372">
        <v>70</v>
      </c>
      <c r="D372">
        <v>0</v>
      </c>
      <c r="E372">
        <v>0</v>
      </c>
      <c r="F372">
        <v>34.200000000000003</v>
      </c>
      <c r="G372">
        <v>0.65200000000000002</v>
      </c>
      <c r="H372">
        <v>45</v>
      </c>
      <c r="I372">
        <v>1</v>
      </c>
      <c r="K372">
        <f t="shared" si="40"/>
        <v>0.52941176470588236</v>
      </c>
      <c r="L372">
        <f t="shared" si="41"/>
        <v>0.65326633165829151</v>
      </c>
      <c r="M372">
        <f t="shared" si="42"/>
        <v>0.57377049180327866</v>
      </c>
      <c r="N372">
        <f t="shared" si="43"/>
        <v>0</v>
      </c>
      <c r="O372">
        <f t="shared" si="44"/>
        <v>0</v>
      </c>
      <c r="P372">
        <f t="shared" si="45"/>
        <v>0.5096870342771983</v>
      </c>
      <c r="Q372">
        <f t="shared" si="46"/>
        <v>0.24508966695132367</v>
      </c>
      <c r="R372">
        <f t="shared" si="47"/>
        <v>0.4</v>
      </c>
    </row>
    <row r="373" spans="1:18" x14ac:dyDescent="0.3">
      <c r="A373">
        <v>3</v>
      </c>
      <c r="B373">
        <v>125</v>
      </c>
      <c r="C373">
        <v>58</v>
      </c>
      <c r="D373">
        <v>0</v>
      </c>
      <c r="E373">
        <v>0</v>
      </c>
      <c r="F373">
        <v>31.6</v>
      </c>
      <c r="G373">
        <v>0.151</v>
      </c>
      <c r="H373">
        <v>24</v>
      </c>
      <c r="I373">
        <v>0</v>
      </c>
      <c r="K373">
        <f t="shared" si="40"/>
        <v>0.17647058823529413</v>
      </c>
      <c r="L373">
        <f t="shared" si="41"/>
        <v>0.62814070351758799</v>
      </c>
      <c r="M373">
        <f t="shared" si="42"/>
        <v>0.47540983606557374</v>
      </c>
      <c r="N373">
        <f t="shared" si="43"/>
        <v>0</v>
      </c>
      <c r="O373">
        <f t="shared" si="44"/>
        <v>0</v>
      </c>
      <c r="P373">
        <f t="shared" si="45"/>
        <v>0.47093889716840542</v>
      </c>
      <c r="Q373">
        <f t="shared" si="46"/>
        <v>3.1169940222032448E-2</v>
      </c>
      <c r="R373">
        <f t="shared" si="47"/>
        <v>0.05</v>
      </c>
    </row>
    <row r="374" spans="1:18" x14ac:dyDescent="0.3">
      <c r="A374">
        <v>3</v>
      </c>
      <c r="B374">
        <v>87</v>
      </c>
      <c r="C374">
        <v>60</v>
      </c>
      <c r="D374">
        <v>18</v>
      </c>
      <c r="E374">
        <v>0</v>
      </c>
      <c r="F374">
        <v>21.8</v>
      </c>
      <c r="G374">
        <v>0.44400000000000001</v>
      </c>
      <c r="H374">
        <v>21</v>
      </c>
      <c r="I374">
        <v>0</v>
      </c>
      <c r="K374">
        <f t="shared" si="40"/>
        <v>0.17647058823529413</v>
      </c>
      <c r="L374">
        <f t="shared" si="41"/>
        <v>0.43718592964824121</v>
      </c>
      <c r="M374">
        <f t="shared" si="42"/>
        <v>0.49180327868852458</v>
      </c>
      <c r="N374">
        <f t="shared" si="43"/>
        <v>0.18181818181818182</v>
      </c>
      <c r="O374">
        <f t="shared" si="44"/>
        <v>0</v>
      </c>
      <c r="P374">
        <f t="shared" si="45"/>
        <v>0.32488822652757082</v>
      </c>
      <c r="Q374">
        <f t="shared" si="46"/>
        <v>0.15627668659265584</v>
      </c>
      <c r="R374">
        <f t="shared" si="47"/>
        <v>0</v>
      </c>
    </row>
    <row r="375" spans="1:18" x14ac:dyDescent="0.3">
      <c r="A375">
        <v>1</v>
      </c>
      <c r="B375">
        <v>97</v>
      </c>
      <c r="C375">
        <v>64</v>
      </c>
      <c r="D375">
        <v>19</v>
      </c>
      <c r="E375">
        <v>82</v>
      </c>
      <c r="F375">
        <v>18.2</v>
      </c>
      <c r="G375">
        <v>0.29899999999999999</v>
      </c>
      <c r="H375">
        <v>21</v>
      </c>
      <c r="I375">
        <v>0</v>
      </c>
      <c r="K375">
        <f t="shared" si="40"/>
        <v>5.8823529411764705E-2</v>
      </c>
      <c r="L375">
        <f t="shared" si="41"/>
        <v>0.48743718592964824</v>
      </c>
      <c r="M375">
        <f t="shared" si="42"/>
        <v>0.52459016393442626</v>
      </c>
      <c r="N375">
        <f t="shared" si="43"/>
        <v>0.19191919191919191</v>
      </c>
      <c r="O375">
        <f t="shared" si="44"/>
        <v>9.6926713947990545E-2</v>
      </c>
      <c r="P375">
        <f t="shared" si="45"/>
        <v>0.27123695976154993</v>
      </c>
      <c r="Q375">
        <f t="shared" si="46"/>
        <v>9.4363791631084534E-2</v>
      </c>
      <c r="R375">
        <f t="shared" si="47"/>
        <v>0</v>
      </c>
    </row>
    <row r="376" spans="1:18" x14ac:dyDescent="0.3">
      <c r="A376">
        <v>3</v>
      </c>
      <c r="B376">
        <v>116</v>
      </c>
      <c r="C376">
        <v>74</v>
      </c>
      <c r="D376">
        <v>15</v>
      </c>
      <c r="E376">
        <v>105</v>
      </c>
      <c r="F376">
        <v>26.3</v>
      </c>
      <c r="G376">
        <v>0.107</v>
      </c>
      <c r="H376">
        <v>24</v>
      </c>
      <c r="I376">
        <v>0</v>
      </c>
      <c r="K376">
        <f t="shared" si="40"/>
        <v>0.17647058823529413</v>
      </c>
      <c r="L376">
        <f t="shared" si="41"/>
        <v>0.58291457286432158</v>
      </c>
      <c r="M376">
        <f t="shared" si="42"/>
        <v>0.60655737704918034</v>
      </c>
      <c r="N376">
        <f t="shared" si="43"/>
        <v>0.15151515151515152</v>
      </c>
      <c r="O376">
        <f t="shared" si="44"/>
        <v>0.12411347517730496</v>
      </c>
      <c r="P376">
        <f t="shared" si="45"/>
        <v>0.39195230998509689</v>
      </c>
      <c r="Q376">
        <f t="shared" si="46"/>
        <v>1.238257899231426E-2</v>
      </c>
      <c r="R376">
        <f t="shared" si="47"/>
        <v>0.05</v>
      </c>
    </row>
    <row r="377" spans="1:18" x14ac:dyDescent="0.3">
      <c r="A377">
        <v>0</v>
      </c>
      <c r="B377">
        <v>117</v>
      </c>
      <c r="C377">
        <v>66</v>
      </c>
      <c r="D377">
        <v>31</v>
      </c>
      <c r="E377">
        <v>188</v>
      </c>
      <c r="F377">
        <v>30.8</v>
      </c>
      <c r="G377">
        <v>0.49299999999999999</v>
      </c>
      <c r="H377">
        <v>22</v>
      </c>
      <c r="I377">
        <v>0</v>
      </c>
      <c r="K377">
        <f t="shared" si="40"/>
        <v>0</v>
      </c>
      <c r="L377">
        <f t="shared" si="41"/>
        <v>0.5879396984924623</v>
      </c>
      <c r="M377">
        <f t="shared" si="42"/>
        <v>0.54098360655737709</v>
      </c>
      <c r="N377">
        <f t="shared" si="43"/>
        <v>0.31313131313131315</v>
      </c>
      <c r="O377">
        <f t="shared" si="44"/>
        <v>0.22222222222222221</v>
      </c>
      <c r="P377">
        <f t="shared" si="45"/>
        <v>0.45901639344262302</v>
      </c>
      <c r="Q377">
        <f t="shared" si="46"/>
        <v>0.17719897523484199</v>
      </c>
      <c r="R377">
        <f t="shared" si="47"/>
        <v>1.6666666666666666E-2</v>
      </c>
    </row>
    <row r="378" spans="1:18" x14ac:dyDescent="0.3">
      <c r="A378">
        <v>0</v>
      </c>
      <c r="B378">
        <v>111</v>
      </c>
      <c r="C378">
        <v>65</v>
      </c>
      <c r="D378">
        <v>0</v>
      </c>
      <c r="E378">
        <v>0</v>
      </c>
      <c r="F378">
        <v>24.6</v>
      </c>
      <c r="G378">
        <v>0.66</v>
      </c>
      <c r="H378">
        <v>31</v>
      </c>
      <c r="I378">
        <v>0</v>
      </c>
      <c r="K378">
        <f t="shared" si="40"/>
        <v>0</v>
      </c>
      <c r="L378">
        <f t="shared" si="41"/>
        <v>0.55778894472361806</v>
      </c>
      <c r="M378">
        <f t="shared" si="42"/>
        <v>0.53278688524590168</v>
      </c>
      <c r="N378">
        <f t="shared" si="43"/>
        <v>0</v>
      </c>
      <c r="O378">
        <f t="shared" si="44"/>
        <v>0</v>
      </c>
      <c r="P378">
        <f t="shared" si="45"/>
        <v>0.3666169895678093</v>
      </c>
      <c r="Q378">
        <f t="shared" si="46"/>
        <v>0.24850555081127243</v>
      </c>
      <c r="R378">
        <f t="shared" si="47"/>
        <v>0.16666666666666666</v>
      </c>
    </row>
    <row r="379" spans="1:18" x14ac:dyDescent="0.3">
      <c r="A379">
        <v>2</v>
      </c>
      <c r="B379">
        <v>122</v>
      </c>
      <c r="C379">
        <v>60</v>
      </c>
      <c r="D379">
        <v>18</v>
      </c>
      <c r="E379">
        <v>106</v>
      </c>
      <c r="F379">
        <v>29.8</v>
      </c>
      <c r="G379">
        <v>0.71699999999999997</v>
      </c>
      <c r="H379">
        <v>22</v>
      </c>
      <c r="I379">
        <v>0</v>
      </c>
      <c r="K379">
        <f t="shared" si="40"/>
        <v>0.11764705882352941</v>
      </c>
      <c r="L379">
        <f t="shared" si="41"/>
        <v>0.61306532663316582</v>
      </c>
      <c r="M379">
        <f t="shared" si="42"/>
        <v>0.49180327868852458</v>
      </c>
      <c r="N379">
        <f t="shared" si="43"/>
        <v>0.18181818181818182</v>
      </c>
      <c r="O379">
        <f t="shared" si="44"/>
        <v>0.12529550827423167</v>
      </c>
      <c r="P379">
        <f t="shared" si="45"/>
        <v>0.44411326378539501</v>
      </c>
      <c r="Q379">
        <f t="shared" si="46"/>
        <v>0.27284372331340734</v>
      </c>
      <c r="R379">
        <f t="shared" si="47"/>
        <v>1.6666666666666666E-2</v>
      </c>
    </row>
    <row r="380" spans="1:18" x14ac:dyDescent="0.3">
      <c r="A380">
        <v>0</v>
      </c>
      <c r="B380">
        <v>107</v>
      </c>
      <c r="C380">
        <v>76</v>
      </c>
      <c r="D380">
        <v>0</v>
      </c>
      <c r="E380">
        <v>0</v>
      </c>
      <c r="F380">
        <v>45.3</v>
      </c>
      <c r="G380">
        <v>0.68600000000000005</v>
      </c>
      <c r="H380">
        <v>24</v>
      </c>
      <c r="I380">
        <v>0</v>
      </c>
      <c r="K380">
        <f t="shared" si="40"/>
        <v>0</v>
      </c>
      <c r="L380">
        <f t="shared" si="41"/>
        <v>0.53768844221105527</v>
      </c>
      <c r="M380">
        <f t="shared" si="42"/>
        <v>0.62295081967213117</v>
      </c>
      <c r="N380">
        <f t="shared" si="43"/>
        <v>0</v>
      </c>
      <c r="O380">
        <f t="shared" si="44"/>
        <v>0</v>
      </c>
      <c r="P380">
        <f t="shared" si="45"/>
        <v>0.67511177347242923</v>
      </c>
      <c r="Q380">
        <f t="shared" si="46"/>
        <v>0.25960717335610595</v>
      </c>
      <c r="R380">
        <f t="shared" si="47"/>
        <v>0.05</v>
      </c>
    </row>
    <row r="381" spans="1:18" x14ac:dyDescent="0.3">
      <c r="A381">
        <v>1</v>
      </c>
      <c r="B381">
        <v>86</v>
      </c>
      <c r="C381">
        <v>66</v>
      </c>
      <c r="D381">
        <v>52</v>
      </c>
      <c r="E381">
        <v>65</v>
      </c>
      <c r="F381">
        <v>41.3</v>
      </c>
      <c r="G381">
        <v>0.91700000000000004</v>
      </c>
      <c r="H381">
        <v>29</v>
      </c>
      <c r="I381">
        <v>0</v>
      </c>
      <c r="K381">
        <f t="shared" si="40"/>
        <v>5.8823529411764705E-2</v>
      </c>
      <c r="L381">
        <f t="shared" si="41"/>
        <v>0.43216080402010049</v>
      </c>
      <c r="M381">
        <f t="shared" si="42"/>
        <v>0.54098360655737709</v>
      </c>
      <c r="N381">
        <f t="shared" si="43"/>
        <v>0.5252525252525253</v>
      </c>
      <c r="O381">
        <f t="shared" si="44"/>
        <v>7.6832151300236406E-2</v>
      </c>
      <c r="P381">
        <f t="shared" si="45"/>
        <v>0.6154992548435172</v>
      </c>
      <c r="Q381">
        <f t="shared" si="46"/>
        <v>0.35824081981212641</v>
      </c>
      <c r="R381">
        <f t="shared" si="47"/>
        <v>0.13333333333333333</v>
      </c>
    </row>
    <row r="382" spans="1:18" x14ac:dyDescent="0.3">
      <c r="A382">
        <v>6</v>
      </c>
      <c r="B382">
        <v>91</v>
      </c>
      <c r="C382">
        <v>0</v>
      </c>
      <c r="D382">
        <v>0</v>
      </c>
      <c r="E382">
        <v>0</v>
      </c>
      <c r="F382">
        <v>29.8</v>
      </c>
      <c r="G382">
        <v>0.501</v>
      </c>
      <c r="H382">
        <v>31</v>
      </c>
      <c r="I382">
        <v>0</v>
      </c>
      <c r="K382">
        <f t="shared" si="40"/>
        <v>0.35294117647058826</v>
      </c>
      <c r="L382">
        <f t="shared" si="41"/>
        <v>0.457286432160804</v>
      </c>
      <c r="M382">
        <f t="shared" si="42"/>
        <v>0</v>
      </c>
      <c r="N382">
        <f t="shared" si="43"/>
        <v>0</v>
      </c>
      <c r="O382">
        <f t="shared" si="44"/>
        <v>0</v>
      </c>
      <c r="P382">
        <f t="shared" si="45"/>
        <v>0.44411326378539501</v>
      </c>
      <c r="Q382">
        <f t="shared" si="46"/>
        <v>0.18061485909479078</v>
      </c>
      <c r="R382">
        <f t="shared" si="47"/>
        <v>0.16666666666666666</v>
      </c>
    </row>
    <row r="383" spans="1:18" x14ac:dyDescent="0.3">
      <c r="A383">
        <v>1</v>
      </c>
      <c r="B383">
        <v>77</v>
      </c>
      <c r="C383">
        <v>56</v>
      </c>
      <c r="D383">
        <v>30</v>
      </c>
      <c r="E383">
        <v>56</v>
      </c>
      <c r="F383">
        <v>33.299999999999997</v>
      </c>
      <c r="G383">
        <v>1.2509999999999999</v>
      </c>
      <c r="H383">
        <v>24</v>
      </c>
      <c r="I383">
        <v>0</v>
      </c>
      <c r="K383">
        <f t="shared" si="40"/>
        <v>5.8823529411764705E-2</v>
      </c>
      <c r="L383">
        <f t="shared" si="41"/>
        <v>0.38693467336683418</v>
      </c>
      <c r="M383">
        <f t="shared" si="42"/>
        <v>0.45901639344262296</v>
      </c>
      <c r="N383">
        <f t="shared" si="43"/>
        <v>0.30303030303030304</v>
      </c>
      <c r="O383">
        <f t="shared" si="44"/>
        <v>6.6193853427895979E-2</v>
      </c>
      <c r="P383">
        <f t="shared" si="45"/>
        <v>0.49627421758569301</v>
      </c>
      <c r="Q383">
        <f t="shared" si="46"/>
        <v>0.50085397096498707</v>
      </c>
      <c r="R383">
        <f t="shared" si="47"/>
        <v>0.05</v>
      </c>
    </row>
    <row r="384" spans="1:18" x14ac:dyDescent="0.3">
      <c r="A384">
        <v>4</v>
      </c>
      <c r="B384">
        <v>132</v>
      </c>
      <c r="C384">
        <v>0</v>
      </c>
      <c r="D384">
        <v>0</v>
      </c>
      <c r="E384">
        <v>0</v>
      </c>
      <c r="F384">
        <v>32.9</v>
      </c>
      <c r="G384">
        <v>0.30199999999999999</v>
      </c>
      <c r="H384">
        <v>23</v>
      </c>
      <c r="I384">
        <v>1</v>
      </c>
      <c r="K384">
        <f t="shared" si="40"/>
        <v>0.23529411764705882</v>
      </c>
      <c r="L384">
        <f t="shared" si="41"/>
        <v>0.66331658291457285</v>
      </c>
      <c r="M384">
        <f t="shared" si="42"/>
        <v>0</v>
      </c>
      <c r="N384">
        <f t="shared" si="43"/>
        <v>0</v>
      </c>
      <c r="O384">
        <f t="shared" si="44"/>
        <v>0</v>
      </c>
      <c r="P384">
        <f t="shared" si="45"/>
        <v>0.49031296572280181</v>
      </c>
      <c r="Q384">
        <f t="shared" si="46"/>
        <v>9.5644748078565309E-2</v>
      </c>
      <c r="R384">
        <f t="shared" si="47"/>
        <v>3.3333333333333333E-2</v>
      </c>
    </row>
    <row r="385" spans="1:18" x14ac:dyDescent="0.3">
      <c r="A385">
        <v>0</v>
      </c>
      <c r="B385">
        <v>105</v>
      </c>
      <c r="C385">
        <v>90</v>
      </c>
      <c r="D385">
        <v>0</v>
      </c>
      <c r="E385">
        <v>0</v>
      </c>
      <c r="F385">
        <v>29.6</v>
      </c>
      <c r="G385">
        <v>0.19700000000000001</v>
      </c>
      <c r="H385">
        <v>46</v>
      </c>
      <c r="I385">
        <v>0</v>
      </c>
      <c r="K385">
        <f t="shared" si="40"/>
        <v>0</v>
      </c>
      <c r="L385">
        <f t="shared" si="41"/>
        <v>0.52763819095477382</v>
      </c>
      <c r="M385">
        <f t="shared" si="42"/>
        <v>0.73770491803278693</v>
      </c>
      <c r="N385">
        <f t="shared" si="43"/>
        <v>0</v>
      </c>
      <c r="O385">
        <f t="shared" si="44"/>
        <v>0</v>
      </c>
      <c r="P385">
        <f t="shared" si="45"/>
        <v>0.44113263785394941</v>
      </c>
      <c r="Q385">
        <f t="shared" si="46"/>
        <v>5.0811272416737829E-2</v>
      </c>
      <c r="R385">
        <f t="shared" si="47"/>
        <v>0.41666666666666669</v>
      </c>
    </row>
    <row r="386" spans="1:18" x14ac:dyDescent="0.3">
      <c r="A386">
        <v>0</v>
      </c>
      <c r="B386">
        <v>57</v>
      </c>
      <c r="C386">
        <v>60</v>
      </c>
      <c r="D386">
        <v>0</v>
      </c>
      <c r="E386">
        <v>0</v>
      </c>
      <c r="F386">
        <v>21.7</v>
      </c>
      <c r="G386">
        <v>0.73499999999999999</v>
      </c>
      <c r="H386">
        <v>67</v>
      </c>
      <c r="I386">
        <v>0</v>
      </c>
      <c r="K386">
        <f t="shared" si="40"/>
        <v>0</v>
      </c>
      <c r="L386">
        <f t="shared" si="41"/>
        <v>0.28643216080402012</v>
      </c>
      <c r="M386">
        <f t="shared" si="42"/>
        <v>0.49180327868852458</v>
      </c>
      <c r="N386">
        <f t="shared" si="43"/>
        <v>0</v>
      </c>
      <c r="O386">
        <f t="shared" si="44"/>
        <v>0</v>
      </c>
      <c r="P386">
        <f t="shared" si="45"/>
        <v>0.32339791356184799</v>
      </c>
      <c r="Q386">
        <f t="shared" si="46"/>
        <v>0.28052946199829204</v>
      </c>
      <c r="R386">
        <f t="shared" si="47"/>
        <v>0.76666666666666672</v>
      </c>
    </row>
    <row r="387" spans="1:18" x14ac:dyDescent="0.3">
      <c r="A387">
        <v>0</v>
      </c>
      <c r="B387">
        <v>127</v>
      </c>
      <c r="C387">
        <v>80</v>
      </c>
      <c r="D387">
        <v>37</v>
      </c>
      <c r="E387">
        <v>210</v>
      </c>
      <c r="F387">
        <v>36.299999999999997</v>
      </c>
      <c r="G387">
        <v>0.80400000000000005</v>
      </c>
      <c r="H387">
        <v>23</v>
      </c>
      <c r="I387">
        <v>0</v>
      </c>
      <c r="K387">
        <f t="shared" ref="K387:K450" si="48">(A387-0)/(17-0)</f>
        <v>0</v>
      </c>
      <c r="L387">
        <f t="shared" ref="L387:L450" si="49">(B387-0)/(199-0)</f>
        <v>0.63819095477386933</v>
      </c>
      <c r="M387">
        <f t="shared" ref="M387:M450" si="50">(C387-0)/(122-0)</f>
        <v>0.65573770491803274</v>
      </c>
      <c r="N387">
        <f t="shared" ref="N387:N450" si="51">(D387-0)/(99-0)</f>
        <v>0.37373737373737376</v>
      </c>
      <c r="O387">
        <f t="shared" ref="O387:O450" si="52">(E387-0)/(846-0)</f>
        <v>0.24822695035460993</v>
      </c>
      <c r="P387">
        <f t="shared" ref="P387:P450" si="53">(F387-0)/(67.1-0)</f>
        <v>0.54098360655737709</v>
      </c>
      <c r="Q387">
        <f t="shared" ref="Q387:Q450" si="54">(G387-0.078)/(2.42-0.078)</f>
        <v>0.30999146029035013</v>
      </c>
      <c r="R387">
        <f t="shared" ref="R387:R450" si="55">(H387-21)/(81-21)</f>
        <v>3.3333333333333333E-2</v>
      </c>
    </row>
    <row r="388" spans="1:18" x14ac:dyDescent="0.3">
      <c r="A388">
        <v>3</v>
      </c>
      <c r="B388">
        <v>129</v>
      </c>
      <c r="C388">
        <v>92</v>
      </c>
      <c r="D388">
        <v>49</v>
      </c>
      <c r="E388">
        <v>155</v>
      </c>
      <c r="F388">
        <v>36.4</v>
      </c>
      <c r="G388">
        <v>0.96799999999999997</v>
      </c>
      <c r="H388">
        <v>32</v>
      </c>
      <c r="I388">
        <v>1</v>
      </c>
      <c r="K388">
        <f t="shared" si="48"/>
        <v>0.17647058823529413</v>
      </c>
      <c r="L388">
        <f t="shared" si="49"/>
        <v>0.64824120603015079</v>
      </c>
      <c r="M388">
        <f t="shared" si="50"/>
        <v>0.75409836065573765</v>
      </c>
      <c r="N388">
        <f t="shared" si="51"/>
        <v>0.49494949494949497</v>
      </c>
      <c r="O388">
        <f t="shared" si="52"/>
        <v>0.18321513002364065</v>
      </c>
      <c r="P388">
        <f t="shared" si="53"/>
        <v>0.54247391952309987</v>
      </c>
      <c r="Q388">
        <f t="shared" si="54"/>
        <v>0.38001707941929974</v>
      </c>
      <c r="R388">
        <f t="shared" si="55"/>
        <v>0.18333333333333332</v>
      </c>
    </row>
    <row r="389" spans="1:18" x14ac:dyDescent="0.3">
      <c r="A389">
        <v>8</v>
      </c>
      <c r="B389">
        <v>100</v>
      </c>
      <c r="C389">
        <v>74</v>
      </c>
      <c r="D389">
        <v>40</v>
      </c>
      <c r="E389">
        <v>215</v>
      </c>
      <c r="F389">
        <v>39.4</v>
      </c>
      <c r="G389">
        <v>0.66100000000000003</v>
      </c>
      <c r="H389">
        <v>43</v>
      </c>
      <c r="I389">
        <v>1</v>
      </c>
      <c r="K389">
        <f t="shared" si="48"/>
        <v>0.47058823529411764</v>
      </c>
      <c r="L389">
        <f t="shared" si="49"/>
        <v>0.50251256281407031</v>
      </c>
      <c r="M389">
        <f t="shared" si="50"/>
        <v>0.60655737704918034</v>
      </c>
      <c r="N389">
        <f t="shared" si="51"/>
        <v>0.40404040404040403</v>
      </c>
      <c r="O389">
        <f t="shared" si="52"/>
        <v>0.25413711583924348</v>
      </c>
      <c r="P389">
        <f t="shared" si="53"/>
        <v>0.58718330849478395</v>
      </c>
      <c r="Q389">
        <f t="shared" si="54"/>
        <v>0.24893253629376602</v>
      </c>
      <c r="R389">
        <f t="shared" si="55"/>
        <v>0.36666666666666664</v>
      </c>
    </row>
    <row r="390" spans="1:18" x14ac:dyDescent="0.3">
      <c r="A390">
        <v>3</v>
      </c>
      <c r="B390">
        <v>128</v>
      </c>
      <c r="C390">
        <v>72</v>
      </c>
      <c r="D390">
        <v>25</v>
      </c>
      <c r="E390">
        <v>190</v>
      </c>
      <c r="F390">
        <v>32.4</v>
      </c>
      <c r="G390">
        <v>0.54900000000000004</v>
      </c>
      <c r="H390">
        <v>27</v>
      </c>
      <c r="I390">
        <v>1</v>
      </c>
      <c r="K390">
        <f t="shared" si="48"/>
        <v>0.17647058823529413</v>
      </c>
      <c r="L390">
        <f t="shared" si="49"/>
        <v>0.64321608040201006</v>
      </c>
      <c r="M390">
        <f t="shared" si="50"/>
        <v>0.5901639344262295</v>
      </c>
      <c r="N390">
        <f t="shared" si="51"/>
        <v>0.25252525252525254</v>
      </c>
      <c r="O390">
        <f t="shared" si="52"/>
        <v>0.22458628841607564</v>
      </c>
      <c r="P390">
        <f t="shared" si="53"/>
        <v>0.48286140089418778</v>
      </c>
      <c r="Q390">
        <f t="shared" si="54"/>
        <v>0.20111016225448336</v>
      </c>
      <c r="R390">
        <f t="shared" si="55"/>
        <v>0.1</v>
      </c>
    </row>
    <row r="391" spans="1:18" x14ac:dyDescent="0.3">
      <c r="A391">
        <v>10</v>
      </c>
      <c r="B391">
        <v>90</v>
      </c>
      <c r="C391">
        <v>85</v>
      </c>
      <c r="D391">
        <v>32</v>
      </c>
      <c r="E391">
        <v>0</v>
      </c>
      <c r="F391">
        <v>34.9</v>
      </c>
      <c r="G391">
        <v>0.82499999999999996</v>
      </c>
      <c r="H391">
        <v>56</v>
      </c>
      <c r="I391">
        <v>1</v>
      </c>
      <c r="K391">
        <f t="shared" si="48"/>
        <v>0.58823529411764708</v>
      </c>
      <c r="L391">
        <f t="shared" si="49"/>
        <v>0.45226130653266333</v>
      </c>
      <c r="M391">
        <f t="shared" si="50"/>
        <v>0.69672131147540983</v>
      </c>
      <c r="N391">
        <f t="shared" si="51"/>
        <v>0.32323232323232326</v>
      </c>
      <c r="O391">
        <f t="shared" si="52"/>
        <v>0</v>
      </c>
      <c r="P391">
        <f t="shared" si="53"/>
        <v>0.52011922503725783</v>
      </c>
      <c r="Q391">
        <f t="shared" si="54"/>
        <v>0.31895815542271561</v>
      </c>
      <c r="R391">
        <f t="shared" si="55"/>
        <v>0.58333333333333337</v>
      </c>
    </row>
    <row r="392" spans="1:18" x14ac:dyDescent="0.3">
      <c r="A392">
        <v>4</v>
      </c>
      <c r="B392">
        <v>84</v>
      </c>
      <c r="C392">
        <v>90</v>
      </c>
      <c r="D392">
        <v>23</v>
      </c>
      <c r="E392">
        <v>56</v>
      </c>
      <c r="F392">
        <v>39.5</v>
      </c>
      <c r="G392">
        <v>0.159</v>
      </c>
      <c r="H392">
        <v>25</v>
      </c>
      <c r="I392">
        <v>0</v>
      </c>
      <c r="K392">
        <f t="shared" si="48"/>
        <v>0.23529411764705882</v>
      </c>
      <c r="L392">
        <f t="shared" si="49"/>
        <v>0.42211055276381909</v>
      </c>
      <c r="M392">
        <f t="shared" si="50"/>
        <v>0.73770491803278693</v>
      </c>
      <c r="N392">
        <f t="shared" si="51"/>
        <v>0.23232323232323232</v>
      </c>
      <c r="O392">
        <f t="shared" si="52"/>
        <v>6.6193853427895979E-2</v>
      </c>
      <c r="P392">
        <f t="shared" si="53"/>
        <v>0.58867362146050672</v>
      </c>
      <c r="Q392">
        <f t="shared" si="54"/>
        <v>3.4585824081981215E-2</v>
      </c>
      <c r="R392">
        <f t="shared" si="55"/>
        <v>6.6666666666666666E-2</v>
      </c>
    </row>
    <row r="393" spans="1:18" x14ac:dyDescent="0.3">
      <c r="A393">
        <v>1</v>
      </c>
      <c r="B393">
        <v>88</v>
      </c>
      <c r="C393">
        <v>78</v>
      </c>
      <c r="D393">
        <v>29</v>
      </c>
      <c r="E393">
        <v>76</v>
      </c>
      <c r="F393">
        <v>32</v>
      </c>
      <c r="G393">
        <v>0.36499999999999999</v>
      </c>
      <c r="H393">
        <v>29</v>
      </c>
      <c r="I393">
        <v>0</v>
      </c>
      <c r="K393">
        <f t="shared" si="48"/>
        <v>5.8823529411764705E-2</v>
      </c>
      <c r="L393">
        <f t="shared" si="49"/>
        <v>0.44221105527638194</v>
      </c>
      <c r="M393">
        <f t="shared" si="50"/>
        <v>0.63934426229508201</v>
      </c>
      <c r="N393">
        <f t="shared" si="51"/>
        <v>0.29292929292929293</v>
      </c>
      <c r="O393">
        <f t="shared" si="52"/>
        <v>8.9834515366430265E-2</v>
      </c>
      <c r="P393">
        <f t="shared" si="53"/>
        <v>0.47690014903129663</v>
      </c>
      <c r="Q393">
        <f t="shared" si="54"/>
        <v>0.12254483347566181</v>
      </c>
      <c r="R393">
        <f t="shared" si="55"/>
        <v>0.13333333333333333</v>
      </c>
    </row>
    <row r="394" spans="1:18" x14ac:dyDescent="0.3">
      <c r="A394">
        <v>8</v>
      </c>
      <c r="B394">
        <v>186</v>
      </c>
      <c r="C394">
        <v>90</v>
      </c>
      <c r="D394">
        <v>35</v>
      </c>
      <c r="E394">
        <v>225</v>
      </c>
      <c r="F394">
        <v>34.5</v>
      </c>
      <c r="G394">
        <v>0.42299999999999999</v>
      </c>
      <c r="H394">
        <v>37</v>
      </c>
      <c r="I394">
        <v>1</v>
      </c>
      <c r="K394">
        <f t="shared" si="48"/>
        <v>0.47058823529411764</v>
      </c>
      <c r="L394">
        <f t="shared" si="49"/>
        <v>0.9346733668341709</v>
      </c>
      <c r="M394">
        <f t="shared" si="50"/>
        <v>0.73770491803278693</v>
      </c>
      <c r="N394">
        <f t="shared" si="51"/>
        <v>0.35353535353535354</v>
      </c>
      <c r="O394">
        <f t="shared" si="52"/>
        <v>0.26595744680851063</v>
      </c>
      <c r="P394">
        <f t="shared" si="53"/>
        <v>0.51415797317436662</v>
      </c>
      <c r="Q394">
        <f t="shared" si="54"/>
        <v>0.14730999146029033</v>
      </c>
      <c r="R394">
        <f t="shared" si="55"/>
        <v>0.26666666666666666</v>
      </c>
    </row>
    <row r="395" spans="1:18" x14ac:dyDescent="0.3">
      <c r="A395">
        <v>5</v>
      </c>
      <c r="B395">
        <v>187</v>
      </c>
      <c r="C395">
        <v>76</v>
      </c>
      <c r="D395">
        <v>27</v>
      </c>
      <c r="E395">
        <v>207</v>
      </c>
      <c r="F395">
        <v>43.6</v>
      </c>
      <c r="G395">
        <v>1.034</v>
      </c>
      <c r="H395">
        <v>53</v>
      </c>
      <c r="I395">
        <v>1</v>
      </c>
      <c r="K395">
        <f t="shared" si="48"/>
        <v>0.29411764705882354</v>
      </c>
      <c r="L395">
        <f t="shared" si="49"/>
        <v>0.93969849246231152</v>
      </c>
      <c r="M395">
        <f t="shared" si="50"/>
        <v>0.62295081967213117</v>
      </c>
      <c r="N395">
        <f t="shared" si="51"/>
        <v>0.27272727272727271</v>
      </c>
      <c r="O395">
        <f t="shared" si="52"/>
        <v>0.24468085106382978</v>
      </c>
      <c r="P395">
        <f t="shared" si="53"/>
        <v>0.64977645305514165</v>
      </c>
      <c r="Q395">
        <f t="shared" si="54"/>
        <v>0.40819812126387706</v>
      </c>
      <c r="R395">
        <f t="shared" si="55"/>
        <v>0.53333333333333333</v>
      </c>
    </row>
    <row r="396" spans="1:18" x14ac:dyDescent="0.3">
      <c r="A396">
        <v>4</v>
      </c>
      <c r="B396">
        <v>131</v>
      </c>
      <c r="C396">
        <v>68</v>
      </c>
      <c r="D396">
        <v>21</v>
      </c>
      <c r="E396">
        <v>166</v>
      </c>
      <c r="F396">
        <v>33.1</v>
      </c>
      <c r="G396">
        <v>0.16</v>
      </c>
      <c r="H396">
        <v>28</v>
      </c>
      <c r="I396">
        <v>0</v>
      </c>
      <c r="K396">
        <f t="shared" si="48"/>
        <v>0.23529411764705882</v>
      </c>
      <c r="L396">
        <f t="shared" si="49"/>
        <v>0.65829145728643212</v>
      </c>
      <c r="M396">
        <f t="shared" si="50"/>
        <v>0.55737704918032782</v>
      </c>
      <c r="N396">
        <f t="shared" si="51"/>
        <v>0.21212121212121213</v>
      </c>
      <c r="O396">
        <f t="shared" si="52"/>
        <v>0.19621749408983452</v>
      </c>
      <c r="P396">
        <f t="shared" si="53"/>
        <v>0.49329359165424747</v>
      </c>
      <c r="Q396">
        <f t="shared" si="54"/>
        <v>3.5012809564474806E-2</v>
      </c>
      <c r="R396">
        <f t="shared" si="55"/>
        <v>0.11666666666666667</v>
      </c>
    </row>
    <row r="397" spans="1:18" x14ac:dyDescent="0.3">
      <c r="A397">
        <v>1</v>
      </c>
      <c r="B397">
        <v>164</v>
      </c>
      <c r="C397">
        <v>82</v>
      </c>
      <c r="D397">
        <v>43</v>
      </c>
      <c r="E397">
        <v>67</v>
      </c>
      <c r="F397">
        <v>32.799999999999997</v>
      </c>
      <c r="G397">
        <v>0.34100000000000003</v>
      </c>
      <c r="H397">
        <v>50</v>
      </c>
      <c r="I397">
        <v>0</v>
      </c>
      <c r="K397">
        <f t="shared" si="48"/>
        <v>5.8823529411764705E-2</v>
      </c>
      <c r="L397">
        <f t="shared" si="49"/>
        <v>0.82412060301507539</v>
      </c>
      <c r="M397">
        <f t="shared" si="50"/>
        <v>0.67213114754098358</v>
      </c>
      <c r="N397">
        <f t="shared" si="51"/>
        <v>0.43434343434343436</v>
      </c>
      <c r="O397">
        <f t="shared" si="52"/>
        <v>7.9196217494089838E-2</v>
      </c>
      <c r="P397">
        <f t="shared" si="53"/>
        <v>0.48882265275707898</v>
      </c>
      <c r="Q397">
        <f t="shared" si="54"/>
        <v>0.11229718189581554</v>
      </c>
      <c r="R397">
        <f t="shared" si="55"/>
        <v>0.48333333333333334</v>
      </c>
    </row>
    <row r="398" spans="1:18" x14ac:dyDescent="0.3">
      <c r="A398">
        <v>4</v>
      </c>
      <c r="B398">
        <v>189</v>
      </c>
      <c r="C398">
        <v>110</v>
      </c>
      <c r="D398">
        <v>31</v>
      </c>
      <c r="E398">
        <v>0</v>
      </c>
      <c r="F398">
        <v>28.5</v>
      </c>
      <c r="G398">
        <v>0.68</v>
      </c>
      <c r="H398">
        <v>37</v>
      </c>
      <c r="I398">
        <v>0</v>
      </c>
      <c r="K398">
        <f t="shared" si="48"/>
        <v>0.23529411764705882</v>
      </c>
      <c r="L398">
        <f t="shared" si="49"/>
        <v>0.94974874371859297</v>
      </c>
      <c r="M398">
        <f t="shared" si="50"/>
        <v>0.90163934426229508</v>
      </c>
      <c r="N398">
        <f t="shared" si="51"/>
        <v>0.31313131313131315</v>
      </c>
      <c r="O398">
        <f t="shared" si="52"/>
        <v>0</v>
      </c>
      <c r="P398">
        <f t="shared" si="53"/>
        <v>0.42473919523099857</v>
      </c>
      <c r="Q398">
        <f t="shared" si="54"/>
        <v>0.25704526046114434</v>
      </c>
      <c r="R398">
        <f t="shared" si="55"/>
        <v>0.26666666666666666</v>
      </c>
    </row>
    <row r="399" spans="1:18" x14ac:dyDescent="0.3">
      <c r="A399">
        <v>1</v>
      </c>
      <c r="B399">
        <v>116</v>
      </c>
      <c r="C399">
        <v>70</v>
      </c>
      <c r="D399">
        <v>28</v>
      </c>
      <c r="E399">
        <v>0</v>
      </c>
      <c r="F399">
        <v>27.4</v>
      </c>
      <c r="G399">
        <v>0.20399999999999999</v>
      </c>
      <c r="H399">
        <v>21</v>
      </c>
      <c r="I399">
        <v>0</v>
      </c>
      <c r="K399">
        <f t="shared" si="48"/>
        <v>5.8823529411764705E-2</v>
      </c>
      <c r="L399">
        <f t="shared" si="49"/>
        <v>0.58291457286432158</v>
      </c>
      <c r="M399">
        <f t="shared" si="50"/>
        <v>0.57377049180327866</v>
      </c>
      <c r="N399">
        <f t="shared" si="51"/>
        <v>0.28282828282828282</v>
      </c>
      <c r="O399">
        <f t="shared" si="52"/>
        <v>0</v>
      </c>
      <c r="P399">
        <f t="shared" si="53"/>
        <v>0.40834575260804773</v>
      </c>
      <c r="Q399">
        <f t="shared" si="54"/>
        <v>5.3800170794192997E-2</v>
      </c>
      <c r="R399">
        <f t="shared" si="55"/>
        <v>0</v>
      </c>
    </row>
    <row r="400" spans="1:18" x14ac:dyDescent="0.3">
      <c r="A400">
        <v>3</v>
      </c>
      <c r="B400">
        <v>84</v>
      </c>
      <c r="C400">
        <v>68</v>
      </c>
      <c r="D400">
        <v>30</v>
      </c>
      <c r="E400">
        <v>106</v>
      </c>
      <c r="F400">
        <v>31.9</v>
      </c>
      <c r="G400">
        <v>0.59099999999999997</v>
      </c>
      <c r="H400">
        <v>25</v>
      </c>
      <c r="I400">
        <v>0</v>
      </c>
      <c r="K400">
        <f t="shared" si="48"/>
        <v>0.17647058823529413</v>
      </c>
      <c r="L400">
        <f t="shared" si="49"/>
        <v>0.42211055276381909</v>
      </c>
      <c r="M400">
        <f t="shared" si="50"/>
        <v>0.55737704918032782</v>
      </c>
      <c r="N400">
        <f t="shared" si="51"/>
        <v>0.30303030303030304</v>
      </c>
      <c r="O400">
        <f t="shared" si="52"/>
        <v>0.12529550827423167</v>
      </c>
      <c r="P400">
        <f t="shared" si="53"/>
        <v>0.4754098360655738</v>
      </c>
      <c r="Q400">
        <f t="shared" si="54"/>
        <v>0.21904355251921434</v>
      </c>
      <c r="R400">
        <f t="shared" si="55"/>
        <v>6.6666666666666666E-2</v>
      </c>
    </row>
    <row r="401" spans="1:18" x14ac:dyDescent="0.3">
      <c r="A401">
        <v>6</v>
      </c>
      <c r="B401">
        <v>114</v>
      </c>
      <c r="C401">
        <v>88</v>
      </c>
      <c r="D401">
        <v>0</v>
      </c>
      <c r="E401">
        <v>0</v>
      </c>
      <c r="F401">
        <v>27.8</v>
      </c>
      <c r="G401">
        <v>0.247</v>
      </c>
      <c r="H401">
        <v>66</v>
      </c>
      <c r="I401">
        <v>0</v>
      </c>
      <c r="K401">
        <f t="shared" si="48"/>
        <v>0.35294117647058826</v>
      </c>
      <c r="L401">
        <f t="shared" si="49"/>
        <v>0.57286432160804024</v>
      </c>
      <c r="M401">
        <f t="shared" si="50"/>
        <v>0.72131147540983609</v>
      </c>
      <c r="N401">
        <f t="shared" si="51"/>
        <v>0</v>
      </c>
      <c r="O401">
        <f t="shared" si="52"/>
        <v>0</v>
      </c>
      <c r="P401">
        <f t="shared" si="53"/>
        <v>0.41430700447093893</v>
      </c>
      <c r="Q401">
        <f t="shared" si="54"/>
        <v>7.2160546541417583E-2</v>
      </c>
      <c r="R401">
        <f t="shared" si="55"/>
        <v>0.75</v>
      </c>
    </row>
    <row r="402" spans="1:18" x14ac:dyDescent="0.3">
      <c r="A402">
        <v>1</v>
      </c>
      <c r="B402">
        <v>88</v>
      </c>
      <c r="C402">
        <v>62</v>
      </c>
      <c r="D402">
        <v>24</v>
      </c>
      <c r="E402">
        <v>44</v>
      </c>
      <c r="F402">
        <v>29.9</v>
      </c>
      <c r="G402">
        <v>0.42199999999999999</v>
      </c>
      <c r="H402">
        <v>23</v>
      </c>
      <c r="I402">
        <v>0</v>
      </c>
      <c r="K402">
        <f t="shared" si="48"/>
        <v>5.8823529411764705E-2</v>
      </c>
      <c r="L402">
        <f t="shared" si="49"/>
        <v>0.44221105527638194</v>
      </c>
      <c r="M402">
        <f t="shared" si="50"/>
        <v>0.50819672131147542</v>
      </c>
      <c r="N402">
        <f t="shared" si="51"/>
        <v>0.24242424242424243</v>
      </c>
      <c r="O402">
        <f t="shared" si="52"/>
        <v>5.2009456264775412E-2</v>
      </c>
      <c r="P402">
        <f t="shared" si="53"/>
        <v>0.44560357675111772</v>
      </c>
      <c r="Q402">
        <f t="shared" si="54"/>
        <v>0.14688300597779674</v>
      </c>
      <c r="R402">
        <f t="shared" si="55"/>
        <v>3.3333333333333333E-2</v>
      </c>
    </row>
    <row r="403" spans="1:18" x14ac:dyDescent="0.3">
      <c r="A403">
        <v>1</v>
      </c>
      <c r="B403">
        <v>84</v>
      </c>
      <c r="C403">
        <v>64</v>
      </c>
      <c r="D403">
        <v>23</v>
      </c>
      <c r="E403">
        <v>115</v>
      </c>
      <c r="F403">
        <v>36.9</v>
      </c>
      <c r="G403">
        <v>0.47099999999999997</v>
      </c>
      <c r="H403">
        <v>28</v>
      </c>
      <c r="I403">
        <v>0</v>
      </c>
      <c r="K403">
        <f t="shared" si="48"/>
        <v>5.8823529411764705E-2</v>
      </c>
      <c r="L403">
        <f t="shared" si="49"/>
        <v>0.42211055276381909</v>
      </c>
      <c r="M403">
        <f t="shared" si="50"/>
        <v>0.52459016393442626</v>
      </c>
      <c r="N403">
        <f t="shared" si="51"/>
        <v>0.23232323232323232</v>
      </c>
      <c r="O403">
        <f t="shared" si="52"/>
        <v>0.13593380614657211</v>
      </c>
      <c r="P403">
        <f t="shared" si="53"/>
        <v>0.54992548435171384</v>
      </c>
      <c r="Q403">
        <f t="shared" si="54"/>
        <v>0.16780529461998289</v>
      </c>
      <c r="R403">
        <f t="shared" si="55"/>
        <v>0.11666666666666667</v>
      </c>
    </row>
    <row r="404" spans="1:18" x14ac:dyDescent="0.3">
      <c r="A404">
        <v>7</v>
      </c>
      <c r="B404">
        <v>124</v>
      </c>
      <c r="C404">
        <v>70</v>
      </c>
      <c r="D404">
        <v>33</v>
      </c>
      <c r="E404">
        <v>215</v>
      </c>
      <c r="F404">
        <v>25.5</v>
      </c>
      <c r="G404">
        <v>0.161</v>
      </c>
      <c r="H404">
        <v>37</v>
      </c>
      <c r="I404">
        <v>0</v>
      </c>
      <c r="K404">
        <f t="shared" si="48"/>
        <v>0.41176470588235292</v>
      </c>
      <c r="L404">
        <f t="shared" si="49"/>
        <v>0.62311557788944727</v>
      </c>
      <c r="M404">
        <f t="shared" si="50"/>
        <v>0.57377049180327866</v>
      </c>
      <c r="N404">
        <f t="shared" si="51"/>
        <v>0.33333333333333331</v>
      </c>
      <c r="O404">
        <f t="shared" si="52"/>
        <v>0.25413711583924348</v>
      </c>
      <c r="P404">
        <f t="shared" si="53"/>
        <v>0.38002980625931448</v>
      </c>
      <c r="Q404">
        <f t="shared" si="54"/>
        <v>3.5439795046968404E-2</v>
      </c>
      <c r="R404">
        <f t="shared" si="55"/>
        <v>0.26666666666666666</v>
      </c>
    </row>
    <row r="405" spans="1:18" x14ac:dyDescent="0.3">
      <c r="A405">
        <v>1</v>
      </c>
      <c r="B405">
        <v>97</v>
      </c>
      <c r="C405">
        <v>70</v>
      </c>
      <c r="D405">
        <v>40</v>
      </c>
      <c r="E405">
        <v>0</v>
      </c>
      <c r="F405">
        <v>38.1</v>
      </c>
      <c r="G405">
        <v>0.218</v>
      </c>
      <c r="H405">
        <v>30</v>
      </c>
      <c r="I405">
        <v>0</v>
      </c>
      <c r="K405">
        <f t="shared" si="48"/>
        <v>5.8823529411764705E-2</v>
      </c>
      <c r="L405">
        <f t="shared" si="49"/>
        <v>0.48743718592964824</v>
      </c>
      <c r="M405">
        <f t="shared" si="50"/>
        <v>0.57377049180327866</v>
      </c>
      <c r="N405">
        <f t="shared" si="51"/>
        <v>0.40404040404040403</v>
      </c>
      <c r="O405">
        <f t="shared" si="52"/>
        <v>0</v>
      </c>
      <c r="P405">
        <f t="shared" si="53"/>
        <v>0.56780923994038757</v>
      </c>
      <c r="Q405">
        <f t="shared" si="54"/>
        <v>5.9777967549103334E-2</v>
      </c>
      <c r="R405">
        <f t="shared" si="55"/>
        <v>0.15</v>
      </c>
    </row>
    <row r="406" spans="1:18" x14ac:dyDescent="0.3">
      <c r="A406">
        <v>8</v>
      </c>
      <c r="B406">
        <v>110</v>
      </c>
      <c r="C406">
        <v>76</v>
      </c>
      <c r="D406">
        <v>0</v>
      </c>
      <c r="E406">
        <v>0</v>
      </c>
      <c r="F406">
        <v>27.8</v>
      </c>
      <c r="G406">
        <v>0.23699999999999999</v>
      </c>
      <c r="H406">
        <v>58</v>
      </c>
      <c r="I406">
        <v>0</v>
      </c>
      <c r="K406">
        <f t="shared" si="48"/>
        <v>0.47058823529411764</v>
      </c>
      <c r="L406">
        <f t="shared" si="49"/>
        <v>0.55276381909547734</v>
      </c>
      <c r="M406">
        <f t="shared" si="50"/>
        <v>0.62295081967213117</v>
      </c>
      <c r="N406">
        <f t="shared" si="51"/>
        <v>0</v>
      </c>
      <c r="O406">
        <f t="shared" si="52"/>
        <v>0</v>
      </c>
      <c r="P406">
        <f t="shared" si="53"/>
        <v>0.41430700447093893</v>
      </c>
      <c r="Q406">
        <f t="shared" si="54"/>
        <v>6.7890691716481627E-2</v>
      </c>
      <c r="R406">
        <f t="shared" si="55"/>
        <v>0.6166666666666667</v>
      </c>
    </row>
    <row r="407" spans="1:18" x14ac:dyDescent="0.3">
      <c r="A407">
        <v>11</v>
      </c>
      <c r="B407">
        <v>103</v>
      </c>
      <c r="C407">
        <v>68</v>
      </c>
      <c r="D407">
        <v>40</v>
      </c>
      <c r="E407">
        <v>0</v>
      </c>
      <c r="F407">
        <v>46.2</v>
      </c>
      <c r="G407">
        <v>0.126</v>
      </c>
      <c r="H407">
        <v>42</v>
      </c>
      <c r="I407">
        <v>0</v>
      </c>
      <c r="K407">
        <f t="shared" si="48"/>
        <v>0.6470588235294118</v>
      </c>
      <c r="L407">
        <f t="shared" si="49"/>
        <v>0.51758793969849248</v>
      </c>
      <c r="M407">
        <f t="shared" si="50"/>
        <v>0.55737704918032782</v>
      </c>
      <c r="N407">
        <f t="shared" si="51"/>
        <v>0.40404040404040403</v>
      </c>
      <c r="O407">
        <f t="shared" si="52"/>
        <v>0</v>
      </c>
      <c r="P407">
        <f t="shared" si="53"/>
        <v>0.68852459016393452</v>
      </c>
      <c r="Q407">
        <f t="shared" si="54"/>
        <v>2.0495303159692571E-2</v>
      </c>
      <c r="R407">
        <f t="shared" si="55"/>
        <v>0.35</v>
      </c>
    </row>
    <row r="408" spans="1:18" x14ac:dyDescent="0.3">
      <c r="A408">
        <v>11</v>
      </c>
      <c r="B408">
        <v>85</v>
      </c>
      <c r="C408">
        <v>74</v>
      </c>
      <c r="D408">
        <v>0</v>
      </c>
      <c r="E408">
        <v>0</v>
      </c>
      <c r="F408">
        <v>30.1</v>
      </c>
      <c r="G408">
        <v>0.3</v>
      </c>
      <c r="H408">
        <v>35</v>
      </c>
      <c r="I408">
        <v>0</v>
      </c>
      <c r="K408">
        <f t="shared" si="48"/>
        <v>0.6470588235294118</v>
      </c>
      <c r="L408">
        <f t="shared" si="49"/>
        <v>0.42713567839195982</v>
      </c>
      <c r="M408">
        <f t="shared" si="50"/>
        <v>0.60655737704918034</v>
      </c>
      <c r="N408">
        <f t="shared" si="51"/>
        <v>0</v>
      </c>
      <c r="O408">
        <f t="shared" si="52"/>
        <v>0</v>
      </c>
      <c r="P408">
        <f t="shared" si="53"/>
        <v>0.44858420268256338</v>
      </c>
      <c r="Q408">
        <f t="shared" si="54"/>
        <v>9.4790777113578126E-2</v>
      </c>
      <c r="R408">
        <f t="shared" si="55"/>
        <v>0.23333333333333334</v>
      </c>
    </row>
    <row r="409" spans="1:18" x14ac:dyDescent="0.3">
      <c r="A409">
        <v>6</v>
      </c>
      <c r="B409">
        <v>125</v>
      </c>
      <c r="C409">
        <v>76</v>
      </c>
      <c r="D409">
        <v>0</v>
      </c>
      <c r="E409">
        <v>0</v>
      </c>
      <c r="F409">
        <v>33.799999999999997</v>
      </c>
      <c r="G409">
        <v>0.121</v>
      </c>
      <c r="H409">
        <v>54</v>
      </c>
      <c r="I409">
        <v>1</v>
      </c>
      <c r="K409">
        <f t="shared" si="48"/>
        <v>0.35294117647058826</v>
      </c>
      <c r="L409">
        <f t="shared" si="49"/>
        <v>0.62814070351758799</v>
      </c>
      <c r="M409">
        <f t="shared" si="50"/>
        <v>0.62295081967213117</v>
      </c>
      <c r="N409">
        <f t="shared" si="51"/>
        <v>0</v>
      </c>
      <c r="O409">
        <f t="shared" si="52"/>
        <v>0</v>
      </c>
      <c r="P409">
        <f t="shared" si="53"/>
        <v>0.50372578241430699</v>
      </c>
      <c r="Q409">
        <f t="shared" si="54"/>
        <v>1.8360375747224593E-2</v>
      </c>
      <c r="R409">
        <f t="shared" si="55"/>
        <v>0.55000000000000004</v>
      </c>
    </row>
    <row r="410" spans="1:18" x14ac:dyDescent="0.3">
      <c r="A410">
        <v>0</v>
      </c>
      <c r="B410">
        <v>198</v>
      </c>
      <c r="C410">
        <v>66</v>
      </c>
      <c r="D410">
        <v>32</v>
      </c>
      <c r="E410">
        <v>274</v>
      </c>
      <c r="F410">
        <v>41.3</v>
      </c>
      <c r="G410">
        <v>0.502</v>
      </c>
      <c r="H410">
        <v>28</v>
      </c>
      <c r="I410">
        <v>1</v>
      </c>
      <c r="K410">
        <f t="shared" si="48"/>
        <v>0</v>
      </c>
      <c r="L410">
        <f t="shared" si="49"/>
        <v>0.99497487437185927</v>
      </c>
      <c r="M410">
        <f t="shared" si="50"/>
        <v>0.54098360655737709</v>
      </c>
      <c r="N410">
        <f t="shared" si="51"/>
        <v>0.32323232323232326</v>
      </c>
      <c r="O410">
        <f t="shared" si="52"/>
        <v>0.32387706855791965</v>
      </c>
      <c r="P410">
        <f t="shared" si="53"/>
        <v>0.6154992548435172</v>
      </c>
      <c r="Q410">
        <f t="shared" si="54"/>
        <v>0.18104184457728437</v>
      </c>
      <c r="R410">
        <f t="shared" si="55"/>
        <v>0.11666666666666667</v>
      </c>
    </row>
    <row r="411" spans="1:18" x14ac:dyDescent="0.3">
      <c r="A411">
        <v>1</v>
      </c>
      <c r="B411">
        <v>87</v>
      </c>
      <c r="C411">
        <v>68</v>
      </c>
      <c r="D411">
        <v>34</v>
      </c>
      <c r="E411">
        <v>77</v>
      </c>
      <c r="F411">
        <v>37.6</v>
      </c>
      <c r="G411">
        <v>0.40100000000000002</v>
      </c>
      <c r="H411">
        <v>24</v>
      </c>
      <c r="I411">
        <v>0</v>
      </c>
      <c r="K411">
        <f t="shared" si="48"/>
        <v>5.8823529411764705E-2</v>
      </c>
      <c r="L411">
        <f t="shared" si="49"/>
        <v>0.43718592964824121</v>
      </c>
      <c r="M411">
        <f t="shared" si="50"/>
        <v>0.55737704918032782</v>
      </c>
      <c r="N411">
        <f t="shared" si="51"/>
        <v>0.34343434343434343</v>
      </c>
      <c r="O411">
        <f t="shared" si="52"/>
        <v>9.101654846335698E-2</v>
      </c>
      <c r="P411">
        <f t="shared" si="53"/>
        <v>0.56035767511177359</v>
      </c>
      <c r="Q411">
        <f t="shared" si="54"/>
        <v>0.13791631084543127</v>
      </c>
      <c r="R411">
        <f t="shared" si="55"/>
        <v>0.05</v>
      </c>
    </row>
    <row r="412" spans="1:18" x14ac:dyDescent="0.3">
      <c r="A412">
        <v>6</v>
      </c>
      <c r="B412">
        <v>99</v>
      </c>
      <c r="C412">
        <v>60</v>
      </c>
      <c r="D412">
        <v>19</v>
      </c>
      <c r="E412">
        <v>54</v>
      </c>
      <c r="F412">
        <v>26.9</v>
      </c>
      <c r="G412">
        <v>0.497</v>
      </c>
      <c r="H412">
        <v>32</v>
      </c>
      <c r="I412">
        <v>0</v>
      </c>
      <c r="K412">
        <f t="shared" si="48"/>
        <v>0.35294117647058826</v>
      </c>
      <c r="L412">
        <f t="shared" si="49"/>
        <v>0.49748743718592964</v>
      </c>
      <c r="M412">
        <f t="shared" si="50"/>
        <v>0.49180327868852458</v>
      </c>
      <c r="N412">
        <f t="shared" si="51"/>
        <v>0.19191919191919191</v>
      </c>
      <c r="O412">
        <f t="shared" si="52"/>
        <v>6.3829787234042548E-2</v>
      </c>
      <c r="P412">
        <f t="shared" si="53"/>
        <v>0.4008941877794337</v>
      </c>
      <c r="Q412">
        <f t="shared" si="54"/>
        <v>0.17890691716481638</v>
      </c>
      <c r="R412">
        <f t="shared" si="55"/>
        <v>0.18333333333333332</v>
      </c>
    </row>
    <row r="413" spans="1:18" x14ac:dyDescent="0.3">
      <c r="A413">
        <v>0</v>
      </c>
      <c r="B413">
        <v>91</v>
      </c>
      <c r="C413">
        <v>80</v>
      </c>
      <c r="D413">
        <v>0</v>
      </c>
      <c r="E413">
        <v>0</v>
      </c>
      <c r="F413">
        <v>32.4</v>
      </c>
      <c r="G413">
        <v>0.60099999999999998</v>
      </c>
      <c r="H413">
        <v>27</v>
      </c>
      <c r="I413">
        <v>0</v>
      </c>
      <c r="K413">
        <f t="shared" si="48"/>
        <v>0</v>
      </c>
      <c r="L413">
        <f t="shared" si="49"/>
        <v>0.457286432160804</v>
      </c>
      <c r="M413">
        <f t="shared" si="50"/>
        <v>0.65573770491803274</v>
      </c>
      <c r="N413">
        <f t="shared" si="51"/>
        <v>0</v>
      </c>
      <c r="O413">
        <f t="shared" si="52"/>
        <v>0</v>
      </c>
      <c r="P413">
        <f t="shared" si="53"/>
        <v>0.48286140089418778</v>
      </c>
      <c r="Q413">
        <f t="shared" si="54"/>
        <v>0.22331340734415031</v>
      </c>
      <c r="R413">
        <f t="shared" si="55"/>
        <v>0.1</v>
      </c>
    </row>
    <row r="414" spans="1:18" x14ac:dyDescent="0.3">
      <c r="A414">
        <v>2</v>
      </c>
      <c r="B414">
        <v>95</v>
      </c>
      <c r="C414">
        <v>54</v>
      </c>
      <c r="D414">
        <v>14</v>
      </c>
      <c r="E414">
        <v>88</v>
      </c>
      <c r="F414">
        <v>26.1</v>
      </c>
      <c r="G414">
        <v>0.748</v>
      </c>
      <c r="H414">
        <v>22</v>
      </c>
      <c r="I414">
        <v>0</v>
      </c>
      <c r="K414">
        <f t="shared" si="48"/>
        <v>0.11764705882352941</v>
      </c>
      <c r="L414">
        <f t="shared" si="49"/>
        <v>0.47738693467336685</v>
      </c>
      <c r="M414">
        <f t="shared" si="50"/>
        <v>0.44262295081967212</v>
      </c>
      <c r="N414">
        <f t="shared" si="51"/>
        <v>0.14141414141414141</v>
      </c>
      <c r="O414">
        <f t="shared" si="52"/>
        <v>0.10401891252955082</v>
      </c>
      <c r="P414">
        <f t="shared" si="53"/>
        <v>0.38897168405365135</v>
      </c>
      <c r="Q414">
        <f t="shared" si="54"/>
        <v>0.28608027327070878</v>
      </c>
      <c r="R414">
        <f t="shared" si="55"/>
        <v>1.6666666666666666E-2</v>
      </c>
    </row>
    <row r="415" spans="1:18" x14ac:dyDescent="0.3">
      <c r="A415">
        <v>1</v>
      </c>
      <c r="B415">
        <v>99</v>
      </c>
      <c r="C415">
        <v>72</v>
      </c>
      <c r="D415">
        <v>30</v>
      </c>
      <c r="E415">
        <v>18</v>
      </c>
      <c r="F415">
        <v>38.6</v>
      </c>
      <c r="G415">
        <v>0.41199999999999998</v>
      </c>
      <c r="H415">
        <v>21</v>
      </c>
      <c r="I415">
        <v>0</v>
      </c>
      <c r="K415">
        <f t="shared" si="48"/>
        <v>5.8823529411764705E-2</v>
      </c>
      <c r="L415">
        <f t="shared" si="49"/>
        <v>0.49748743718592964</v>
      </c>
      <c r="M415">
        <f t="shared" si="50"/>
        <v>0.5901639344262295</v>
      </c>
      <c r="N415">
        <f t="shared" si="51"/>
        <v>0.30303030303030304</v>
      </c>
      <c r="O415">
        <f t="shared" si="52"/>
        <v>2.1276595744680851E-2</v>
      </c>
      <c r="P415">
        <f t="shared" si="53"/>
        <v>0.57526080476900154</v>
      </c>
      <c r="Q415">
        <f t="shared" si="54"/>
        <v>0.14261315115286077</v>
      </c>
      <c r="R415">
        <f t="shared" si="55"/>
        <v>0</v>
      </c>
    </row>
    <row r="416" spans="1:18" x14ac:dyDescent="0.3">
      <c r="A416">
        <v>6</v>
      </c>
      <c r="B416">
        <v>92</v>
      </c>
      <c r="C416">
        <v>62</v>
      </c>
      <c r="D416">
        <v>32</v>
      </c>
      <c r="E416">
        <v>126</v>
      </c>
      <c r="F416">
        <v>32</v>
      </c>
      <c r="G416">
        <v>8.5000000000000006E-2</v>
      </c>
      <c r="H416">
        <v>46</v>
      </c>
      <c r="I416">
        <v>0</v>
      </c>
      <c r="K416">
        <f t="shared" si="48"/>
        <v>0.35294117647058826</v>
      </c>
      <c r="L416">
        <f t="shared" si="49"/>
        <v>0.46231155778894473</v>
      </c>
      <c r="M416">
        <f t="shared" si="50"/>
        <v>0.50819672131147542</v>
      </c>
      <c r="N416">
        <f t="shared" si="51"/>
        <v>0.32323232323232326</v>
      </c>
      <c r="O416">
        <f t="shared" si="52"/>
        <v>0.14893617021276595</v>
      </c>
      <c r="P416">
        <f t="shared" si="53"/>
        <v>0.47690014903129663</v>
      </c>
      <c r="Q416">
        <f t="shared" si="54"/>
        <v>2.9888983774551689E-3</v>
      </c>
      <c r="R416">
        <f t="shared" si="55"/>
        <v>0.41666666666666669</v>
      </c>
    </row>
    <row r="417" spans="1:18" x14ac:dyDescent="0.3">
      <c r="A417">
        <v>4</v>
      </c>
      <c r="B417">
        <v>154</v>
      </c>
      <c r="C417">
        <v>72</v>
      </c>
      <c r="D417">
        <v>29</v>
      </c>
      <c r="E417">
        <v>126</v>
      </c>
      <c r="F417">
        <v>31.3</v>
      </c>
      <c r="G417">
        <v>0.33800000000000002</v>
      </c>
      <c r="H417">
        <v>37</v>
      </c>
      <c r="I417">
        <v>0</v>
      </c>
      <c r="K417">
        <f t="shared" si="48"/>
        <v>0.23529411764705882</v>
      </c>
      <c r="L417">
        <f t="shared" si="49"/>
        <v>0.77386934673366836</v>
      </c>
      <c r="M417">
        <f t="shared" si="50"/>
        <v>0.5901639344262295</v>
      </c>
      <c r="N417">
        <f t="shared" si="51"/>
        <v>0.29292929292929293</v>
      </c>
      <c r="O417">
        <f t="shared" si="52"/>
        <v>0.14893617021276595</v>
      </c>
      <c r="P417">
        <f t="shared" si="53"/>
        <v>0.46646795827123699</v>
      </c>
      <c r="Q417">
        <f t="shared" si="54"/>
        <v>0.11101622544833475</v>
      </c>
      <c r="R417">
        <f t="shared" si="55"/>
        <v>0.26666666666666666</v>
      </c>
    </row>
    <row r="418" spans="1:18" x14ac:dyDescent="0.3">
      <c r="A418">
        <v>0</v>
      </c>
      <c r="B418">
        <v>121</v>
      </c>
      <c r="C418">
        <v>66</v>
      </c>
      <c r="D418">
        <v>30</v>
      </c>
      <c r="E418">
        <v>165</v>
      </c>
      <c r="F418">
        <v>34.299999999999997</v>
      </c>
      <c r="G418">
        <v>0.20300000000000001</v>
      </c>
      <c r="H418">
        <v>33</v>
      </c>
      <c r="I418">
        <v>1</v>
      </c>
      <c r="K418">
        <f t="shared" si="48"/>
        <v>0</v>
      </c>
      <c r="L418">
        <f t="shared" si="49"/>
        <v>0.60804020100502509</v>
      </c>
      <c r="M418">
        <f t="shared" si="50"/>
        <v>0.54098360655737709</v>
      </c>
      <c r="N418">
        <f t="shared" si="51"/>
        <v>0.30303030303030304</v>
      </c>
      <c r="O418">
        <f t="shared" si="52"/>
        <v>0.19503546099290781</v>
      </c>
      <c r="P418">
        <f t="shared" si="53"/>
        <v>0.51117734724292097</v>
      </c>
      <c r="Q418">
        <f t="shared" si="54"/>
        <v>5.3373185311699399E-2</v>
      </c>
      <c r="R418">
        <f t="shared" si="55"/>
        <v>0.2</v>
      </c>
    </row>
    <row r="419" spans="1:18" x14ac:dyDescent="0.3">
      <c r="A419">
        <v>3</v>
      </c>
      <c r="B419">
        <v>78</v>
      </c>
      <c r="C419">
        <v>70</v>
      </c>
      <c r="D419">
        <v>0</v>
      </c>
      <c r="E419">
        <v>0</v>
      </c>
      <c r="F419">
        <v>32.5</v>
      </c>
      <c r="G419">
        <v>0.27</v>
      </c>
      <c r="H419">
        <v>39</v>
      </c>
      <c r="I419">
        <v>0</v>
      </c>
      <c r="K419">
        <f t="shared" si="48"/>
        <v>0.17647058823529413</v>
      </c>
      <c r="L419">
        <f t="shared" si="49"/>
        <v>0.39195979899497485</v>
      </c>
      <c r="M419">
        <f t="shared" si="50"/>
        <v>0.57377049180327866</v>
      </c>
      <c r="N419">
        <f t="shared" si="51"/>
        <v>0</v>
      </c>
      <c r="O419">
        <f t="shared" si="52"/>
        <v>0</v>
      </c>
      <c r="P419">
        <f t="shared" si="53"/>
        <v>0.4843517138599106</v>
      </c>
      <c r="Q419">
        <f t="shared" si="54"/>
        <v>8.1981212638770284E-2</v>
      </c>
      <c r="R419">
        <f t="shared" si="55"/>
        <v>0.3</v>
      </c>
    </row>
    <row r="420" spans="1:18" x14ac:dyDescent="0.3">
      <c r="A420">
        <v>2</v>
      </c>
      <c r="B420">
        <v>130</v>
      </c>
      <c r="C420">
        <v>96</v>
      </c>
      <c r="D420">
        <v>0</v>
      </c>
      <c r="E420">
        <v>0</v>
      </c>
      <c r="F420">
        <v>22.6</v>
      </c>
      <c r="G420">
        <v>0.26800000000000002</v>
      </c>
      <c r="H420">
        <v>21</v>
      </c>
      <c r="I420">
        <v>0</v>
      </c>
      <c r="K420">
        <f t="shared" si="48"/>
        <v>0.11764705882352941</v>
      </c>
      <c r="L420">
        <f t="shared" si="49"/>
        <v>0.65326633165829151</v>
      </c>
      <c r="M420">
        <f t="shared" si="50"/>
        <v>0.78688524590163933</v>
      </c>
      <c r="N420">
        <f t="shared" si="51"/>
        <v>0</v>
      </c>
      <c r="O420">
        <f t="shared" si="52"/>
        <v>0</v>
      </c>
      <c r="P420">
        <f t="shared" si="53"/>
        <v>0.33681073025335323</v>
      </c>
      <c r="Q420">
        <f t="shared" si="54"/>
        <v>8.1127241673783088E-2</v>
      </c>
      <c r="R420">
        <f t="shared" si="55"/>
        <v>0</v>
      </c>
    </row>
    <row r="421" spans="1:18" x14ac:dyDescent="0.3">
      <c r="A421">
        <v>3</v>
      </c>
      <c r="B421">
        <v>111</v>
      </c>
      <c r="C421">
        <v>58</v>
      </c>
      <c r="D421">
        <v>31</v>
      </c>
      <c r="E421">
        <v>44</v>
      </c>
      <c r="F421">
        <v>29.5</v>
      </c>
      <c r="G421">
        <v>0.43</v>
      </c>
      <c r="H421">
        <v>22</v>
      </c>
      <c r="I421">
        <v>0</v>
      </c>
      <c r="K421">
        <f t="shared" si="48"/>
        <v>0.17647058823529413</v>
      </c>
      <c r="L421">
        <f t="shared" si="49"/>
        <v>0.55778894472361806</v>
      </c>
      <c r="M421">
        <f t="shared" si="50"/>
        <v>0.47540983606557374</v>
      </c>
      <c r="N421">
        <f t="shared" si="51"/>
        <v>0.31313131313131315</v>
      </c>
      <c r="O421">
        <f t="shared" si="52"/>
        <v>5.2009456264775412E-2</v>
      </c>
      <c r="P421">
        <f t="shared" si="53"/>
        <v>0.43964232488822658</v>
      </c>
      <c r="Q421">
        <f t="shared" si="54"/>
        <v>0.1502988898377455</v>
      </c>
      <c r="R421">
        <f t="shared" si="55"/>
        <v>1.6666666666666666E-2</v>
      </c>
    </row>
    <row r="422" spans="1:18" x14ac:dyDescent="0.3">
      <c r="A422">
        <v>2</v>
      </c>
      <c r="B422">
        <v>98</v>
      </c>
      <c r="C422">
        <v>60</v>
      </c>
      <c r="D422">
        <v>17</v>
      </c>
      <c r="E422">
        <v>120</v>
      </c>
      <c r="F422">
        <v>34.700000000000003</v>
      </c>
      <c r="G422">
        <v>0.19800000000000001</v>
      </c>
      <c r="H422">
        <v>22</v>
      </c>
      <c r="I422">
        <v>0</v>
      </c>
      <c r="K422">
        <f t="shared" si="48"/>
        <v>0.11764705882352941</v>
      </c>
      <c r="L422">
        <f t="shared" si="49"/>
        <v>0.49246231155778897</v>
      </c>
      <c r="M422">
        <f t="shared" si="50"/>
        <v>0.49180327868852458</v>
      </c>
      <c r="N422">
        <f t="shared" si="51"/>
        <v>0.17171717171717171</v>
      </c>
      <c r="O422">
        <f t="shared" si="52"/>
        <v>0.14184397163120568</v>
      </c>
      <c r="P422">
        <f t="shared" si="53"/>
        <v>0.51713859910581228</v>
      </c>
      <c r="Q422">
        <f t="shared" si="54"/>
        <v>5.1238257899231428E-2</v>
      </c>
      <c r="R422">
        <f t="shared" si="55"/>
        <v>1.6666666666666666E-2</v>
      </c>
    </row>
    <row r="423" spans="1:18" x14ac:dyDescent="0.3">
      <c r="A423">
        <v>1</v>
      </c>
      <c r="B423">
        <v>143</v>
      </c>
      <c r="C423">
        <v>86</v>
      </c>
      <c r="D423">
        <v>30</v>
      </c>
      <c r="E423">
        <v>330</v>
      </c>
      <c r="F423">
        <v>30.1</v>
      </c>
      <c r="G423">
        <v>0.89200000000000002</v>
      </c>
      <c r="H423">
        <v>23</v>
      </c>
      <c r="I423">
        <v>0</v>
      </c>
      <c r="K423">
        <f t="shared" si="48"/>
        <v>5.8823529411764705E-2</v>
      </c>
      <c r="L423">
        <f t="shared" si="49"/>
        <v>0.71859296482412061</v>
      </c>
      <c r="M423">
        <f t="shared" si="50"/>
        <v>0.70491803278688525</v>
      </c>
      <c r="N423">
        <f t="shared" si="51"/>
        <v>0.30303030303030304</v>
      </c>
      <c r="O423">
        <f t="shared" si="52"/>
        <v>0.39007092198581561</v>
      </c>
      <c r="P423">
        <f t="shared" si="53"/>
        <v>0.44858420268256338</v>
      </c>
      <c r="Q423">
        <f t="shared" si="54"/>
        <v>0.34756618274978651</v>
      </c>
      <c r="R423">
        <f t="shared" si="55"/>
        <v>3.3333333333333333E-2</v>
      </c>
    </row>
    <row r="424" spans="1:18" x14ac:dyDescent="0.3">
      <c r="A424">
        <v>1</v>
      </c>
      <c r="B424">
        <v>119</v>
      </c>
      <c r="C424">
        <v>44</v>
      </c>
      <c r="D424">
        <v>47</v>
      </c>
      <c r="E424">
        <v>63</v>
      </c>
      <c r="F424">
        <v>35.5</v>
      </c>
      <c r="G424">
        <v>0.28000000000000003</v>
      </c>
      <c r="H424">
        <v>25</v>
      </c>
      <c r="I424">
        <v>0</v>
      </c>
      <c r="K424">
        <f t="shared" si="48"/>
        <v>5.8823529411764705E-2</v>
      </c>
      <c r="L424">
        <f t="shared" si="49"/>
        <v>0.59798994974874375</v>
      </c>
      <c r="M424">
        <f t="shared" si="50"/>
        <v>0.36065573770491804</v>
      </c>
      <c r="N424">
        <f t="shared" si="51"/>
        <v>0.47474747474747475</v>
      </c>
      <c r="O424">
        <f t="shared" si="52"/>
        <v>7.4468085106382975E-2</v>
      </c>
      <c r="P424">
        <f t="shared" si="53"/>
        <v>0.52906110283159469</v>
      </c>
      <c r="Q424">
        <f t="shared" si="54"/>
        <v>8.6251067463706241E-2</v>
      </c>
      <c r="R424">
        <f t="shared" si="55"/>
        <v>6.6666666666666666E-2</v>
      </c>
    </row>
    <row r="425" spans="1:18" x14ac:dyDescent="0.3">
      <c r="A425">
        <v>6</v>
      </c>
      <c r="B425">
        <v>108</v>
      </c>
      <c r="C425">
        <v>44</v>
      </c>
      <c r="D425">
        <v>20</v>
      </c>
      <c r="E425">
        <v>130</v>
      </c>
      <c r="F425">
        <v>24</v>
      </c>
      <c r="G425">
        <v>0.81299999999999994</v>
      </c>
      <c r="H425">
        <v>35</v>
      </c>
      <c r="I425">
        <v>0</v>
      </c>
      <c r="K425">
        <f t="shared" si="48"/>
        <v>0.35294117647058826</v>
      </c>
      <c r="L425">
        <f t="shared" si="49"/>
        <v>0.542713567839196</v>
      </c>
      <c r="M425">
        <f t="shared" si="50"/>
        <v>0.36065573770491804</v>
      </c>
      <c r="N425">
        <f t="shared" si="51"/>
        <v>0.20202020202020202</v>
      </c>
      <c r="O425">
        <f t="shared" si="52"/>
        <v>0.15366430260047281</v>
      </c>
      <c r="P425">
        <f t="shared" si="53"/>
        <v>0.35767511177347244</v>
      </c>
      <c r="Q425">
        <f t="shared" si="54"/>
        <v>0.31383432963279245</v>
      </c>
      <c r="R425">
        <f t="shared" si="55"/>
        <v>0.23333333333333334</v>
      </c>
    </row>
    <row r="426" spans="1:18" x14ac:dyDescent="0.3">
      <c r="A426">
        <v>2</v>
      </c>
      <c r="B426">
        <v>118</v>
      </c>
      <c r="C426">
        <v>80</v>
      </c>
      <c r="D426">
        <v>0</v>
      </c>
      <c r="E426">
        <v>0</v>
      </c>
      <c r="F426">
        <v>42.9</v>
      </c>
      <c r="G426">
        <v>0.69299999999999995</v>
      </c>
      <c r="H426">
        <v>21</v>
      </c>
      <c r="I426">
        <v>1</v>
      </c>
      <c r="K426">
        <f t="shared" si="48"/>
        <v>0.11764705882352941</v>
      </c>
      <c r="L426">
        <f t="shared" si="49"/>
        <v>0.59296482412060303</v>
      </c>
      <c r="M426">
        <f t="shared" si="50"/>
        <v>0.65573770491803274</v>
      </c>
      <c r="N426">
        <f t="shared" si="51"/>
        <v>0</v>
      </c>
      <c r="O426">
        <f t="shared" si="52"/>
        <v>0</v>
      </c>
      <c r="P426">
        <f t="shared" si="53"/>
        <v>0.63934426229508201</v>
      </c>
      <c r="Q426">
        <f t="shared" si="54"/>
        <v>0.26259607173356103</v>
      </c>
      <c r="R426">
        <f t="shared" si="55"/>
        <v>0</v>
      </c>
    </row>
    <row r="427" spans="1:18" x14ac:dyDescent="0.3">
      <c r="A427">
        <v>10</v>
      </c>
      <c r="B427">
        <v>133</v>
      </c>
      <c r="C427">
        <v>68</v>
      </c>
      <c r="D427">
        <v>0</v>
      </c>
      <c r="E427">
        <v>0</v>
      </c>
      <c r="F427">
        <v>27</v>
      </c>
      <c r="G427">
        <v>0.245</v>
      </c>
      <c r="H427">
        <v>36</v>
      </c>
      <c r="I427">
        <v>0</v>
      </c>
      <c r="K427">
        <f t="shared" si="48"/>
        <v>0.58823529411764708</v>
      </c>
      <c r="L427">
        <f t="shared" si="49"/>
        <v>0.66834170854271358</v>
      </c>
      <c r="M427">
        <f t="shared" si="50"/>
        <v>0.55737704918032782</v>
      </c>
      <c r="N427">
        <f t="shared" si="51"/>
        <v>0</v>
      </c>
      <c r="O427">
        <f t="shared" si="52"/>
        <v>0</v>
      </c>
      <c r="P427">
        <f t="shared" si="53"/>
        <v>0.40238450074515653</v>
      </c>
      <c r="Q427">
        <f t="shared" si="54"/>
        <v>7.1306575576430387E-2</v>
      </c>
      <c r="R427">
        <f t="shared" si="55"/>
        <v>0.25</v>
      </c>
    </row>
    <row r="428" spans="1:18" x14ac:dyDescent="0.3">
      <c r="A428">
        <v>2</v>
      </c>
      <c r="B428">
        <v>197</v>
      </c>
      <c r="C428">
        <v>70</v>
      </c>
      <c r="D428">
        <v>99</v>
      </c>
      <c r="E428">
        <v>0</v>
      </c>
      <c r="F428">
        <v>34.700000000000003</v>
      </c>
      <c r="G428">
        <v>0.57499999999999996</v>
      </c>
      <c r="H428">
        <v>62</v>
      </c>
      <c r="I428">
        <v>1</v>
      </c>
      <c r="K428">
        <f t="shared" si="48"/>
        <v>0.11764705882352941</v>
      </c>
      <c r="L428">
        <f t="shared" si="49"/>
        <v>0.98994974874371855</v>
      </c>
      <c r="M428">
        <f t="shared" si="50"/>
        <v>0.57377049180327866</v>
      </c>
      <c r="N428">
        <f t="shared" si="51"/>
        <v>1</v>
      </c>
      <c r="O428">
        <f t="shared" si="52"/>
        <v>0</v>
      </c>
      <c r="P428">
        <f t="shared" si="53"/>
        <v>0.51713859910581228</v>
      </c>
      <c r="Q428">
        <f t="shared" si="54"/>
        <v>0.21221178479931679</v>
      </c>
      <c r="R428">
        <f t="shared" si="55"/>
        <v>0.68333333333333335</v>
      </c>
    </row>
    <row r="429" spans="1:18" x14ac:dyDescent="0.3">
      <c r="A429">
        <v>0</v>
      </c>
      <c r="B429">
        <v>151</v>
      </c>
      <c r="C429">
        <v>90</v>
      </c>
      <c r="D429">
        <v>46</v>
      </c>
      <c r="E429">
        <v>0</v>
      </c>
      <c r="F429">
        <v>42.1</v>
      </c>
      <c r="G429">
        <v>0.371</v>
      </c>
      <c r="H429">
        <v>21</v>
      </c>
      <c r="I429">
        <v>1</v>
      </c>
      <c r="K429">
        <f t="shared" si="48"/>
        <v>0</v>
      </c>
      <c r="L429">
        <f t="shared" si="49"/>
        <v>0.75879396984924619</v>
      </c>
      <c r="M429">
        <f t="shared" si="50"/>
        <v>0.73770491803278693</v>
      </c>
      <c r="N429">
        <f t="shared" si="51"/>
        <v>0.46464646464646464</v>
      </c>
      <c r="O429">
        <f t="shared" si="52"/>
        <v>0</v>
      </c>
      <c r="P429">
        <f t="shared" si="53"/>
        <v>0.6274217585692996</v>
      </c>
      <c r="Q429">
        <f t="shared" si="54"/>
        <v>0.12510674637062338</v>
      </c>
      <c r="R429">
        <f t="shared" si="55"/>
        <v>0</v>
      </c>
    </row>
    <row r="430" spans="1:18" x14ac:dyDescent="0.3">
      <c r="A430">
        <v>6</v>
      </c>
      <c r="B430">
        <v>109</v>
      </c>
      <c r="C430">
        <v>60</v>
      </c>
      <c r="D430">
        <v>27</v>
      </c>
      <c r="E430">
        <v>0</v>
      </c>
      <c r="F430">
        <v>25</v>
      </c>
      <c r="G430">
        <v>0.20599999999999999</v>
      </c>
      <c r="H430">
        <v>27</v>
      </c>
      <c r="I430">
        <v>0</v>
      </c>
      <c r="K430">
        <f t="shared" si="48"/>
        <v>0.35294117647058826</v>
      </c>
      <c r="L430">
        <f t="shared" si="49"/>
        <v>0.54773869346733672</v>
      </c>
      <c r="M430">
        <f t="shared" si="50"/>
        <v>0.49180327868852458</v>
      </c>
      <c r="N430">
        <f t="shared" si="51"/>
        <v>0.27272727272727271</v>
      </c>
      <c r="O430">
        <f t="shared" si="52"/>
        <v>0</v>
      </c>
      <c r="P430">
        <f t="shared" si="53"/>
        <v>0.37257824143070045</v>
      </c>
      <c r="Q430">
        <f t="shared" si="54"/>
        <v>5.4654141759180187E-2</v>
      </c>
      <c r="R430">
        <f t="shared" si="55"/>
        <v>0.1</v>
      </c>
    </row>
    <row r="431" spans="1:18" x14ac:dyDescent="0.3">
      <c r="A431">
        <v>12</v>
      </c>
      <c r="B431">
        <v>121</v>
      </c>
      <c r="C431">
        <v>78</v>
      </c>
      <c r="D431">
        <v>17</v>
      </c>
      <c r="E431">
        <v>0</v>
      </c>
      <c r="F431">
        <v>26.5</v>
      </c>
      <c r="G431">
        <v>0.25900000000000001</v>
      </c>
      <c r="H431">
        <v>62</v>
      </c>
      <c r="I431">
        <v>0</v>
      </c>
      <c r="K431">
        <f t="shared" si="48"/>
        <v>0.70588235294117652</v>
      </c>
      <c r="L431">
        <f t="shared" si="49"/>
        <v>0.60804020100502509</v>
      </c>
      <c r="M431">
        <f t="shared" si="50"/>
        <v>0.63934426229508201</v>
      </c>
      <c r="N431">
        <f t="shared" si="51"/>
        <v>0.17171717171717171</v>
      </c>
      <c r="O431">
        <f t="shared" si="52"/>
        <v>0</v>
      </c>
      <c r="P431">
        <f t="shared" si="53"/>
        <v>0.39493293591654249</v>
      </c>
      <c r="Q431">
        <f t="shared" si="54"/>
        <v>7.7284372331340723E-2</v>
      </c>
      <c r="R431">
        <f t="shared" si="55"/>
        <v>0.68333333333333335</v>
      </c>
    </row>
    <row r="432" spans="1:18" x14ac:dyDescent="0.3">
      <c r="A432">
        <v>8</v>
      </c>
      <c r="B432">
        <v>100</v>
      </c>
      <c r="C432">
        <v>76</v>
      </c>
      <c r="D432">
        <v>0</v>
      </c>
      <c r="E432">
        <v>0</v>
      </c>
      <c r="F432">
        <v>38.700000000000003</v>
      </c>
      <c r="G432">
        <v>0.19</v>
      </c>
      <c r="H432">
        <v>42</v>
      </c>
      <c r="I432">
        <v>0</v>
      </c>
      <c r="K432">
        <f t="shared" si="48"/>
        <v>0.47058823529411764</v>
      </c>
      <c r="L432">
        <f t="shared" si="49"/>
        <v>0.50251256281407031</v>
      </c>
      <c r="M432">
        <f t="shared" si="50"/>
        <v>0.62295081967213117</v>
      </c>
      <c r="N432">
        <f t="shared" si="51"/>
        <v>0</v>
      </c>
      <c r="O432">
        <f t="shared" si="52"/>
        <v>0</v>
      </c>
      <c r="P432">
        <f t="shared" si="53"/>
        <v>0.57675111773472443</v>
      </c>
      <c r="Q432">
        <f t="shared" si="54"/>
        <v>4.7822374039282661E-2</v>
      </c>
      <c r="R432">
        <f t="shared" si="55"/>
        <v>0.35</v>
      </c>
    </row>
    <row r="433" spans="1:18" x14ac:dyDescent="0.3">
      <c r="A433">
        <v>8</v>
      </c>
      <c r="B433">
        <v>124</v>
      </c>
      <c r="C433">
        <v>76</v>
      </c>
      <c r="D433">
        <v>24</v>
      </c>
      <c r="E433">
        <v>600</v>
      </c>
      <c r="F433">
        <v>28.7</v>
      </c>
      <c r="G433">
        <v>0.68700000000000006</v>
      </c>
      <c r="H433">
        <v>52</v>
      </c>
      <c r="I433">
        <v>1</v>
      </c>
      <c r="K433">
        <f t="shared" si="48"/>
        <v>0.47058823529411764</v>
      </c>
      <c r="L433">
        <f t="shared" si="49"/>
        <v>0.62311557788944727</v>
      </c>
      <c r="M433">
        <f t="shared" si="50"/>
        <v>0.62295081967213117</v>
      </c>
      <c r="N433">
        <f t="shared" si="51"/>
        <v>0.24242424242424243</v>
      </c>
      <c r="O433">
        <f t="shared" si="52"/>
        <v>0.70921985815602839</v>
      </c>
      <c r="P433">
        <f t="shared" si="53"/>
        <v>0.42771982116244411</v>
      </c>
      <c r="Q433">
        <f t="shared" si="54"/>
        <v>0.26003415883859954</v>
      </c>
      <c r="R433">
        <f t="shared" si="55"/>
        <v>0.51666666666666672</v>
      </c>
    </row>
    <row r="434" spans="1:18" x14ac:dyDescent="0.3">
      <c r="A434">
        <v>1</v>
      </c>
      <c r="B434">
        <v>93</v>
      </c>
      <c r="C434">
        <v>56</v>
      </c>
      <c r="D434">
        <v>11</v>
      </c>
      <c r="E434">
        <v>0</v>
      </c>
      <c r="F434">
        <v>22.5</v>
      </c>
      <c r="G434">
        <v>0.41699999999999998</v>
      </c>
      <c r="H434">
        <v>22</v>
      </c>
      <c r="I434">
        <v>0</v>
      </c>
      <c r="K434">
        <f t="shared" si="48"/>
        <v>5.8823529411764705E-2</v>
      </c>
      <c r="L434">
        <f t="shared" si="49"/>
        <v>0.46733668341708545</v>
      </c>
      <c r="M434">
        <f t="shared" si="50"/>
        <v>0.45901639344262296</v>
      </c>
      <c r="N434">
        <f t="shared" si="51"/>
        <v>0.1111111111111111</v>
      </c>
      <c r="O434">
        <f t="shared" si="52"/>
        <v>0</v>
      </c>
      <c r="P434">
        <f t="shared" si="53"/>
        <v>0.33532041728763046</v>
      </c>
      <c r="Q434">
        <f t="shared" si="54"/>
        <v>0.14474807856532876</v>
      </c>
      <c r="R434">
        <f t="shared" si="55"/>
        <v>1.6666666666666666E-2</v>
      </c>
    </row>
    <row r="435" spans="1:18" x14ac:dyDescent="0.3">
      <c r="A435">
        <v>8</v>
      </c>
      <c r="B435">
        <v>143</v>
      </c>
      <c r="C435">
        <v>66</v>
      </c>
      <c r="D435">
        <v>0</v>
      </c>
      <c r="E435">
        <v>0</v>
      </c>
      <c r="F435">
        <v>34.9</v>
      </c>
      <c r="G435">
        <v>0.129</v>
      </c>
      <c r="H435">
        <v>41</v>
      </c>
      <c r="I435">
        <v>1</v>
      </c>
      <c r="K435">
        <f t="shared" si="48"/>
        <v>0.47058823529411764</v>
      </c>
      <c r="L435">
        <f t="shared" si="49"/>
        <v>0.71859296482412061</v>
      </c>
      <c r="M435">
        <f t="shared" si="50"/>
        <v>0.54098360655737709</v>
      </c>
      <c r="N435">
        <f t="shared" si="51"/>
        <v>0</v>
      </c>
      <c r="O435">
        <f t="shared" si="52"/>
        <v>0</v>
      </c>
      <c r="P435">
        <f t="shared" si="53"/>
        <v>0.52011922503725783</v>
      </c>
      <c r="Q435">
        <f t="shared" si="54"/>
        <v>2.1776259607173356E-2</v>
      </c>
      <c r="R435">
        <f t="shared" si="55"/>
        <v>0.33333333333333331</v>
      </c>
    </row>
    <row r="436" spans="1:18" x14ac:dyDescent="0.3">
      <c r="A436">
        <v>6</v>
      </c>
      <c r="B436">
        <v>103</v>
      </c>
      <c r="C436">
        <v>66</v>
      </c>
      <c r="D436">
        <v>0</v>
      </c>
      <c r="E436">
        <v>0</v>
      </c>
      <c r="F436">
        <v>24.3</v>
      </c>
      <c r="G436">
        <v>0.249</v>
      </c>
      <c r="H436">
        <v>29</v>
      </c>
      <c r="I436">
        <v>0</v>
      </c>
      <c r="K436">
        <f t="shared" si="48"/>
        <v>0.35294117647058826</v>
      </c>
      <c r="L436">
        <f t="shared" si="49"/>
        <v>0.51758793969849248</v>
      </c>
      <c r="M436">
        <f t="shared" si="50"/>
        <v>0.54098360655737709</v>
      </c>
      <c r="N436">
        <f t="shared" si="51"/>
        <v>0</v>
      </c>
      <c r="O436">
        <f t="shared" si="52"/>
        <v>0</v>
      </c>
      <c r="P436">
        <f t="shared" si="53"/>
        <v>0.36214605067064087</v>
      </c>
      <c r="Q436">
        <f t="shared" si="54"/>
        <v>7.301451750640478E-2</v>
      </c>
      <c r="R436">
        <f t="shared" si="55"/>
        <v>0.13333333333333333</v>
      </c>
    </row>
    <row r="437" spans="1:18" x14ac:dyDescent="0.3">
      <c r="A437">
        <v>3</v>
      </c>
      <c r="B437">
        <v>176</v>
      </c>
      <c r="C437">
        <v>86</v>
      </c>
      <c r="D437">
        <v>27</v>
      </c>
      <c r="E437">
        <v>156</v>
      </c>
      <c r="F437">
        <v>33.299999999999997</v>
      </c>
      <c r="G437">
        <v>1.1539999999999999</v>
      </c>
      <c r="H437">
        <v>52</v>
      </c>
      <c r="I437">
        <v>1</v>
      </c>
      <c r="K437">
        <f t="shared" si="48"/>
        <v>0.17647058823529413</v>
      </c>
      <c r="L437">
        <f t="shared" si="49"/>
        <v>0.88442211055276387</v>
      </c>
      <c r="M437">
        <f t="shared" si="50"/>
        <v>0.70491803278688525</v>
      </c>
      <c r="N437">
        <f t="shared" si="51"/>
        <v>0.27272727272727271</v>
      </c>
      <c r="O437">
        <f t="shared" si="52"/>
        <v>0.18439716312056736</v>
      </c>
      <c r="P437">
        <f t="shared" si="53"/>
        <v>0.49627421758569301</v>
      </c>
      <c r="Q437">
        <f t="shared" si="54"/>
        <v>0.45943637916310837</v>
      </c>
      <c r="R437">
        <f t="shared" si="55"/>
        <v>0.51666666666666672</v>
      </c>
    </row>
    <row r="438" spans="1:18" x14ac:dyDescent="0.3">
      <c r="A438">
        <v>0</v>
      </c>
      <c r="B438">
        <v>73</v>
      </c>
      <c r="C438">
        <v>0</v>
      </c>
      <c r="D438">
        <v>0</v>
      </c>
      <c r="E438">
        <v>0</v>
      </c>
      <c r="F438">
        <v>21.1</v>
      </c>
      <c r="G438">
        <v>0.34200000000000003</v>
      </c>
      <c r="H438">
        <v>25</v>
      </c>
      <c r="I438">
        <v>0</v>
      </c>
      <c r="K438">
        <f t="shared" si="48"/>
        <v>0</v>
      </c>
      <c r="L438">
        <f t="shared" si="49"/>
        <v>0.36683417085427134</v>
      </c>
      <c r="M438">
        <f t="shared" si="50"/>
        <v>0</v>
      </c>
      <c r="N438">
        <f t="shared" si="51"/>
        <v>0</v>
      </c>
      <c r="O438">
        <f t="shared" si="52"/>
        <v>0</v>
      </c>
      <c r="P438">
        <f t="shared" si="53"/>
        <v>0.31445603576751124</v>
      </c>
      <c r="Q438">
        <f t="shared" si="54"/>
        <v>0.11272416737830913</v>
      </c>
      <c r="R438">
        <f t="shared" si="55"/>
        <v>6.6666666666666666E-2</v>
      </c>
    </row>
    <row r="439" spans="1:18" x14ac:dyDescent="0.3">
      <c r="A439">
        <v>11</v>
      </c>
      <c r="B439">
        <v>111</v>
      </c>
      <c r="C439">
        <v>84</v>
      </c>
      <c r="D439">
        <v>40</v>
      </c>
      <c r="E439">
        <v>0</v>
      </c>
      <c r="F439">
        <v>46.8</v>
      </c>
      <c r="G439">
        <v>0.92500000000000004</v>
      </c>
      <c r="H439">
        <v>45</v>
      </c>
      <c r="I439">
        <v>1</v>
      </c>
      <c r="K439">
        <f t="shared" si="48"/>
        <v>0.6470588235294118</v>
      </c>
      <c r="L439">
        <f t="shared" si="49"/>
        <v>0.55778894472361806</v>
      </c>
      <c r="M439">
        <f t="shared" si="50"/>
        <v>0.68852459016393441</v>
      </c>
      <c r="N439">
        <f t="shared" si="51"/>
        <v>0.40404040404040403</v>
      </c>
      <c r="O439">
        <f t="shared" si="52"/>
        <v>0</v>
      </c>
      <c r="P439">
        <f t="shared" si="53"/>
        <v>0.69746646795827127</v>
      </c>
      <c r="Q439">
        <f t="shared" si="54"/>
        <v>0.3616567036720752</v>
      </c>
      <c r="R439">
        <f t="shared" si="55"/>
        <v>0.4</v>
      </c>
    </row>
    <row r="440" spans="1:18" x14ac:dyDescent="0.3">
      <c r="A440">
        <v>2</v>
      </c>
      <c r="B440">
        <v>112</v>
      </c>
      <c r="C440">
        <v>78</v>
      </c>
      <c r="D440">
        <v>50</v>
      </c>
      <c r="E440">
        <v>140</v>
      </c>
      <c r="F440">
        <v>39.4</v>
      </c>
      <c r="G440">
        <v>0.17499999999999999</v>
      </c>
      <c r="H440">
        <v>24</v>
      </c>
      <c r="I440">
        <v>0</v>
      </c>
      <c r="K440">
        <f t="shared" si="48"/>
        <v>0.11764705882352941</v>
      </c>
      <c r="L440">
        <f t="shared" si="49"/>
        <v>0.56281407035175879</v>
      </c>
      <c r="M440">
        <f t="shared" si="50"/>
        <v>0.63934426229508201</v>
      </c>
      <c r="N440">
        <f t="shared" si="51"/>
        <v>0.50505050505050508</v>
      </c>
      <c r="O440">
        <f t="shared" si="52"/>
        <v>0.16548463356973994</v>
      </c>
      <c r="P440">
        <f t="shared" si="53"/>
        <v>0.58718330849478395</v>
      </c>
      <c r="Q440">
        <f t="shared" si="54"/>
        <v>4.1417591801878727E-2</v>
      </c>
      <c r="R440">
        <f t="shared" si="55"/>
        <v>0.05</v>
      </c>
    </row>
    <row r="441" spans="1:18" x14ac:dyDescent="0.3">
      <c r="A441">
        <v>3</v>
      </c>
      <c r="B441">
        <v>132</v>
      </c>
      <c r="C441">
        <v>80</v>
      </c>
      <c r="D441">
        <v>0</v>
      </c>
      <c r="E441">
        <v>0</v>
      </c>
      <c r="F441">
        <v>34.4</v>
      </c>
      <c r="G441">
        <v>0.40200000000000002</v>
      </c>
      <c r="H441">
        <v>44</v>
      </c>
      <c r="I441">
        <v>1</v>
      </c>
      <c r="K441">
        <f t="shared" si="48"/>
        <v>0.17647058823529413</v>
      </c>
      <c r="L441">
        <f t="shared" si="49"/>
        <v>0.66331658291457285</v>
      </c>
      <c r="M441">
        <f t="shared" si="50"/>
        <v>0.65573770491803274</v>
      </c>
      <c r="N441">
        <f t="shared" si="51"/>
        <v>0</v>
      </c>
      <c r="O441">
        <f t="shared" si="52"/>
        <v>0</v>
      </c>
      <c r="P441">
        <f t="shared" si="53"/>
        <v>0.51266766020864385</v>
      </c>
      <c r="Q441">
        <f t="shared" si="54"/>
        <v>0.13834329632792486</v>
      </c>
      <c r="R441">
        <f t="shared" si="55"/>
        <v>0.38333333333333336</v>
      </c>
    </row>
    <row r="442" spans="1:18" x14ac:dyDescent="0.3">
      <c r="A442">
        <v>2</v>
      </c>
      <c r="B442">
        <v>82</v>
      </c>
      <c r="C442">
        <v>52</v>
      </c>
      <c r="D442">
        <v>22</v>
      </c>
      <c r="E442">
        <v>115</v>
      </c>
      <c r="F442">
        <v>28.5</v>
      </c>
      <c r="G442">
        <v>1.6990000000000001</v>
      </c>
      <c r="H442">
        <v>25</v>
      </c>
      <c r="I442">
        <v>0</v>
      </c>
      <c r="K442">
        <f t="shared" si="48"/>
        <v>0.11764705882352941</v>
      </c>
      <c r="L442">
        <f t="shared" si="49"/>
        <v>0.4120603015075377</v>
      </c>
      <c r="M442">
        <f t="shared" si="50"/>
        <v>0.42622950819672129</v>
      </c>
      <c r="N442">
        <f t="shared" si="51"/>
        <v>0.22222222222222221</v>
      </c>
      <c r="O442">
        <f t="shared" si="52"/>
        <v>0.13593380614657211</v>
      </c>
      <c r="P442">
        <f t="shared" si="53"/>
        <v>0.42473919523099857</v>
      </c>
      <c r="Q442">
        <f t="shared" si="54"/>
        <v>0.69214346712211783</v>
      </c>
      <c r="R442">
        <f t="shared" si="55"/>
        <v>6.6666666666666666E-2</v>
      </c>
    </row>
    <row r="443" spans="1:18" x14ac:dyDescent="0.3">
      <c r="A443">
        <v>6</v>
      </c>
      <c r="B443">
        <v>123</v>
      </c>
      <c r="C443">
        <v>72</v>
      </c>
      <c r="D443">
        <v>45</v>
      </c>
      <c r="E443">
        <v>230</v>
      </c>
      <c r="F443">
        <v>33.6</v>
      </c>
      <c r="G443">
        <v>0.73299999999999998</v>
      </c>
      <c r="H443">
        <v>34</v>
      </c>
      <c r="I443">
        <v>0</v>
      </c>
      <c r="K443">
        <f t="shared" si="48"/>
        <v>0.35294117647058826</v>
      </c>
      <c r="L443">
        <f t="shared" si="49"/>
        <v>0.61809045226130654</v>
      </c>
      <c r="M443">
        <f t="shared" si="50"/>
        <v>0.5901639344262295</v>
      </c>
      <c r="N443">
        <f t="shared" si="51"/>
        <v>0.45454545454545453</v>
      </c>
      <c r="O443">
        <f t="shared" si="52"/>
        <v>0.27186761229314421</v>
      </c>
      <c r="P443">
        <f t="shared" si="53"/>
        <v>0.50074515648286144</v>
      </c>
      <c r="Q443">
        <f t="shared" si="54"/>
        <v>0.27967549103330486</v>
      </c>
      <c r="R443">
        <f t="shared" si="55"/>
        <v>0.21666666666666667</v>
      </c>
    </row>
    <row r="444" spans="1:18" x14ac:dyDescent="0.3">
      <c r="A444">
        <v>0</v>
      </c>
      <c r="B444">
        <v>188</v>
      </c>
      <c r="C444">
        <v>82</v>
      </c>
      <c r="D444">
        <v>14</v>
      </c>
      <c r="E444">
        <v>185</v>
      </c>
      <c r="F444">
        <v>32</v>
      </c>
      <c r="G444">
        <v>0.68200000000000005</v>
      </c>
      <c r="H444">
        <v>22</v>
      </c>
      <c r="I444">
        <v>1</v>
      </c>
      <c r="K444">
        <f t="shared" si="48"/>
        <v>0</v>
      </c>
      <c r="L444">
        <f t="shared" si="49"/>
        <v>0.94472361809045224</v>
      </c>
      <c r="M444">
        <f t="shared" si="50"/>
        <v>0.67213114754098358</v>
      </c>
      <c r="N444">
        <f t="shared" si="51"/>
        <v>0.14141414141414141</v>
      </c>
      <c r="O444">
        <f t="shared" si="52"/>
        <v>0.21867612293144209</v>
      </c>
      <c r="P444">
        <f t="shared" si="53"/>
        <v>0.47690014903129663</v>
      </c>
      <c r="Q444">
        <f t="shared" si="54"/>
        <v>0.25789923142613153</v>
      </c>
      <c r="R444">
        <f t="shared" si="55"/>
        <v>1.6666666666666666E-2</v>
      </c>
    </row>
    <row r="445" spans="1:18" x14ac:dyDescent="0.3">
      <c r="A445">
        <v>0</v>
      </c>
      <c r="B445">
        <v>67</v>
      </c>
      <c r="C445">
        <v>76</v>
      </c>
      <c r="D445">
        <v>0</v>
      </c>
      <c r="E445">
        <v>0</v>
      </c>
      <c r="F445">
        <v>45.3</v>
      </c>
      <c r="G445">
        <v>0.19400000000000001</v>
      </c>
      <c r="H445">
        <v>46</v>
      </c>
      <c r="I445">
        <v>0</v>
      </c>
      <c r="K445">
        <f t="shared" si="48"/>
        <v>0</v>
      </c>
      <c r="L445">
        <f t="shared" si="49"/>
        <v>0.33668341708542715</v>
      </c>
      <c r="M445">
        <f t="shared" si="50"/>
        <v>0.62295081967213117</v>
      </c>
      <c r="N445">
        <f t="shared" si="51"/>
        <v>0</v>
      </c>
      <c r="O445">
        <f t="shared" si="52"/>
        <v>0</v>
      </c>
      <c r="P445">
        <f t="shared" si="53"/>
        <v>0.67511177347242923</v>
      </c>
      <c r="Q445">
        <f t="shared" si="54"/>
        <v>4.9530315969257048E-2</v>
      </c>
      <c r="R445">
        <f t="shared" si="55"/>
        <v>0.41666666666666669</v>
      </c>
    </row>
    <row r="446" spans="1:18" x14ac:dyDescent="0.3">
      <c r="A446">
        <v>1</v>
      </c>
      <c r="B446">
        <v>89</v>
      </c>
      <c r="C446">
        <v>24</v>
      </c>
      <c r="D446">
        <v>19</v>
      </c>
      <c r="E446">
        <v>25</v>
      </c>
      <c r="F446">
        <v>27.8</v>
      </c>
      <c r="G446">
        <v>0.55900000000000005</v>
      </c>
      <c r="H446">
        <v>21</v>
      </c>
      <c r="I446">
        <v>0</v>
      </c>
      <c r="K446">
        <f t="shared" si="48"/>
        <v>5.8823529411764705E-2</v>
      </c>
      <c r="L446">
        <f t="shared" si="49"/>
        <v>0.44723618090452261</v>
      </c>
      <c r="M446">
        <f t="shared" si="50"/>
        <v>0.19672131147540983</v>
      </c>
      <c r="N446">
        <f t="shared" si="51"/>
        <v>0.19191919191919191</v>
      </c>
      <c r="O446">
        <f t="shared" si="52"/>
        <v>2.955082742316785E-2</v>
      </c>
      <c r="P446">
        <f t="shared" si="53"/>
        <v>0.41430700447093893</v>
      </c>
      <c r="Q446">
        <f t="shared" si="54"/>
        <v>0.2053800170794193</v>
      </c>
      <c r="R446">
        <f t="shared" si="55"/>
        <v>0</v>
      </c>
    </row>
    <row r="447" spans="1:18" x14ac:dyDescent="0.3">
      <c r="A447">
        <v>1</v>
      </c>
      <c r="B447">
        <v>173</v>
      </c>
      <c r="C447">
        <v>74</v>
      </c>
      <c r="D447">
        <v>0</v>
      </c>
      <c r="E447">
        <v>0</v>
      </c>
      <c r="F447">
        <v>36.799999999999997</v>
      </c>
      <c r="G447">
        <v>8.7999999999999995E-2</v>
      </c>
      <c r="H447">
        <v>38</v>
      </c>
      <c r="I447">
        <v>1</v>
      </c>
      <c r="K447">
        <f t="shared" si="48"/>
        <v>5.8823529411764705E-2</v>
      </c>
      <c r="L447">
        <f t="shared" si="49"/>
        <v>0.8693467336683417</v>
      </c>
      <c r="M447">
        <f t="shared" si="50"/>
        <v>0.60655737704918034</v>
      </c>
      <c r="N447">
        <f t="shared" si="51"/>
        <v>0</v>
      </c>
      <c r="O447">
        <f t="shared" si="52"/>
        <v>0</v>
      </c>
      <c r="P447">
        <f t="shared" si="53"/>
        <v>0.54843517138599107</v>
      </c>
      <c r="Q447">
        <f t="shared" si="54"/>
        <v>4.2698548249359503E-3</v>
      </c>
      <c r="R447">
        <f t="shared" si="55"/>
        <v>0.28333333333333333</v>
      </c>
    </row>
    <row r="448" spans="1:18" x14ac:dyDescent="0.3">
      <c r="A448">
        <v>1</v>
      </c>
      <c r="B448">
        <v>109</v>
      </c>
      <c r="C448">
        <v>38</v>
      </c>
      <c r="D448">
        <v>18</v>
      </c>
      <c r="E448">
        <v>120</v>
      </c>
      <c r="F448">
        <v>23.1</v>
      </c>
      <c r="G448">
        <v>0.40699999999999997</v>
      </c>
      <c r="H448">
        <v>26</v>
      </c>
      <c r="I448">
        <v>0</v>
      </c>
      <c r="K448">
        <f t="shared" si="48"/>
        <v>5.8823529411764705E-2</v>
      </c>
      <c r="L448">
        <f t="shared" si="49"/>
        <v>0.54773869346733672</v>
      </c>
      <c r="M448">
        <f t="shared" si="50"/>
        <v>0.31147540983606559</v>
      </c>
      <c r="N448">
        <f t="shared" si="51"/>
        <v>0.18181818181818182</v>
      </c>
      <c r="O448">
        <f t="shared" si="52"/>
        <v>0.14184397163120568</v>
      </c>
      <c r="P448">
        <f t="shared" si="53"/>
        <v>0.34426229508196726</v>
      </c>
      <c r="Q448">
        <f t="shared" si="54"/>
        <v>0.14047822374039282</v>
      </c>
      <c r="R448">
        <f t="shared" si="55"/>
        <v>8.3333333333333329E-2</v>
      </c>
    </row>
    <row r="449" spans="1:18" x14ac:dyDescent="0.3">
      <c r="A449">
        <v>1</v>
      </c>
      <c r="B449">
        <v>108</v>
      </c>
      <c r="C449">
        <v>88</v>
      </c>
      <c r="D449">
        <v>19</v>
      </c>
      <c r="E449">
        <v>0</v>
      </c>
      <c r="F449">
        <v>27.1</v>
      </c>
      <c r="G449">
        <v>0.4</v>
      </c>
      <c r="H449">
        <v>24</v>
      </c>
      <c r="I449">
        <v>0</v>
      </c>
      <c r="K449">
        <f t="shared" si="48"/>
        <v>5.8823529411764705E-2</v>
      </c>
      <c r="L449">
        <f t="shared" si="49"/>
        <v>0.542713567839196</v>
      </c>
      <c r="M449">
        <f t="shared" si="50"/>
        <v>0.72131147540983609</v>
      </c>
      <c r="N449">
        <f t="shared" si="51"/>
        <v>0.19191919191919191</v>
      </c>
      <c r="O449">
        <f t="shared" si="52"/>
        <v>0</v>
      </c>
      <c r="P449">
        <f t="shared" si="53"/>
        <v>0.40387481371087935</v>
      </c>
      <c r="Q449">
        <f t="shared" si="54"/>
        <v>0.13748932536293765</v>
      </c>
      <c r="R449">
        <f t="shared" si="55"/>
        <v>0.05</v>
      </c>
    </row>
    <row r="450" spans="1:18" x14ac:dyDescent="0.3">
      <c r="A450">
        <v>6</v>
      </c>
      <c r="B450">
        <v>96</v>
      </c>
      <c r="C450">
        <v>0</v>
      </c>
      <c r="D450">
        <v>0</v>
      </c>
      <c r="E450">
        <v>0</v>
      </c>
      <c r="F450">
        <v>23.7</v>
      </c>
      <c r="G450">
        <v>0.19</v>
      </c>
      <c r="H450">
        <v>28</v>
      </c>
      <c r="I450">
        <v>0</v>
      </c>
      <c r="K450">
        <f t="shared" si="48"/>
        <v>0.35294117647058826</v>
      </c>
      <c r="L450">
        <f t="shared" si="49"/>
        <v>0.48241206030150752</v>
      </c>
      <c r="M450">
        <f t="shared" si="50"/>
        <v>0</v>
      </c>
      <c r="N450">
        <f t="shared" si="51"/>
        <v>0</v>
      </c>
      <c r="O450">
        <f t="shared" si="52"/>
        <v>0</v>
      </c>
      <c r="P450">
        <f t="shared" si="53"/>
        <v>0.35320417287630407</v>
      </c>
      <c r="Q450">
        <f t="shared" si="54"/>
        <v>4.7822374039282661E-2</v>
      </c>
      <c r="R450">
        <f t="shared" si="55"/>
        <v>0.11666666666666667</v>
      </c>
    </row>
    <row r="451" spans="1:18" x14ac:dyDescent="0.3">
      <c r="A451">
        <v>1</v>
      </c>
      <c r="B451">
        <v>124</v>
      </c>
      <c r="C451">
        <v>74</v>
      </c>
      <c r="D451">
        <v>36</v>
      </c>
      <c r="E451">
        <v>0</v>
      </c>
      <c r="F451">
        <v>27.8</v>
      </c>
      <c r="G451">
        <v>0.1</v>
      </c>
      <c r="H451">
        <v>30</v>
      </c>
      <c r="I451">
        <v>0</v>
      </c>
      <c r="K451">
        <f t="shared" ref="K451:K514" si="56">(A451-0)/(17-0)</f>
        <v>5.8823529411764705E-2</v>
      </c>
      <c r="L451">
        <f t="shared" ref="L451:L514" si="57">(B451-0)/(199-0)</f>
        <v>0.62311557788944727</v>
      </c>
      <c r="M451">
        <f t="shared" ref="M451:M514" si="58">(C451-0)/(122-0)</f>
        <v>0.60655737704918034</v>
      </c>
      <c r="N451">
        <f t="shared" ref="N451:N514" si="59">(D451-0)/(99-0)</f>
        <v>0.36363636363636365</v>
      </c>
      <c r="O451">
        <f t="shared" ref="O451:O514" si="60">(E451-0)/(846-0)</f>
        <v>0</v>
      </c>
      <c r="P451">
        <f t="shared" ref="P451:P514" si="61">(F451-0)/(67.1-0)</f>
        <v>0.41430700447093893</v>
      </c>
      <c r="Q451">
        <f t="shared" ref="Q451:Q514" si="62">(G451-0.078)/(2.42-0.078)</f>
        <v>9.3936806148590974E-3</v>
      </c>
      <c r="R451">
        <f t="shared" ref="R451:R514" si="63">(H451-21)/(81-21)</f>
        <v>0.15</v>
      </c>
    </row>
    <row r="452" spans="1:18" x14ac:dyDescent="0.3">
      <c r="A452">
        <v>7</v>
      </c>
      <c r="B452">
        <v>150</v>
      </c>
      <c r="C452">
        <v>78</v>
      </c>
      <c r="D452">
        <v>29</v>
      </c>
      <c r="E452">
        <v>126</v>
      </c>
      <c r="F452">
        <v>35.200000000000003</v>
      </c>
      <c r="G452">
        <v>0.69199999999999995</v>
      </c>
      <c r="H452">
        <v>54</v>
      </c>
      <c r="I452">
        <v>1</v>
      </c>
      <c r="K452">
        <f t="shared" si="56"/>
        <v>0.41176470588235292</v>
      </c>
      <c r="L452">
        <f t="shared" si="57"/>
        <v>0.75376884422110557</v>
      </c>
      <c r="M452">
        <f t="shared" si="58"/>
        <v>0.63934426229508201</v>
      </c>
      <c r="N452">
        <f t="shared" si="59"/>
        <v>0.29292929292929293</v>
      </c>
      <c r="O452">
        <f t="shared" si="60"/>
        <v>0.14893617021276595</v>
      </c>
      <c r="P452">
        <f t="shared" si="61"/>
        <v>0.52459016393442637</v>
      </c>
      <c r="Q452">
        <f t="shared" si="62"/>
        <v>0.26216908625106744</v>
      </c>
      <c r="R452">
        <f t="shared" si="63"/>
        <v>0.55000000000000004</v>
      </c>
    </row>
    <row r="453" spans="1:18" x14ac:dyDescent="0.3">
      <c r="A453">
        <v>4</v>
      </c>
      <c r="B453">
        <v>183</v>
      </c>
      <c r="C453">
        <v>0</v>
      </c>
      <c r="D453">
        <v>0</v>
      </c>
      <c r="E453">
        <v>0</v>
      </c>
      <c r="F453">
        <v>28.4</v>
      </c>
      <c r="G453">
        <v>0.21199999999999999</v>
      </c>
      <c r="H453">
        <v>36</v>
      </c>
      <c r="I453">
        <v>1</v>
      </c>
      <c r="K453">
        <f t="shared" si="56"/>
        <v>0.23529411764705882</v>
      </c>
      <c r="L453">
        <f t="shared" si="57"/>
        <v>0.91959798994974873</v>
      </c>
      <c r="M453">
        <f t="shared" si="58"/>
        <v>0</v>
      </c>
      <c r="N453">
        <f t="shared" si="59"/>
        <v>0</v>
      </c>
      <c r="O453">
        <f t="shared" si="60"/>
        <v>0</v>
      </c>
      <c r="P453">
        <f t="shared" si="61"/>
        <v>0.42324888226527574</v>
      </c>
      <c r="Q453">
        <f t="shared" si="62"/>
        <v>5.7216054654141764E-2</v>
      </c>
      <c r="R453">
        <f t="shared" si="63"/>
        <v>0.25</v>
      </c>
    </row>
    <row r="454" spans="1:18" x14ac:dyDescent="0.3">
      <c r="A454">
        <v>1</v>
      </c>
      <c r="B454">
        <v>124</v>
      </c>
      <c r="C454">
        <v>60</v>
      </c>
      <c r="D454">
        <v>32</v>
      </c>
      <c r="E454">
        <v>0</v>
      </c>
      <c r="F454">
        <v>35.799999999999997</v>
      </c>
      <c r="G454">
        <v>0.51400000000000001</v>
      </c>
      <c r="H454">
        <v>21</v>
      </c>
      <c r="I454">
        <v>0</v>
      </c>
      <c r="K454">
        <f t="shared" si="56"/>
        <v>5.8823529411764705E-2</v>
      </c>
      <c r="L454">
        <f t="shared" si="57"/>
        <v>0.62311557788944727</v>
      </c>
      <c r="M454">
        <f t="shared" si="58"/>
        <v>0.49180327868852458</v>
      </c>
      <c r="N454">
        <f t="shared" si="59"/>
        <v>0.32323232323232326</v>
      </c>
      <c r="O454">
        <f t="shared" si="60"/>
        <v>0</v>
      </c>
      <c r="P454">
        <f t="shared" si="61"/>
        <v>0.53353204172876301</v>
      </c>
      <c r="Q454">
        <f t="shared" si="62"/>
        <v>0.18616567036720752</v>
      </c>
      <c r="R454">
        <f t="shared" si="63"/>
        <v>0</v>
      </c>
    </row>
    <row r="455" spans="1:18" x14ac:dyDescent="0.3">
      <c r="A455">
        <v>1</v>
      </c>
      <c r="B455">
        <v>181</v>
      </c>
      <c r="C455">
        <v>78</v>
      </c>
      <c r="D455">
        <v>42</v>
      </c>
      <c r="E455">
        <v>293</v>
      </c>
      <c r="F455">
        <v>40</v>
      </c>
      <c r="G455">
        <v>1.258</v>
      </c>
      <c r="H455">
        <v>22</v>
      </c>
      <c r="I455">
        <v>1</v>
      </c>
      <c r="K455">
        <f t="shared" si="56"/>
        <v>5.8823529411764705E-2</v>
      </c>
      <c r="L455">
        <f t="shared" si="57"/>
        <v>0.90954773869346739</v>
      </c>
      <c r="M455">
        <f t="shared" si="58"/>
        <v>0.63934426229508201</v>
      </c>
      <c r="N455">
        <f t="shared" si="59"/>
        <v>0.42424242424242425</v>
      </c>
      <c r="O455">
        <f t="shared" si="60"/>
        <v>0.34633569739952719</v>
      </c>
      <c r="P455">
        <f t="shared" si="61"/>
        <v>0.59612518628912081</v>
      </c>
      <c r="Q455">
        <f t="shared" si="62"/>
        <v>0.50384286934244227</v>
      </c>
      <c r="R455">
        <f t="shared" si="63"/>
        <v>1.6666666666666666E-2</v>
      </c>
    </row>
    <row r="456" spans="1:18" x14ac:dyDescent="0.3">
      <c r="A456">
        <v>1</v>
      </c>
      <c r="B456">
        <v>92</v>
      </c>
      <c r="C456">
        <v>62</v>
      </c>
      <c r="D456">
        <v>25</v>
      </c>
      <c r="E456">
        <v>41</v>
      </c>
      <c r="F456">
        <v>19.5</v>
      </c>
      <c r="G456">
        <v>0.48199999999999998</v>
      </c>
      <c r="H456">
        <v>25</v>
      </c>
      <c r="I456">
        <v>0</v>
      </c>
      <c r="K456">
        <f t="shared" si="56"/>
        <v>5.8823529411764705E-2</v>
      </c>
      <c r="L456">
        <f t="shared" si="57"/>
        <v>0.46231155778894473</v>
      </c>
      <c r="M456">
        <f t="shared" si="58"/>
        <v>0.50819672131147542</v>
      </c>
      <c r="N456">
        <f t="shared" si="59"/>
        <v>0.25252525252525254</v>
      </c>
      <c r="O456">
        <f t="shared" si="60"/>
        <v>4.8463356973995272E-2</v>
      </c>
      <c r="P456">
        <f t="shared" si="61"/>
        <v>0.29061102831594637</v>
      </c>
      <c r="Q456">
        <f t="shared" si="62"/>
        <v>0.17250213492741245</v>
      </c>
      <c r="R456">
        <f t="shared" si="63"/>
        <v>6.6666666666666666E-2</v>
      </c>
    </row>
    <row r="457" spans="1:18" x14ac:dyDescent="0.3">
      <c r="A457">
        <v>0</v>
      </c>
      <c r="B457">
        <v>152</v>
      </c>
      <c r="C457">
        <v>82</v>
      </c>
      <c r="D457">
        <v>39</v>
      </c>
      <c r="E457">
        <v>272</v>
      </c>
      <c r="F457">
        <v>41.5</v>
      </c>
      <c r="G457">
        <v>0.27</v>
      </c>
      <c r="H457">
        <v>27</v>
      </c>
      <c r="I457">
        <v>0</v>
      </c>
      <c r="K457">
        <f t="shared" si="56"/>
        <v>0</v>
      </c>
      <c r="L457">
        <f t="shared" si="57"/>
        <v>0.76381909547738691</v>
      </c>
      <c r="M457">
        <f t="shared" si="58"/>
        <v>0.67213114754098358</v>
      </c>
      <c r="N457">
        <f t="shared" si="59"/>
        <v>0.39393939393939392</v>
      </c>
      <c r="O457">
        <f t="shared" si="60"/>
        <v>0.32151300236406621</v>
      </c>
      <c r="P457">
        <f t="shared" si="61"/>
        <v>0.61847988077496274</v>
      </c>
      <c r="Q457">
        <f t="shared" si="62"/>
        <v>8.1981212638770284E-2</v>
      </c>
      <c r="R457">
        <f t="shared" si="63"/>
        <v>0.1</v>
      </c>
    </row>
    <row r="458" spans="1:18" x14ac:dyDescent="0.3">
      <c r="A458">
        <v>1</v>
      </c>
      <c r="B458">
        <v>111</v>
      </c>
      <c r="C458">
        <v>62</v>
      </c>
      <c r="D458">
        <v>13</v>
      </c>
      <c r="E458">
        <v>182</v>
      </c>
      <c r="F458">
        <v>24</v>
      </c>
      <c r="G458">
        <v>0.13800000000000001</v>
      </c>
      <c r="H458">
        <v>23</v>
      </c>
      <c r="I458">
        <v>0</v>
      </c>
      <c r="K458">
        <f t="shared" si="56"/>
        <v>5.8823529411764705E-2</v>
      </c>
      <c r="L458">
        <f t="shared" si="57"/>
        <v>0.55778894472361806</v>
      </c>
      <c r="M458">
        <f t="shared" si="58"/>
        <v>0.50819672131147542</v>
      </c>
      <c r="N458">
        <f t="shared" si="59"/>
        <v>0.13131313131313133</v>
      </c>
      <c r="O458">
        <f t="shared" si="60"/>
        <v>0.21513002364066194</v>
      </c>
      <c r="P458">
        <f t="shared" si="61"/>
        <v>0.35767511177347244</v>
      </c>
      <c r="Q458">
        <f t="shared" si="62"/>
        <v>2.5619128949615717E-2</v>
      </c>
      <c r="R458">
        <f t="shared" si="63"/>
        <v>3.3333333333333333E-2</v>
      </c>
    </row>
    <row r="459" spans="1:18" x14ac:dyDescent="0.3">
      <c r="A459">
        <v>3</v>
      </c>
      <c r="B459">
        <v>106</v>
      </c>
      <c r="C459">
        <v>54</v>
      </c>
      <c r="D459">
        <v>21</v>
      </c>
      <c r="E459">
        <v>158</v>
      </c>
      <c r="F459">
        <v>30.9</v>
      </c>
      <c r="G459">
        <v>0.29199999999999998</v>
      </c>
      <c r="H459">
        <v>24</v>
      </c>
      <c r="I459">
        <v>0</v>
      </c>
      <c r="K459">
        <f t="shared" si="56"/>
        <v>0.17647058823529413</v>
      </c>
      <c r="L459">
        <f t="shared" si="57"/>
        <v>0.53266331658291455</v>
      </c>
      <c r="M459">
        <f t="shared" si="58"/>
        <v>0.44262295081967212</v>
      </c>
      <c r="N459">
        <f t="shared" si="59"/>
        <v>0.21212121212121213</v>
      </c>
      <c r="O459">
        <f t="shared" si="60"/>
        <v>0.1867612293144208</v>
      </c>
      <c r="P459">
        <f t="shared" si="61"/>
        <v>0.46050670640834579</v>
      </c>
      <c r="Q459">
        <f t="shared" si="62"/>
        <v>9.1374893253629366E-2</v>
      </c>
      <c r="R459">
        <f t="shared" si="63"/>
        <v>0.05</v>
      </c>
    </row>
    <row r="460" spans="1:18" x14ac:dyDescent="0.3">
      <c r="A460">
        <v>3</v>
      </c>
      <c r="B460">
        <v>174</v>
      </c>
      <c r="C460">
        <v>58</v>
      </c>
      <c r="D460">
        <v>22</v>
      </c>
      <c r="E460">
        <v>194</v>
      </c>
      <c r="F460">
        <v>32.9</v>
      </c>
      <c r="G460">
        <v>0.59299999999999997</v>
      </c>
      <c r="H460">
        <v>36</v>
      </c>
      <c r="I460">
        <v>1</v>
      </c>
      <c r="K460">
        <f t="shared" si="56"/>
        <v>0.17647058823529413</v>
      </c>
      <c r="L460">
        <f t="shared" si="57"/>
        <v>0.87437185929648242</v>
      </c>
      <c r="M460">
        <f t="shared" si="58"/>
        <v>0.47540983606557374</v>
      </c>
      <c r="N460">
        <f t="shared" si="59"/>
        <v>0.22222222222222221</v>
      </c>
      <c r="O460">
        <f t="shared" si="60"/>
        <v>0.2293144208037825</v>
      </c>
      <c r="P460">
        <f t="shared" si="61"/>
        <v>0.49031296572280181</v>
      </c>
      <c r="Q460">
        <f t="shared" si="62"/>
        <v>0.21989752348420152</v>
      </c>
      <c r="R460">
        <f t="shared" si="63"/>
        <v>0.25</v>
      </c>
    </row>
    <row r="461" spans="1:18" x14ac:dyDescent="0.3">
      <c r="A461">
        <v>7</v>
      </c>
      <c r="B461">
        <v>168</v>
      </c>
      <c r="C461">
        <v>88</v>
      </c>
      <c r="D461">
        <v>42</v>
      </c>
      <c r="E461">
        <v>321</v>
      </c>
      <c r="F461">
        <v>38.200000000000003</v>
      </c>
      <c r="G461">
        <v>0.78700000000000003</v>
      </c>
      <c r="H461">
        <v>40</v>
      </c>
      <c r="I461">
        <v>1</v>
      </c>
      <c r="K461">
        <f t="shared" si="56"/>
        <v>0.41176470588235292</v>
      </c>
      <c r="L461">
        <f t="shared" si="57"/>
        <v>0.84422110552763818</v>
      </c>
      <c r="M461">
        <f t="shared" si="58"/>
        <v>0.72131147540983609</v>
      </c>
      <c r="N461">
        <f t="shared" si="59"/>
        <v>0.42424242424242425</v>
      </c>
      <c r="O461">
        <f t="shared" si="60"/>
        <v>0.37943262411347517</v>
      </c>
      <c r="P461">
        <f t="shared" si="61"/>
        <v>0.56929955290611034</v>
      </c>
      <c r="Q461">
        <f t="shared" si="62"/>
        <v>0.30273270708795902</v>
      </c>
      <c r="R461">
        <f t="shared" si="63"/>
        <v>0.31666666666666665</v>
      </c>
    </row>
    <row r="462" spans="1:18" x14ac:dyDescent="0.3">
      <c r="A462">
        <v>6</v>
      </c>
      <c r="B462">
        <v>105</v>
      </c>
      <c r="C462">
        <v>80</v>
      </c>
      <c r="D462">
        <v>28</v>
      </c>
      <c r="E462">
        <v>0</v>
      </c>
      <c r="F462">
        <v>32.5</v>
      </c>
      <c r="G462">
        <v>0.878</v>
      </c>
      <c r="H462">
        <v>26</v>
      </c>
      <c r="I462">
        <v>0</v>
      </c>
      <c r="K462">
        <f t="shared" si="56"/>
        <v>0.35294117647058826</v>
      </c>
      <c r="L462">
        <f t="shared" si="57"/>
        <v>0.52763819095477382</v>
      </c>
      <c r="M462">
        <f t="shared" si="58"/>
        <v>0.65573770491803274</v>
      </c>
      <c r="N462">
        <f t="shared" si="59"/>
        <v>0.28282828282828282</v>
      </c>
      <c r="O462">
        <f t="shared" si="60"/>
        <v>0</v>
      </c>
      <c r="P462">
        <f t="shared" si="61"/>
        <v>0.4843517138599106</v>
      </c>
      <c r="Q462">
        <f t="shared" si="62"/>
        <v>0.34158838599487618</v>
      </c>
      <c r="R462">
        <f t="shared" si="63"/>
        <v>8.3333333333333329E-2</v>
      </c>
    </row>
    <row r="463" spans="1:18" x14ac:dyDescent="0.3">
      <c r="A463">
        <v>11</v>
      </c>
      <c r="B463">
        <v>138</v>
      </c>
      <c r="C463">
        <v>74</v>
      </c>
      <c r="D463">
        <v>26</v>
      </c>
      <c r="E463">
        <v>144</v>
      </c>
      <c r="F463">
        <v>36.1</v>
      </c>
      <c r="G463">
        <v>0.55700000000000005</v>
      </c>
      <c r="H463">
        <v>50</v>
      </c>
      <c r="I463">
        <v>1</v>
      </c>
      <c r="K463">
        <f t="shared" si="56"/>
        <v>0.6470588235294118</v>
      </c>
      <c r="L463">
        <f t="shared" si="57"/>
        <v>0.69346733668341709</v>
      </c>
      <c r="M463">
        <f t="shared" si="58"/>
        <v>0.60655737704918034</v>
      </c>
      <c r="N463">
        <f t="shared" si="59"/>
        <v>0.26262626262626265</v>
      </c>
      <c r="O463">
        <f t="shared" si="60"/>
        <v>0.1702127659574468</v>
      </c>
      <c r="P463">
        <f t="shared" si="61"/>
        <v>0.53800298062593155</v>
      </c>
      <c r="Q463">
        <f t="shared" si="62"/>
        <v>0.20452604611443212</v>
      </c>
      <c r="R463">
        <f t="shared" si="63"/>
        <v>0.48333333333333334</v>
      </c>
    </row>
    <row r="464" spans="1:18" x14ac:dyDescent="0.3">
      <c r="A464">
        <v>3</v>
      </c>
      <c r="B464">
        <v>106</v>
      </c>
      <c r="C464">
        <v>72</v>
      </c>
      <c r="D464">
        <v>0</v>
      </c>
      <c r="E464">
        <v>0</v>
      </c>
      <c r="F464">
        <v>25.8</v>
      </c>
      <c r="G464">
        <v>0.20699999999999999</v>
      </c>
      <c r="H464">
        <v>27</v>
      </c>
      <c r="I464">
        <v>0</v>
      </c>
      <c r="K464">
        <f t="shared" si="56"/>
        <v>0.17647058823529413</v>
      </c>
      <c r="L464">
        <f t="shared" si="57"/>
        <v>0.53266331658291455</v>
      </c>
      <c r="M464">
        <f t="shared" si="58"/>
        <v>0.5901639344262295</v>
      </c>
      <c r="N464">
        <f t="shared" si="59"/>
        <v>0</v>
      </c>
      <c r="O464">
        <f t="shared" si="60"/>
        <v>0</v>
      </c>
      <c r="P464">
        <f t="shared" si="61"/>
        <v>0.38450074515648291</v>
      </c>
      <c r="Q464">
        <f t="shared" si="62"/>
        <v>5.5081127241673786E-2</v>
      </c>
      <c r="R464">
        <f t="shared" si="63"/>
        <v>0.1</v>
      </c>
    </row>
    <row r="465" spans="1:18" x14ac:dyDescent="0.3">
      <c r="A465">
        <v>6</v>
      </c>
      <c r="B465">
        <v>117</v>
      </c>
      <c r="C465">
        <v>96</v>
      </c>
      <c r="D465">
        <v>0</v>
      </c>
      <c r="E465">
        <v>0</v>
      </c>
      <c r="F465">
        <v>28.7</v>
      </c>
      <c r="G465">
        <v>0.157</v>
      </c>
      <c r="H465">
        <v>30</v>
      </c>
      <c r="I465">
        <v>0</v>
      </c>
      <c r="K465">
        <f t="shared" si="56"/>
        <v>0.35294117647058826</v>
      </c>
      <c r="L465">
        <f t="shared" si="57"/>
        <v>0.5879396984924623</v>
      </c>
      <c r="M465">
        <f t="shared" si="58"/>
        <v>0.78688524590163933</v>
      </c>
      <c r="N465">
        <f t="shared" si="59"/>
        <v>0</v>
      </c>
      <c r="O465">
        <f t="shared" si="60"/>
        <v>0</v>
      </c>
      <c r="P465">
        <f t="shared" si="61"/>
        <v>0.42771982116244411</v>
      </c>
      <c r="Q465">
        <f t="shared" si="62"/>
        <v>3.3731853116994025E-2</v>
      </c>
      <c r="R465">
        <f t="shared" si="63"/>
        <v>0.15</v>
      </c>
    </row>
    <row r="466" spans="1:18" x14ac:dyDescent="0.3">
      <c r="A466">
        <v>2</v>
      </c>
      <c r="B466">
        <v>68</v>
      </c>
      <c r="C466">
        <v>62</v>
      </c>
      <c r="D466">
        <v>13</v>
      </c>
      <c r="E466">
        <v>15</v>
      </c>
      <c r="F466">
        <v>20.100000000000001</v>
      </c>
      <c r="G466">
        <v>0.25700000000000001</v>
      </c>
      <c r="H466">
        <v>23</v>
      </c>
      <c r="I466">
        <v>0</v>
      </c>
      <c r="K466">
        <f t="shared" si="56"/>
        <v>0.11764705882352941</v>
      </c>
      <c r="L466">
        <f t="shared" si="57"/>
        <v>0.34170854271356782</v>
      </c>
      <c r="M466">
        <f t="shared" si="58"/>
        <v>0.50819672131147542</v>
      </c>
      <c r="N466">
        <f t="shared" si="59"/>
        <v>0.13131313131313133</v>
      </c>
      <c r="O466">
        <f t="shared" si="60"/>
        <v>1.7730496453900711E-2</v>
      </c>
      <c r="P466">
        <f t="shared" si="61"/>
        <v>0.29955290611028318</v>
      </c>
      <c r="Q466">
        <f t="shared" si="62"/>
        <v>7.643040136635354E-2</v>
      </c>
      <c r="R466">
        <f t="shared" si="63"/>
        <v>3.3333333333333333E-2</v>
      </c>
    </row>
    <row r="467" spans="1:18" x14ac:dyDescent="0.3">
      <c r="A467">
        <v>9</v>
      </c>
      <c r="B467">
        <v>112</v>
      </c>
      <c r="C467">
        <v>82</v>
      </c>
      <c r="D467">
        <v>24</v>
      </c>
      <c r="E467">
        <v>0</v>
      </c>
      <c r="F467">
        <v>28.2</v>
      </c>
      <c r="G467">
        <v>1.282</v>
      </c>
      <c r="H467">
        <v>50</v>
      </c>
      <c r="I467">
        <v>1</v>
      </c>
      <c r="K467">
        <f t="shared" si="56"/>
        <v>0.52941176470588236</v>
      </c>
      <c r="L467">
        <f t="shared" si="57"/>
        <v>0.56281407035175879</v>
      </c>
      <c r="M467">
        <f t="shared" si="58"/>
        <v>0.67213114754098358</v>
      </c>
      <c r="N467">
        <f t="shared" si="59"/>
        <v>0.24242424242424243</v>
      </c>
      <c r="O467">
        <f t="shared" si="60"/>
        <v>0</v>
      </c>
      <c r="P467">
        <f t="shared" si="61"/>
        <v>0.42026825633383014</v>
      </c>
      <c r="Q467">
        <f t="shared" si="62"/>
        <v>0.51409052092228857</v>
      </c>
      <c r="R467">
        <f t="shared" si="63"/>
        <v>0.48333333333333334</v>
      </c>
    </row>
    <row r="468" spans="1:18" x14ac:dyDescent="0.3">
      <c r="A468">
        <v>0</v>
      </c>
      <c r="B468">
        <v>119</v>
      </c>
      <c r="C468">
        <v>0</v>
      </c>
      <c r="D468">
        <v>0</v>
      </c>
      <c r="E468">
        <v>0</v>
      </c>
      <c r="F468">
        <v>32.4</v>
      </c>
      <c r="G468">
        <v>0.14099999999999999</v>
      </c>
      <c r="H468">
        <v>24</v>
      </c>
      <c r="I468">
        <v>1</v>
      </c>
      <c r="K468">
        <f t="shared" si="56"/>
        <v>0</v>
      </c>
      <c r="L468">
        <f t="shared" si="57"/>
        <v>0.59798994974874375</v>
      </c>
      <c r="M468">
        <f t="shared" si="58"/>
        <v>0</v>
      </c>
      <c r="N468">
        <f t="shared" si="59"/>
        <v>0</v>
      </c>
      <c r="O468">
        <f t="shared" si="60"/>
        <v>0</v>
      </c>
      <c r="P468">
        <f t="shared" si="61"/>
        <v>0.48286140089418778</v>
      </c>
      <c r="Q468">
        <f t="shared" si="62"/>
        <v>2.6900085397096492E-2</v>
      </c>
      <c r="R468">
        <f t="shared" si="63"/>
        <v>0.05</v>
      </c>
    </row>
    <row r="469" spans="1:18" x14ac:dyDescent="0.3">
      <c r="A469">
        <v>2</v>
      </c>
      <c r="B469">
        <v>112</v>
      </c>
      <c r="C469">
        <v>86</v>
      </c>
      <c r="D469">
        <v>42</v>
      </c>
      <c r="E469">
        <v>160</v>
      </c>
      <c r="F469">
        <v>38.4</v>
      </c>
      <c r="G469">
        <v>0.246</v>
      </c>
      <c r="H469">
        <v>28</v>
      </c>
      <c r="I469">
        <v>0</v>
      </c>
      <c r="K469">
        <f t="shared" si="56"/>
        <v>0.11764705882352941</v>
      </c>
      <c r="L469">
        <f t="shared" si="57"/>
        <v>0.56281407035175879</v>
      </c>
      <c r="M469">
        <f t="shared" si="58"/>
        <v>0.70491803278688525</v>
      </c>
      <c r="N469">
        <f t="shared" si="59"/>
        <v>0.42424242424242425</v>
      </c>
      <c r="O469">
        <f t="shared" si="60"/>
        <v>0.18912529550827423</v>
      </c>
      <c r="P469">
        <f t="shared" si="61"/>
        <v>0.57228017883755589</v>
      </c>
      <c r="Q469">
        <f t="shared" si="62"/>
        <v>7.1733561058923992E-2</v>
      </c>
      <c r="R469">
        <f t="shared" si="63"/>
        <v>0.11666666666666667</v>
      </c>
    </row>
    <row r="470" spans="1:18" x14ac:dyDescent="0.3">
      <c r="A470">
        <v>2</v>
      </c>
      <c r="B470">
        <v>92</v>
      </c>
      <c r="C470">
        <v>76</v>
      </c>
      <c r="D470">
        <v>20</v>
      </c>
      <c r="E470">
        <v>0</v>
      </c>
      <c r="F470">
        <v>24.2</v>
      </c>
      <c r="G470">
        <v>1.698</v>
      </c>
      <c r="H470">
        <v>28</v>
      </c>
      <c r="I470">
        <v>0</v>
      </c>
      <c r="K470">
        <f t="shared" si="56"/>
        <v>0.11764705882352941</v>
      </c>
      <c r="L470">
        <f t="shared" si="57"/>
        <v>0.46231155778894473</v>
      </c>
      <c r="M470">
        <f t="shared" si="58"/>
        <v>0.62295081967213117</v>
      </c>
      <c r="N470">
        <f t="shared" si="59"/>
        <v>0.20202020202020202</v>
      </c>
      <c r="O470">
        <f t="shared" si="60"/>
        <v>0</v>
      </c>
      <c r="P470">
        <f t="shared" si="61"/>
        <v>0.36065573770491804</v>
      </c>
      <c r="Q470">
        <f t="shared" si="62"/>
        <v>0.69171648163962418</v>
      </c>
      <c r="R470">
        <f t="shared" si="63"/>
        <v>0.11666666666666667</v>
      </c>
    </row>
    <row r="471" spans="1:18" x14ac:dyDescent="0.3">
      <c r="A471">
        <v>6</v>
      </c>
      <c r="B471">
        <v>183</v>
      </c>
      <c r="C471">
        <v>94</v>
      </c>
      <c r="D471">
        <v>0</v>
      </c>
      <c r="E471">
        <v>0</v>
      </c>
      <c r="F471">
        <v>40.799999999999997</v>
      </c>
      <c r="G471">
        <v>1.4610000000000001</v>
      </c>
      <c r="H471">
        <v>45</v>
      </c>
      <c r="I471">
        <v>0</v>
      </c>
      <c r="K471">
        <f t="shared" si="56"/>
        <v>0.35294117647058826</v>
      </c>
      <c r="L471">
        <f t="shared" si="57"/>
        <v>0.91959798994974873</v>
      </c>
      <c r="M471">
        <f t="shared" si="58"/>
        <v>0.77049180327868849</v>
      </c>
      <c r="N471">
        <f t="shared" si="59"/>
        <v>0</v>
      </c>
      <c r="O471">
        <f t="shared" si="60"/>
        <v>0</v>
      </c>
      <c r="P471">
        <f t="shared" si="61"/>
        <v>0.60804769001490311</v>
      </c>
      <c r="Q471">
        <f t="shared" si="62"/>
        <v>0.59052092228864217</v>
      </c>
      <c r="R471">
        <f t="shared" si="63"/>
        <v>0.4</v>
      </c>
    </row>
    <row r="472" spans="1:18" x14ac:dyDescent="0.3">
      <c r="A472">
        <v>0</v>
      </c>
      <c r="B472">
        <v>94</v>
      </c>
      <c r="C472">
        <v>70</v>
      </c>
      <c r="D472">
        <v>27</v>
      </c>
      <c r="E472">
        <v>115</v>
      </c>
      <c r="F472">
        <v>43.5</v>
      </c>
      <c r="G472">
        <v>0.34699999999999998</v>
      </c>
      <c r="H472">
        <v>21</v>
      </c>
      <c r="I472">
        <v>0</v>
      </c>
      <c r="K472">
        <f t="shared" si="56"/>
        <v>0</v>
      </c>
      <c r="L472">
        <f t="shared" si="57"/>
        <v>0.47236180904522612</v>
      </c>
      <c r="M472">
        <f t="shared" si="58"/>
        <v>0.57377049180327866</v>
      </c>
      <c r="N472">
        <f t="shared" si="59"/>
        <v>0.27272727272727271</v>
      </c>
      <c r="O472">
        <f t="shared" si="60"/>
        <v>0.13593380614657211</v>
      </c>
      <c r="P472">
        <f t="shared" si="61"/>
        <v>0.64828614008941887</v>
      </c>
      <c r="Q472">
        <f t="shared" si="62"/>
        <v>0.11485909479077709</v>
      </c>
      <c r="R472">
        <f t="shared" si="63"/>
        <v>0</v>
      </c>
    </row>
    <row r="473" spans="1:18" x14ac:dyDescent="0.3">
      <c r="A473">
        <v>2</v>
      </c>
      <c r="B473">
        <v>108</v>
      </c>
      <c r="C473">
        <v>64</v>
      </c>
      <c r="D473">
        <v>0</v>
      </c>
      <c r="E473">
        <v>0</v>
      </c>
      <c r="F473">
        <v>30.8</v>
      </c>
      <c r="G473">
        <v>0.158</v>
      </c>
      <c r="H473">
        <v>21</v>
      </c>
      <c r="I473">
        <v>0</v>
      </c>
      <c r="K473">
        <f t="shared" si="56"/>
        <v>0.11764705882352941</v>
      </c>
      <c r="L473">
        <f t="shared" si="57"/>
        <v>0.542713567839196</v>
      </c>
      <c r="M473">
        <f t="shared" si="58"/>
        <v>0.52459016393442626</v>
      </c>
      <c r="N473">
        <f t="shared" si="59"/>
        <v>0</v>
      </c>
      <c r="O473">
        <f t="shared" si="60"/>
        <v>0</v>
      </c>
      <c r="P473">
        <f t="shared" si="61"/>
        <v>0.45901639344262302</v>
      </c>
      <c r="Q473">
        <f t="shared" si="62"/>
        <v>3.4158838599487616E-2</v>
      </c>
      <c r="R473">
        <f t="shared" si="63"/>
        <v>0</v>
      </c>
    </row>
    <row r="474" spans="1:18" x14ac:dyDescent="0.3">
      <c r="A474">
        <v>4</v>
      </c>
      <c r="B474">
        <v>90</v>
      </c>
      <c r="C474">
        <v>88</v>
      </c>
      <c r="D474">
        <v>47</v>
      </c>
      <c r="E474">
        <v>54</v>
      </c>
      <c r="F474">
        <v>37.700000000000003</v>
      </c>
      <c r="G474">
        <v>0.36199999999999999</v>
      </c>
      <c r="H474">
        <v>29</v>
      </c>
      <c r="I474">
        <v>0</v>
      </c>
      <c r="K474">
        <f t="shared" si="56"/>
        <v>0.23529411764705882</v>
      </c>
      <c r="L474">
        <f t="shared" si="57"/>
        <v>0.45226130653266333</v>
      </c>
      <c r="M474">
        <f t="shared" si="58"/>
        <v>0.72131147540983609</v>
      </c>
      <c r="N474">
        <f t="shared" si="59"/>
        <v>0.47474747474747475</v>
      </c>
      <c r="O474">
        <f t="shared" si="60"/>
        <v>6.3829787234042548E-2</v>
      </c>
      <c r="P474">
        <f t="shared" si="61"/>
        <v>0.56184798807749636</v>
      </c>
      <c r="Q474">
        <f t="shared" si="62"/>
        <v>0.12126387702818103</v>
      </c>
      <c r="R474">
        <f t="shared" si="63"/>
        <v>0.13333333333333333</v>
      </c>
    </row>
    <row r="475" spans="1:18" x14ac:dyDescent="0.3">
      <c r="A475">
        <v>0</v>
      </c>
      <c r="B475">
        <v>125</v>
      </c>
      <c r="C475">
        <v>68</v>
      </c>
      <c r="D475">
        <v>0</v>
      </c>
      <c r="E475">
        <v>0</v>
      </c>
      <c r="F475">
        <v>24.7</v>
      </c>
      <c r="G475">
        <v>0.20599999999999999</v>
      </c>
      <c r="H475">
        <v>21</v>
      </c>
      <c r="I475">
        <v>0</v>
      </c>
      <c r="K475">
        <f t="shared" si="56"/>
        <v>0</v>
      </c>
      <c r="L475">
        <f t="shared" si="57"/>
        <v>0.62814070351758799</v>
      </c>
      <c r="M475">
        <f t="shared" si="58"/>
        <v>0.55737704918032782</v>
      </c>
      <c r="N475">
        <f t="shared" si="59"/>
        <v>0</v>
      </c>
      <c r="O475">
        <f t="shared" si="60"/>
        <v>0</v>
      </c>
      <c r="P475">
        <f t="shared" si="61"/>
        <v>0.36810730253353208</v>
      </c>
      <c r="Q475">
        <f t="shared" si="62"/>
        <v>5.4654141759180187E-2</v>
      </c>
      <c r="R475">
        <f t="shared" si="63"/>
        <v>0</v>
      </c>
    </row>
    <row r="476" spans="1:18" x14ac:dyDescent="0.3">
      <c r="A476">
        <v>0</v>
      </c>
      <c r="B476">
        <v>132</v>
      </c>
      <c r="C476">
        <v>78</v>
      </c>
      <c r="D476">
        <v>0</v>
      </c>
      <c r="E476">
        <v>0</v>
      </c>
      <c r="F476">
        <v>32.4</v>
      </c>
      <c r="G476">
        <v>0.39300000000000002</v>
      </c>
      <c r="H476">
        <v>21</v>
      </c>
      <c r="I476">
        <v>0</v>
      </c>
      <c r="K476">
        <f t="shared" si="56"/>
        <v>0</v>
      </c>
      <c r="L476">
        <f t="shared" si="57"/>
        <v>0.66331658291457285</v>
      </c>
      <c r="M476">
        <f t="shared" si="58"/>
        <v>0.63934426229508201</v>
      </c>
      <c r="N476">
        <f t="shared" si="59"/>
        <v>0</v>
      </c>
      <c r="O476">
        <f t="shared" si="60"/>
        <v>0</v>
      </c>
      <c r="P476">
        <f t="shared" si="61"/>
        <v>0.48286140089418778</v>
      </c>
      <c r="Q476">
        <f t="shared" si="62"/>
        <v>0.13450042698548248</v>
      </c>
      <c r="R476">
        <f t="shared" si="63"/>
        <v>0</v>
      </c>
    </row>
    <row r="477" spans="1:18" x14ac:dyDescent="0.3">
      <c r="A477">
        <v>5</v>
      </c>
      <c r="B477">
        <v>128</v>
      </c>
      <c r="C477">
        <v>80</v>
      </c>
      <c r="D477">
        <v>0</v>
      </c>
      <c r="E477">
        <v>0</v>
      </c>
      <c r="F477">
        <v>34.6</v>
      </c>
      <c r="G477">
        <v>0.14399999999999999</v>
      </c>
      <c r="H477">
        <v>45</v>
      </c>
      <c r="I477">
        <v>0</v>
      </c>
      <c r="K477">
        <f t="shared" si="56"/>
        <v>0.29411764705882354</v>
      </c>
      <c r="L477">
        <f t="shared" si="57"/>
        <v>0.64321608040201006</v>
      </c>
      <c r="M477">
        <f t="shared" si="58"/>
        <v>0.65573770491803274</v>
      </c>
      <c r="N477">
        <f t="shared" si="59"/>
        <v>0</v>
      </c>
      <c r="O477">
        <f t="shared" si="60"/>
        <v>0</v>
      </c>
      <c r="P477">
        <f t="shared" si="61"/>
        <v>0.51564828614008951</v>
      </c>
      <c r="Q477">
        <f t="shared" si="62"/>
        <v>2.818104184457728E-2</v>
      </c>
      <c r="R477">
        <f t="shared" si="63"/>
        <v>0.4</v>
      </c>
    </row>
    <row r="478" spans="1:18" x14ac:dyDescent="0.3">
      <c r="A478">
        <v>4</v>
      </c>
      <c r="B478">
        <v>94</v>
      </c>
      <c r="C478">
        <v>65</v>
      </c>
      <c r="D478">
        <v>22</v>
      </c>
      <c r="E478">
        <v>0</v>
      </c>
      <c r="F478">
        <v>24.7</v>
      </c>
      <c r="G478">
        <v>0.14799999999999999</v>
      </c>
      <c r="H478">
        <v>21</v>
      </c>
      <c r="I478">
        <v>0</v>
      </c>
      <c r="K478">
        <f t="shared" si="56"/>
        <v>0.23529411764705882</v>
      </c>
      <c r="L478">
        <f t="shared" si="57"/>
        <v>0.47236180904522612</v>
      </c>
      <c r="M478">
        <f t="shared" si="58"/>
        <v>0.53278688524590168</v>
      </c>
      <c r="N478">
        <f t="shared" si="59"/>
        <v>0.22222222222222221</v>
      </c>
      <c r="O478">
        <f t="shared" si="60"/>
        <v>0</v>
      </c>
      <c r="P478">
        <f t="shared" si="61"/>
        <v>0.36810730253353208</v>
      </c>
      <c r="Q478">
        <f t="shared" si="62"/>
        <v>2.988898377455166E-2</v>
      </c>
      <c r="R478">
        <f t="shared" si="63"/>
        <v>0</v>
      </c>
    </row>
    <row r="479" spans="1:18" x14ac:dyDescent="0.3">
      <c r="A479">
        <v>7</v>
      </c>
      <c r="B479">
        <v>114</v>
      </c>
      <c r="C479">
        <v>64</v>
      </c>
      <c r="D479">
        <v>0</v>
      </c>
      <c r="E479">
        <v>0</v>
      </c>
      <c r="F479">
        <v>27.4</v>
      </c>
      <c r="G479">
        <v>0.73199999999999998</v>
      </c>
      <c r="H479">
        <v>34</v>
      </c>
      <c r="I479">
        <v>1</v>
      </c>
      <c r="K479">
        <f t="shared" si="56"/>
        <v>0.41176470588235292</v>
      </c>
      <c r="L479">
        <f t="shared" si="57"/>
        <v>0.57286432160804024</v>
      </c>
      <c r="M479">
        <f t="shared" si="58"/>
        <v>0.52459016393442626</v>
      </c>
      <c r="N479">
        <f t="shared" si="59"/>
        <v>0</v>
      </c>
      <c r="O479">
        <f t="shared" si="60"/>
        <v>0</v>
      </c>
      <c r="P479">
        <f t="shared" si="61"/>
        <v>0.40834575260804773</v>
      </c>
      <c r="Q479">
        <f t="shared" si="62"/>
        <v>0.27924850555081127</v>
      </c>
      <c r="R479">
        <f t="shared" si="63"/>
        <v>0.21666666666666667</v>
      </c>
    </row>
    <row r="480" spans="1:18" x14ac:dyDescent="0.3">
      <c r="A480">
        <v>0</v>
      </c>
      <c r="B480">
        <v>102</v>
      </c>
      <c r="C480">
        <v>78</v>
      </c>
      <c r="D480">
        <v>40</v>
      </c>
      <c r="E480">
        <v>90</v>
      </c>
      <c r="F480">
        <v>34.5</v>
      </c>
      <c r="G480">
        <v>0.23799999999999999</v>
      </c>
      <c r="H480">
        <v>24</v>
      </c>
      <c r="I480">
        <v>0</v>
      </c>
      <c r="K480">
        <f t="shared" si="56"/>
        <v>0</v>
      </c>
      <c r="L480">
        <f t="shared" si="57"/>
        <v>0.51256281407035176</v>
      </c>
      <c r="M480">
        <f t="shared" si="58"/>
        <v>0.63934426229508201</v>
      </c>
      <c r="N480">
        <f t="shared" si="59"/>
        <v>0.40404040404040403</v>
      </c>
      <c r="O480">
        <f t="shared" si="60"/>
        <v>0.10638297872340426</v>
      </c>
      <c r="P480">
        <f t="shared" si="61"/>
        <v>0.51415797317436662</v>
      </c>
      <c r="Q480">
        <f t="shared" si="62"/>
        <v>6.8317677198975219E-2</v>
      </c>
      <c r="R480">
        <f t="shared" si="63"/>
        <v>0.05</v>
      </c>
    </row>
    <row r="481" spans="1:18" x14ac:dyDescent="0.3">
      <c r="A481">
        <v>2</v>
      </c>
      <c r="B481">
        <v>111</v>
      </c>
      <c r="C481">
        <v>60</v>
      </c>
      <c r="D481">
        <v>0</v>
      </c>
      <c r="E481">
        <v>0</v>
      </c>
      <c r="F481">
        <v>26.2</v>
      </c>
      <c r="G481">
        <v>0.34300000000000003</v>
      </c>
      <c r="H481">
        <v>23</v>
      </c>
      <c r="I481">
        <v>0</v>
      </c>
      <c r="K481">
        <f t="shared" si="56"/>
        <v>0.11764705882352941</v>
      </c>
      <c r="L481">
        <f t="shared" si="57"/>
        <v>0.55778894472361806</v>
      </c>
      <c r="M481">
        <f t="shared" si="58"/>
        <v>0.49180327868852458</v>
      </c>
      <c r="N481">
        <f t="shared" si="59"/>
        <v>0</v>
      </c>
      <c r="O481">
        <f t="shared" si="60"/>
        <v>0</v>
      </c>
      <c r="P481">
        <f t="shared" si="61"/>
        <v>0.39046199701937412</v>
      </c>
      <c r="Q481">
        <f t="shared" si="62"/>
        <v>0.11315115286080274</v>
      </c>
      <c r="R481">
        <f t="shared" si="63"/>
        <v>3.3333333333333333E-2</v>
      </c>
    </row>
    <row r="482" spans="1:18" x14ac:dyDescent="0.3">
      <c r="A482">
        <v>1</v>
      </c>
      <c r="B482">
        <v>128</v>
      </c>
      <c r="C482">
        <v>82</v>
      </c>
      <c r="D482">
        <v>17</v>
      </c>
      <c r="E482">
        <v>183</v>
      </c>
      <c r="F482">
        <v>27.5</v>
      </c>
      <c r="G482">
        <v>0.115</v>
      </c>
      <c r="H482">
        <v>22</v>
      </c>
      <c r="I482">
        <v>0</v>
      </c>
      <c r="K482">
        <f t="shared" si="56"/>
        <v>5.8823529411764705E-2</v>
      </c>
      <c r="L482">
        <f t="shared" si="57"/>
        <v>0.64321608040201006</v>
      </c>
      <c r="M482">
        <f t="shared" si="58"/>
        <v>0.67213114754098358</v>
      </c>
      <c r="N482">
        <f t="shared" si="59"/>
        <v>0.17171717171717171</v>
      </c>
      <c r="O482">
        <f t="shared" si="60"/>
        <v>0.21631205673758866</v>
      </c>
      <c r="P482">
        <f t="shared" si="61"/>
        <v>0.4098360655737705</v>
      </c>
      <c r="Q482">
        <f t="shared" si="62"/>
        <v>1.5798462852263023E-2</v>
      </c>
      <c r="R482">
        <f t="shared" si="63"/>
        <v>1.6666666666666666E-2</v>
      </c>
    </row>
    <row r="483" spans="1:18" x14ac:dyDescent="0.3">
      <c r="A483">
        <v>10</v>
      </c>
      <c r="B483">
        <v>92</v>
      </c>
      <c r="C483">
        <v>62</v>
      </c>
      <c r="D483">
        <v>0</v>
      </c>
      <c r="E483">
        <v>0</v>
      </c>
      <c r="F483">
        <v>25.9</v>
      </c>
      <c r="G483">
        <v>0.16700000000000001</v>
      </c>
      <c r="H483">
        <v>31</v>
      </c>
      <c r="I483">
        <v>0</v>
      </c>
      <c r="K483">
        <f t="shared" si="56"/>
        <v>0.58823529411764708</v>
      </c>
      <c r="L483">
        <f t="shared" si="57"/>
        <v>0.46231155778894473</v>
      </c>
      <c r="M483">
        <f t="shared" si="58"/>
        <v>0.50819672131147542</v>
      </c>
      <c r="N483">
        <f t="shared" si="59"/>
        <v>0</v>
      </c>
      <c r="O483">
        <f t="shared" si="60"/>
        <v>0</v>
      </c>
      <c r="P483">
        <f t="shared" si="61"/>
        <v>0.38599105812220569</v>
      </c>
      <c r="Q483">
        <f t="shared" si="62"/>
        <v>3.8001707941929974E-2</v>
      </c>
      <c r="R483">
        <f t="shared" si="63"/>
        <v>0.16666666666666666</v>
      </c>
    </row>
    <row r="484" spans="1:18" x14ac:dyDescent="0.3">
      <c r="A484">
        <v>13</v>
      </c>
      <c r="B484">
        <v>104</v>
      </c>
      <c r="C484">
        <v>72</v>
      </c>
      <c r="D484">
        <v>0</v>
      </c>
      <c r="E484">
        <v>0</v>
      </c>
      <c r="F484">
        <v>31.2</v>
      </c>
      <c r="G484">
        <v>0.46500000000000002</v>
      </c>
      <c r="H484">
        <v>38</v>
      </c>
      <c r="I484">
        <v>1</v>
      </c>
      <c r="K484">
        <f t="shared" si="56"/>
        <v>0.76470588235294112</v>
      </c>
      <c r="L484">
        <f t="shared" si="57"/>
        <v>0.52261306532663321</v>
      </c>
      <c r="M484">
        <f t="shared" si="58"/>
        <v>0.5901639344262295</v>
      </c>
      <c r="N484">
        <f t="shared" si="59"/>
        <v>0</v>
      </c>
      <c r="O484">
        <f t="shared" si="60"/>
        <v>0</v>
      </c>
      <c r="P484">
        <f t="shared" si="61"/>
        <v>0.46497764530551416</v>
      </c>
      <c r="Q484">
        <f t="shared" si="62"/>
        <v>0.16524338172502134</v>
      </c>
      <c r="R484">
        <f t="shared" si="63"/>
        <v>0.28333333333333333</v>
      </c>
    </row>
    <row r="485" spans="1:18" x14ac:dyDescent="0.3">
      <c r="A485">
        <v>5</v>
      </c>
      <c r="B485">
        <v>104</v>
      </c>
      <c r="C485">
        <v>74</v>
      </c>
      <c r="D485">
        <v>0</v>
      </c>
      <c r="E485">
        <v>0</v>
      </c>
      <c r="F485">
        <v>28.8</v>
      </c>
      <c r="G485">
        <v>0.153</v>
      </c>
      <c r="H485">
        <v>48</v>
      </c>
      <c r="I485">
        <v>0</v>
      </c>
      <c r="K485">
        <f t="shared" si="56"/>
        <v>0.29411764705882354</v>
      </c>
      <c r="L485">
        <f t="shared" si="57"/>
        <v>0.52261306532663321</v>
      </c>
      <c r="M485">
        <f t="shared" si="58"/>
        <v>0.60655737704918034</v>
      </c>
      <c r="N485">
        <f t="shared" si="59"/>
        <v>0</v>
      </c>
      <c r="O485">
        <f t="shared" si="60"/>
        <v>0</v>
      </c>
      <c r="P485">
        <f t="shared" si="61"/>
        <v>0.42921013412816694</v>
      </c>
      <c r="Q485">
        <f t="shared" si="62"/>
        <v>3.2023911187019638E-2</v>
      </c>
      <c r="R485">
        <f t="shared" si="63"/>
        <v>0.45</v>
      </c>
    </row>
    <row r="486" spans="1:18" x14ac:dyDescent="0.3">
      <c r="A486">
        <v>2</v>
      </c>
      <c r="B486">
        <v>94</v>
      </c>
      <c r="C486">
        <v>76</v>
      </c>
      <c r="D486">
        <v>18</v>
      </c>
      <c r="E486">
        <v>66</v>
      </c>
      <c r="F486">
        <v>31.6</v>
      </c>
      <c r="G486">
        <v>0.64900000000000002</v>
      </c>
      <c r="H486">
        <v>23</v>
      </c>
      <c r="I486">
        <v>0</v>
      </c>
      <c r="K486">
        <f t="shared" si="56"/>
        <v>0.11764705882352941</v>
      </c>
      <c r="L486">
        <f t="shared" si="57"/>
        <v>0.47236180904522612</v>
      </c>
      <c r="M486">
        <f t="shared" si="58"/>
        <v>0.62295081967213117</v>
      </c>
      <c r="N486">
        <f t="shared" si="59"/>
        <v>0.18181818181818182</v>
      </c>
      <c r="O486">
        <f t="shared" si="60"/>
        <v>7.8014184397163122E-2</v>
      </c>
      <c r="P486">
        <f t="shared" si="61"/>
        <v>0.47093889716840542</v>
      </c>
      <c r="Q486">
        <f t="shared" si="62"/>
        <v>0.2438087105038429</v>
      </c>
      <c r="R486">
        <f t="shared" si="63"/>
        <v>3.3333333333333333E-2</v>
      </c>
    </row>
    <row r="487" spans="1:18" x14ac:dyDescent="0.3">
      <c r="A487">
        <v>7</v>
      </c>
      <c r="B487">
        <v>97</v>
      </c>
      <c r="C487">
        <v>76</v>
      </c>
      <c r="D487">
        <v>32</v>
      </c>
      <c r="E487">
        <v>91</v>
      </c>
      <c r="F487">
        <v>40.9</v>
      </c>
      <c r="G487">
        <v>0.871</v>
      </c>
      <c r="H487">
        <v>32</v>
      </c>
      <c r="I487">
        <v>1</v>
      </c>
      <c r="K487">
        <f t="shared" si="56"/>
        <v>0.41176470588235292</v>
      </c>
      <c r="L487">
        <f t="shared" si="57"/>
        <v>0.48743718592964824</v>
      </c>
      <c r="M487">
        <f t="shared" si="58"/>
        <v>0.62295081967213117</v>
      </c>
      <c r="N487">
        <f t="shared" si="59"/>
        <v>0.32323232323232326</v>
      </c>
      <c r="O487">
        <f t="shared" si="60"/>
        <v>0.10756501182033097</v>
      </c>
      <c r="P487">
        <f t="shared" si="61"/>
        <v>0.60953800298062599</v>
      </c>
      <c r="Q487">
        <f t="shared" si="62"/>
        <v>0.33859948761742104</v>
      </c>
      <c r="R487">
        <f t="shared" si="63"/>
        <v>0.18333333333333332</v>
      </c>
    </row>
    <row r="488" spans="1:18" x14ac:dyDescent="0.3">
      <c r="A488">
        <v>1</v>
      </c>
      <c r="B488">
        <v>100</v>
      </c>
      <c r="C488">
        <v>74</v>
      </c>
      <c r="D488">
        <v>12</v>
      </c>
      <c r="E488">
        <v>46</v>
      </c>
      <c r="F488">
        <v>19.5</v>
      </c>
      <c r="G488">
        <v>0.14899999999999999</v>
      </c>
      <c r="H488">
        <v>28</v>
      </c>
      <c r="I488">
        <v>0</v>
      </c>
      <c r="K488">
        <f t="shared" si="56"/>
        <v>5.8823529411764705E-2</v>
      </c>
      <c r="L488">
        <f t="shared" si="57"/>
        <v>0.50251256281407031</v>
      </c>
      <c r="M488">
        <f t="shared" si="58"/>
        <v>0.60655737704918034</v>
      </c>
      <c r="N488">
        <f t="shared" si="59"/>
        <v>0.12121212121212122</v>
      </c>
      <c r="O488">
        <f t="shared" si="60"/>
        <v>5.4373522458628844E-2</v>
      </c>
      <c r="P488">
        <f t="shared" si="61"/>
        <v>0.29061102831594637</v>
      </c>
      <c r="Q488">
        <f t="shared" si="62"/>
        <v>3.0315969257045258E-2</v>
      </c>
      <c r="R488">
        <f t="shared" si="63"/>
        <v>0.11666666666666667</v>
      </c>
    </row>
    <row r="489" spans="1:18" x14ac:dyDescent="0.3">
      <c r="A489">
        <v>0</v>
      </c>
      <c r="B489">
        <v>102</v>
      </c>
      <c r="C489">
        <v>86</v>
      </c>
      <c r="D489">
        <v>17</v>
      </c>
      <c r="E489">
        <v>105</v>
      </c>
      <c r="F489">
        <v>29.3</v>
      </c>
      <c r="G489">
        <v>0.69499999999999995</v>
      </c>
      <c r="H489">
        <v>27</v>
      </c>
      <c r="I489">
        <v>0</v>
      </c>
      <c r="K489">
        <f t="shared" si="56"/>
        <v>0</v>
      </c>
      <c r="L489">
        <f t="shared" si="57"/>
        <v>0.51256281407035176</v>
      </c>
      <c r="M489">
        <f t="shared" si="58"/>
        <v>0.70491803278688525</v>
      </c>
      <c r="N489">
        <f t="shared" si="59"/>
        <v>0.17171717171717171</v>
      </c>
      <c r="O489">
        <f t="shared" si="60"/>
        <v>0.12411347517730496</v>
      </c>
      <c r="P489">
        <f t="shared" si="61"/>
        <v>0.43666169895678097</v>
      </c>
      <c r="Q489">
        <f t="shared" si="62"/>
        <v>0.26345004269854821</v>
      </c>
      <c r="R489">
        <f t="shared" si="63"/>
        <v>0.1</v>
      </c>
    </row>
    <row r="490" spans="1:18" x14ac:dyDescent="0.3">
      <c r="A490">
        <v>4</v>
      </c>
      <c r="B490">
        <v>128</v>
      </c>
      <c r="C490">
        <v>70</v>
      </c>
      <c r="D490">
        <v>0</v>
      </c>
      <c r="E490">
        <v>0</v>
      </c>
      <c r="F490">
        <v>34.299999999999997</v>
      </c>
      <c r="G490">
        <v>0.30299999999999999</v>
      </c>
      <c r="H490">
        <v>24</v>
      </c>
      <c r="I490">
        <v>0</v>
      </c>
      <c r="K490">
        <f t="shared" si="56"/>
        <v>0.23529411764705882</v>
      </c>
      <c r="L490">
        <f t="shared" si="57"/>
        <v>0.64321608040201006</v>
      </c>
      <c r="M490">
        <f t="shared" si="58"/>
        <v>0.57377049180327866</v>
      </c>
      <c r="N490">
        <f t="shared" si="59"/>
        <v>0</v>
      </c>
      <c r="O490">
        <f t="shared" si="60"/>
        <v>0</v>
      </c>
      <c r="P490">
        <f t="shared" si="61"/>
        <v>0.51117734724292097</v>
      </c>
      <c r="Q490">
        <f t="shared" si="62"/>
        <v>9.6071733561058914E-2</v>
      </c>
      <c r="R490">
        <f t="shared" si="63"/>
        <v>0.05</v>
      </c>
    </row>
    <row r="491" spans="1:18" x14ac:dyDescent="0.3">
      <c r="A491">
        <v>6</v>
      </c>
      <c r="B491">
        <v>147</v>
      </c>
      <c r="C491">
        <v>80</v>
      </c>
      <c r="D491">
        <v>0</v>
      </c>
      <c r="E491">
        <v>0</v>
      </c>
      <c r="F491">
        <v>29.5</v>
      </c>
      <c r="G491">
        <v>0.17799999999999999</v>
      </c>
      <c r="H491">
        <v>50</v>
      </c>
      <c r="I491">
        <v>1</v>
      </c>
      <c r="K491">
        <f t="shared" si="56"/>
        <v>0.35294117647058826</v>
      </c>
      <c r="L491">
        <f t="shared" si="57"/>
        <v>0.7386934673366834</v>
      </c>
      <c r="M491">
        <f t="shared" si="58"/>
        <v>0.65573770491803274</v>
      </c>
      <c r="N491">
        <f t="shared" si="59"/>
        <v>0</v>
      </c>
      <c r="O491">
        <f t="shared" si="60"/>
        <v>0</v>
      </c>
      <c r="P491">
        <f t="shared" si="61"/>
        <v>0.43964232488822658</v>
      </c>
      <c r="Q491">
        <f t="shared" si="62"/>
        <v>4.2698548249359515E-2</v>
      </c>
      <c r="R491">
        <f t="shared" si="63"/>
        <v>0.48333333333333334</v>
      </c>
    </row>
    <row r="492" spans="1:18" x14ac:dyDescent="0.3">
      <c r="A492">
        <v>4</v>
      </c>
      <c r="B492">
        <v>90</v>
      </c>
      <c r="C492">
        <v>0</v>
      </c>
      <c r="D492">
        <v>0</v>
      </c>
      <c r="E492">
        <v>0</v>
      </c>
      <c r="F492">
        <v>28</v>
      </c>
      <c r="G492">
        <v>0.61</v>
      </c>
      <c r="H492">
        <v>31</v>
      </c>
      <c r="I492">
        <v>0</v>
      </c>
      <c r="K492">
        <f t="shared" si="56"/>
        <v>0.23529411764705882</v>
      </c>
      <c r="L492">
        <f t="shared" si="57"/>
        <v>0.45226130653266333</v>
      </c>
      <c r="M492">
        <f t="shared" si="58"/>
        <v>0</v>
      </c>
      <c r="N492">
        <f t="shared" si="59"/>
        <v>0</v>
      </c>
      <c r="O492">
        <f t="shared" si="60"/>
        <v>0</v>
      </c>
      <c r="P492">
        <f t="shared" si="61"/>
        <v>0.41728763040238454</v>
      </c>
      <c r="Q492">
        <f t="shared" si="62"/>
        <v>0.22715627668659266</v>
      </c>
      <c r="R492">
        <f t="shared" si="63"/>
        <v>0.16666666666666666</v>
      </c>
    </row>
    <row r="493" spans="1:18" x14ac:dyDescent="0.3">
      <c r="A493">
        <v>3</v>
      </c>
      <c r="B493">
        <v>103</v>
      </c>
      <c r="C493">
        <v>72</v>
      </c>
      <c r="D493">
        <v>30</v>
      </c>
      <c r="E493">
        <v>152</v>
      </c>
      <c r="F493">
        <v>27.6</v>
      </c>
      <c r="G493">
        <v>0.73</v>
      </c>
      <c r="H493">
        <v>27</v>
      </c>
      <c r="I493">
        <v>0</v>
      </c>
      <c r="K493">
        <f t="shared" si="56"/>
        <v>0.17647058823529413</v>
      </c>
      <c r="L493">
        <f t="shared" si="57"/>
        <v>0.51758793969849248</v>
      </c>
      <c r="M493">
        <f t="shared" si="58"/>
        <v>0.5901639344262295</v>
      </c>
      <c r="N493">
        <f t="shared" si="59"/>
        <v>0.30303030303030304</v>
      </c>
      <c r="O493">
        <f t="shared" si="60"/>
        <v>0.17966903073286053</v>
      </c>
      <c r="P493">
        <f t="shared" si="61"/>
        <v>0.41132637853949333</v>
      </c>
      <c r="Q493">
        <f t="shared" si="62"/>
        <v>0.27839453458582408</v>
      </c>
      <c r="R493">
        <f t="shared" si="63"/>
        <v>0.1</v>
      </c>
    </row>
    <row r="494" spans="1:18" x14ac:dyDescent="0.3">
      <c r="A494">
        <v>2</v>
      </c>
      <c r="B494">
        <v>157</v>
      </c>
      <c r="C494">
        <v>74</v>
      </c>
      <c r="D494">
        <v>35</v>
      </c>
      <c r="E494">
        <v>440</v>
      </c>
      <c r="F494">
        <v>39.4</v>
      </c>
      <c r="G494">
        <v>0.13400000000000001</v>
      </c>
      <c r="H494">
        <v>30</v>
      </c>
      <c r="I494">
        <v>0</v>
      </c>
      <c r="K494">
        <f t="shared" si="56"/>
        <v>0.11764705882352941</v>
      </c>
      <c r="L494">
        <f t="shared" si="57"/>
        <v>0.78894472361809043</v>
      </c>
      <c r="M494">
        <f t="shared" si="58"/>
        <v>0.60655737704918034</v>
      </c>
      <c r="N494">
        <f t="shared" si="59"/>
        <v>0.35353535353535354</v>
      </c>
      <c r="O494">
        <f t="shared" si="60"/>
        <v>0.52009456264775411</v>
      </c>
      <c r="P494">
        <f t="shared" si="61"/>
        <v>0.58718330849478395</v>
      </c>
      <c r="Q494">
        <f t="shared" si="62"/>
        <v>2.3911187019641334E-2</v>
      </c>
      <c r="R494">
        <f t="shared" si="63"/>
        <v>0.15</v>
      </c>
    </row>
    <row r="495" spans="1:18" x14ac:dyDescent="0.3">
      <c r="A495">
        <v>1</v>
      </c>
      <c r="B495">
        <v>167</v>
      </c>
      <c r="C495">
        <v>74</v>
      </c>
      <c r="D495">
        <v>17</v>
      </c>
      <c r="E495">
        <v>144</v>
      </c>
      <c r="F495">
        <v>23.4</v>
      </c>
      <c r="G495">
        <v>0.44700000000000001</v>
      </c>
      <c r="H495">
        <v>33</v>
      </c>
      <c r="I495">
        <v>1</v>
      </c>
      <c r="K495">
        <f t="shared" si="56"/>
        <v>5.8823529411764705E-2</v>
      </c>
      <c r="L495">
        <f t="shared" si="57"/>
        <v>0.83919597989949746</v>
      </c>
      <c r="M495">
        <f t="shared" si="58"/>
        <v>0.60655737704918034</v>
      </c>
      <c r="N495">
        <f t="shared" si="59"/>
        <v>0.17171717171717171</v>
      </c>
      <c r="O495">
        <f t="shared" si="60"/>
        <v>0.1702127659574468</v>
      </c>
      <c r="P495">
        <f t="shared" si="61"/>
        <v>0.34873323397913564</v>
      </c>
      <c r="Q495">
        <f t="shared" si="62"/>
        <v>0.15755764304013664</v>
      </c>
      <c r="R495">
        <f t="shared" si="63"/>
        <v>0.2</v>
      </c>
    </row>
    <row r="496" spans="1:18" x14ac:dyDescent="0.3">
      <c r="A496">
        <v>0</v>
      </c>
      <c r="B496">
        <v>179</v>
      </c>
      <c r="C496">
        <v>50</v>
      </c>
      <c r="D496">
        <v>36</v>
      </c>
      <c r="E496">
        <v>159</v>
      </c>
      <c r="F496">
        <v>37.799999999999997</v>
      </c>
      <c r="G496">
        <v>0.45500000000000002</v>
      </c>
      <c r="H496">
        <v>22</v>
      </c>
      <c r="I496">
        <v>1</v>
      </c>
      <c r="K496">
        <f t="shared" si="56"/>
        <v>0</v>
      </c>
      <c r="L496">
        <f t="shared" si="57"/>
        <v>0.89949748743718594</v>
      </c>
      <c r="M496">
        <f t="shared" si="58"/>
        <v>0.4098360655737705</v>
      </c>
      <c r="N496">
        <f t="shared" si="59"/>
        <v>0.36363636363636365</v>
      </c>
      <c r="O496">
        <f t="shared" si="60"/>
        <v>0.18794326241134751</v>
      </c>
      <c r="P496">
        <f t="shared" si="61"/>
        <v>0.56333830104321914</v>
      </c>
      <c r="Q496">
        <f t="shared" si="62"/>
        <v>0.1609735269000854</v>
      </c>
      <c r="R496">
        <f t="shared" si="63"/>
        <v>1.6666666666666666E-2</v>
      </c>
    </row>
    <row r="497" spans="1:18" x14ac:dyDescent="0.3">
      <c r="A497">
        <v>11</v>
      </c>
      <c r="B497">
        <v>136</v>
      </c>
      <c r="C497">
        <v>84</v>
      </c>
      <c r="D497">
        <v>35</v>
      </c>
      <c r="E497">
        <v>130</v>
      </c>
      <c r="F497">
        <v>28.3</v>
      </c>
      <c r="G497">
        <v>0.26</v>
      </c>
      <c r="H497">
        <v>42</v>
      </c>
      <c r="I497">
        <v>1</v>
      </c>
      <c r="K497">
        <f t="shared" si="56"/>
        <v>0.6470588235294118</v>
      </c>
      <c r="L497">
        <f t="shared" si="57"/>
        <v>0.68341708542713564</v>
      </c>
      <c r="M497">
        <f t="shared" si="58"/>
        <v>0.68852459016393441</v>
      </c>
      <c r="N497">
        <f t="shared" si="59"/>
        <v>0.35353535353535354</v>
      </c>
      <c r="O497">
        <f t="shared" si="60"/>
        <v>0.15366430260047281</v>
      </c>
      <c r="P497">
        <f t="shared" si="61"/>
        <v>0.42175856929955297</v>
      </c>
      <c r="Q497">
        <f t="shared" si="62"/>
        <v>7.7711357813834328E-2</v>
      </c>
      <c r="R497">
        <f t="shared" si="63"/>
        <v>0.35</v>
      </c>
    </row>
    <row r="498" spans="1:18" x14ac:dyDescent="0.3">
      <c r="A498">
        <v>0</v>
      </c>
      <c r="B498">
        <v>107</v>
      </c>
      <c r="C498">
        <v>60</v>
      </c>
      <c r="D498">
        <v>25</v>
      </c>
      <c r="E498">
        <v>0</v>
      </c>
      <c r="F498">
        <v>26.4</v>
      </c>
      <c r="G498">
        <v>0.13300000000000001</v>
      </c>
      <c r="H498">
        <v>23</v>
      </c>
      <c r="I498">
        <v>0</v>
      </c>
      <c r="K498">
        <f t="shared" si="56"/>
        <v>0</v>
      </c>
      <c r="L498">
        <f t="shared" si="57"/>
        <v>0.53768844221105527</v>
      </c>
      <c r="M498">
        <f t="shared" si="58"/>
        <v>0.49180327868852458</v>
      </c>
      <c r="N498">
        <f t="shared" si="59"/>
        <v>0.25252525252525254</v>
      </c>
      <c r="O498">
        <f t="shared" si="60"/>
        <v>0</v>
      </c>
      <c r="P498">
        <f t="shared" si="61"/>
        <v>0.39344262295081966</v>
      </c>
      <c r="Q498">
        <f t="shared" si="62"/>
        <v>2.3484201537147739E-2</v>
      </c>
      <c r="R498">
        <f t="shared" si="63"/>
        <v>3.3333333333333333E-2</v>
      </c>
    </row>
    <row r="499" spans="1:18" x14ac:dyDescent="0.3">
      <c r="A499">
        <v>1</v>
      </c>
      <c r="B499">
        <v>91</v>
      </c>
      <c r="C499">
        <v>54</v>
      </c>
      <c r="D499">
        <v>25</v>
      </c>
      <c r="E499">
        <v>100</v>
      </c>
      <c r="F499">
        <v>25.2</v>
      </c>
      <c r="G499">
        <v>0.23400000000000001</v>
      </c>
      <c r="H499">
        <v>23</v>
      </c>
      <c r="I499">
        <v>0</v>
      </c>
      <c r="K499">
        <f t="shared" si="56"/>
        <v>5.8823529411764705E-2</v>
      </c>
      <c r="L499">
        <f t="shared" si="57"/>
        <v>0.457286432160804</v>
      </c>
      <c r="M499">
        <f t="shared" si="58"/>
        <v>0.44262295081967212</v>
      </c>
      <c r="N499">
        <f t="shared" si="59"/>
        <v>0.25252525252525254</v>
      </c>
      <c r="O499">
        <f t="shared" si="60"/>
        <v>0.1182033096926714</v>
      </c>
      <c r="P499">
        <f t="shared" si="61"/>
        <v>0.37555886736214605</v>
      </c>
      <c r="Q499">
        <f t="shared" si="62"/>
        <v>6.6609735269000866E-2</v>
      </c>
      <c r="R499">
        <f t="shared" si="63"/>
        <v>3.3333333333333333E-2</v>
      </c>
    </row>
    <row r="500" spans="1:18" x14ac:dyDescent="0.3">
      <c r="A500">
        <v>1</v>
      </c>
      <c r="B500">
        <v>117</v>
      </c>
      <c r="C500">
        <v>60</v>
      </c>
      <c r="D500">
        <v>23</v>
      </c>
      <c r="E500">
        <v>106</v>
      </c>
      <c r="F500">
        <v>33.799999999999997</v>
      </c>
      <c r="G500">
        <v>0.46600000000000003</v>
      </c>
      <c r="H500">
        <v>27</v>
      </c>
      <c r="I500">
        <v>0</v>
      </c>
      <c r="K500">
        <f t="shared" si="56"/>
        <v>5.8823529411764705E-2</v>
      </c>
      <c r="L500">
        <f t="shared" si="57"/>
        <v>0.5879396984924623</v>
      </c>
      <c r="M500">
        <f t="shared" si="58"/>
        <v>0.49180327868852458</v>
      </c>
      <c r="N500">
        <f t="shared" si="59"/>
        <v>0.23232323232323232</v>
      </c>
      <c r="O500">
        <f t="shared" si="60"/>
        <v>0.12529550827423167</v>
      </c>
      <c r="P500">
        <f t="shared" si="61"/>
        <v>0.50372578241430699</v>
      </c>
      <c r="Q500">
        <f t="shared" si="62"/>
        <v>0.16567036720751493</v>
      </c>
      <c r="R500">
        <f t="shared" si="63"/>
        <v>0.1</v>
      </c>
    </row>
    <row r="501" spans="1:18" x14ac:dyDescent="0.3">
      <c r="A501">
        <v>5</v>
      </c>
      <c r="B501">
        <v>123</v>
      </c>
      <c r="C501">
        <v>74</v>
      </c>
      <c r="D501">
        <v>40</v>
      </c>
      <c r="E501">
        <v>77</v>
      </c>
      <c r="F501">
        <v>34.1</v>
      </c>
      <c r="G501">
        <v>0.26900000000000002</v>
      </c>
      <c r="H501">
        <v>28</v>
      </c>
      <c r="I501">
        <v>0</v>
      </c>
      <c r="K501">
        <f t="shared" si="56"/>
        <v>0.29411764705882354</v>
      </c>
      <c r="L501">
        <f t="shared" si="57"/>
        <v>0.61809045226130654</v>
      </c>
      <c r="M501">
        <f t="shared" si="58"/>
        <v>0.60655737704918034</v>
      </c>
      <c r="N501">
        <f t="shared" si="59"/>
        <v>0.40404040404040403</v>
      </c>
      <c r="O501">
        <f t="shared" si="60"/>
        <v>9.101654846335698E-2</v>
      </c>
      <c r="P501">
        <f t="shared" si="61"/>
        <v>0.50819672131147542</v>
      </c>
      <c r="Q501">
        <f t="shared" si="62"/>
        <v>8.1554227156276679E-2</v>
      </c>
      <c r="R501">
        <f t="shared" si="63"/>
        <v>0.11666666666666667</v>
      </c>
    </row>
    <row r="502" spans="1:18" x14ac:dyDescent="0.3">
      <c r="A502">
        <v>2</v>
      </c>
      <c r="B502">
        <v>120</v>
      </c>
      <c r="C502">
        <v>54</v>
      </c>
      <c r="D502">
        <v>0</v>
      </c>
      <c r="E502">
        <v>0</v>
      </c>
      <c r="F502">
        <v>26.8</v>
      </c>
      <c r="G502">
        <v>0.45500000000000002</v>
      </c>
      <c r="H502">
        <v>27</v>
      </c>
      <c r="I502">
        <v>0</v>
      </c>
      <c r="K502">
        <f t="shared" si="56"/>
        <v>0.11764705882352941</v>
      </c>
      <c r="L502">
        <f t="shared" si="57"/>
        <v>0.60301507537688437</v>
      </c>
      <c r="M502">
        <f t="shared" si="58"/>
        <v>0.44262295081967212</v>
      </c>
      <c r="N502">
        <f t="shared" si="59"/>
        <v>0</v>
      </c>
      <c r="O502">
        <f t="shared" si="60"/>
        <v>0</v>
      </c>
      <c r="P502">
        <f t="shared" si="61"/>
        <v>0.39940387481371092</v>
      </c>
      <c r="Q502">
        <f t="shared" si="62"/>
        <v>0.1609735269000854</v>
      </c>
      <c r="R502">
        <f t="shared" si="63"/>
        <v>0.1</v>
      </c>
    </row>
    <row r="503" spans="1:18" x14ac:dyDescent="0.3">
      <c r="A503">
        <v>1</v>
      </c>
      <c r="B503">
        <v>106</v>
      </c>
      <c r="C503">
        <v>70</v>
      </c>
      <c r="D503">
        <v>28</v>
      </c>
      <c r="E503">
        <v>135</v>
      </c>
      <c r="F503">
        <v>34.200000000000003</v>
      </c>
      <c r="G503">
        <v>0.14199999999999999</v>
      </c>
      <c r="H503">
        <v>22</v>
      </c>
      <c r="I503">
        <v>0</v>
      </c>
      <c r="K503">
        <f t="shared" si="56"/>
        <v>5.8823529411764705E-2</v>
      </c>
      <c r="L503">
        <f t="shared" si="57"/>
        <v>0.53266331658291455</v>
      </c>
      <c r="M503">
        <f t="shared" si="58"/>
        <v>0.57377049180327866</v>
      </c>
      <c r="N503">
        <f t="shared" si="59"/>
        <v>0.28282828282828282</v>
      </c>
      <c r="O503">
        <f t="shared" si="60"/>
        <v>0.15957446808510639</v>
      </c>
      <c r="P503">
        <f t="shared" si="61"/>
        <v>0.5096870342771983</v>
      </c>
      <c r="Q503">
        <f t="shared" si="62"/>
        <v>2.7327070879590087E-2</v>
      </c>
      <c r="R503">
        <f t="shared" si="63"/>
        <v>1.6666666666666666E-2</v>
      </c>
    </row>
    <row r="504" spans="1:18" x14ac:dyDescent="0.3">
      <c r="A504">
        <v>2</v>
      </c>
      <c r="B504">
        <v>155</v>
      </c>
      <c r="C504">
        <v>52</v>
      </c>
      <c r="D504">
        <v>27</v>
      </c>
      <c r="E504">
        <v>540</v>
      </c>
      <c r="F504">
        <v>38.700000000000003</v>
      </c>
      <c r="G504">
        <v>0.24</v>
      </c>
      <c r="H504">
        <v>25</v>
      </c>
      <c r="I504">
        <v>1</v>
      </c>
      <c r="K504">
        <f t="shared" si="56"/>
        <v>0.11764705882352941</v>
      </c>
      <c r="L504">
        <f t="shared" si="57"/>
        <v>0.77889447236180909</v>
      </c>
      <c r="M504">
        <f t="shared" si="58"/>
        <v>0.42622950819672129</v>
      </c>
      <c r="N504">
        <f t="shared" si="59"/>
        <v>0.27272727272727271</v>
      </c>
      <c r="O504">
        <f t="shared" si="60"/>
        <v>0.63829787234042556</v>
      </c>
      <c r="P504">
        <f t="shared" si="61"/>
        <v>0.57675111773472443</v>
      </c>
      <c r="Q504">
        <f t="shared" si="62"/>
        <v>6.9171648163962415E-2</v>
      </c>
      <c r="R504">
        <f t="shared" si="63"/>
        <v>6.6666666666666666E-2</v>
      </c>
    </row>
    <row r="505" spans="1:18" x14ac:dyDescent="0.3">
      <c r="A505">
        <v>2</v>
      </c>
      <c r="B505">
        <v>101</v>
      </c>
      <c r="C505">
        <v>58</v>
      </c>
      <c r="D505">
        <v>35</v>
      </c>
      <c r="E505">
        <v>90</v>
      </c>
      <c r="F505">
        <v>21.8</v>
      </c>
      <c r="G505">
        <v>0.155</v>
      </c>
      <c r="H505">
        <v>22</v>
      </c>
      <c r="I505">
        <v>0</v>
      </c>
      <c r="K505">
        <f t="shared" si="56"/>
        <v>0.11764705882352941</v>
      </c>
      <c r="L505">
        <f t="shared" si="57"/>
        <v>0.50753768844221103</v>
      </c>
      <c r="M505">
        <f t="shared" si="58"/>
        <v>0.47540983606557374</v>
      </c>
      <c r="N505">
        <f t="shared" si="59"/>
        <v>0.35353535353535354</v>
      </c>
      <c r="O505">
        <f t="shared" si="60"/>
        <v>0.10638297872340426</v>
      </c>
      <c r="P505">
        <f t="shared" si="61"/>
        <v>0.32488822652757082</v>
      </c>
      <c r="Q505">
        <f t="shared" si="62"/>
        <v>3.2877882152006828E-2</v>
      </c>
      <c r="R505">
        <f t="shared" si="63"/>
        <v>1.6666666666666666E-2</v>
      </c>
    </row>
    <row r="506" spans="1:18" x14ac:dyDescent="0.3">
      <c r="A506">
        <v>1</v>
      </c>
      <c r="B506">
        <v>120</v>
      </c>
      <c r="C506">
        <v>80</v>
      </c>
      <c r="D506">
        <v>48</v>
      </c>
      <c r="E506">
        <v>200</v>
      </c>
      <c r="F506">
        <v>38.9</v>
      </c>
      <c r="G506">
        <v>1.1619999999999999</v>
      </c>
      <c r="H506">
        <v>41</v>
      </c>
      <c r="I506">
        <v>0</v>
      </c>
      <c r="K506">
        <f t="shared" si="56"/>
        <v>5.8823529411764705E-2</v>
      </c>
      <c r="L506">
        <f t="shared" si="57"/>
        <v>0.60301507537688437</v>
      </c>
      <c r="M506">
        <f t="shared" si="58"/>
        <v>0.65573770491803274</v>
      </c>
      <c r="N506">
        <f t="shared" si="59"/>
        <v>0.48484848484848486</v>
      </c>
      <c r="O506">
        <f t="shared" si="60"/>
        <v>0.2364066193853428</v>
      </c>
      <c r="P506">
        <f t="shared" si="61"/>
        <v>0.57973174366616997</v>
      </c>
      <c r="Q506">
        <f t="shared" si="62"/>
        <v>0.46285226302305715</v>
      </c>
      <c r="R506">
        <f t="shared" si="63"/>
        <v>0.33333333333333331</v>
      </c>
    </row>
    <row r="507" spans="1:18" x14ac:dyDescent="0.3">
      <c r="A507">
        <v>11</v>
      </c>
      <c r="B507">
        <v>127</v>
      </c>
      <c r="C507">
        <v>106</v>
      </c>
      <c r="D507">
        <v>0</v>
      </c>
      <c r="E507">
        <v>0</v>
      </c>
      <c r="F507">
        <v>39</v>
      </c>
      <c r="G507">
        <v>0.19</v>
      </c>
      <c r="H507">
        <v>51</v>
      </c>
      <c r="I507">
        <v>0</v>
      </c>
      <c r="K507">
        <f t="shared" si="56"/>
        <v>0.6470588235294118</v>
      </c>
      <c r="L507">
        <f t="shared" si="57"/>
        <v>0.63819095477386933</v>
      </c>
      <c r="M507">
        <f t="shared" si="58"/>
        <v>0.86885245901639341</v>
      </c>
      <c r="N507">
        <f t="shared" si="59"/>
        <v>0</v>
      </c>
      <c r="O507">
        <f t="shared" si="60"/>
        <v>0</v>
      </c>
      <c r="P507">
        <f t="shared" si="61"/>
        <v>0.58122205663189275</v>
      </c>
      <c r="Q507">
        <f t="shared" si="62"/>
        <v>4.7822374039282661E-2</v>
      </c>
      <c r="R507">
        <f t="shared" si="63"/>
        <v>0.5</v>
      </c>
    </row>
    <row r="508" spans="1:18" x14ac:dyDescent="0.3">
      <c r="A508">
        <v>3</v>
      </c>
      <c r="B508">
        <v>80</v>
      </c>
      <c r="C508">
        <v>82</v>
      </c>
      <c r="D508">
        <v>31</v>
      </c>
      <c r="E508">
        <v>70</v>
      </c>
      <c r="F508">
        <v>34.200000000000003</v>
      </c>
      <c r="G508">
        <v>1.292</v>
      </c>
      <c r="H508">
        <v>27</v>
      </c>
      <c r="I508">
        <v>1</v>
      </c>
      <c r="K508">
        <f t="shared" si="56"/>
        <v>0.17647058823529413</v>
      </c>
      <c r="L508">
        <f t="shared" si="57"/>
        <v>0.4020100502512563</v>
      </c>
      <c r="M508">
        <f t="shared" si="58"/>
        <v>0.67213114754098358</v>
      </c>
      <c r="N508">
        <f t="shared" si="59"/>
        <v>0.31313131313131315</v>
      </c>
      <c r="O508">
        <f t="shared" si="60"/>
        <v>8.2742316784869971E-2</v>
      </c>
      <c r="P508">
        <f t="shared" si="61"/>
        <v>0.5096870342771983</v>
      </c>
      <c r="Q508">
        <f t="shared" si="62"/>
        <v>0.5183603757472246</v>
      </c>
      <c r="R508">
        <f t="shared" si="63"/>
        <v>0.1</v>
      </c>
    </row>
    <row r="509" spans="1:18" x14ac:dyDescent="0.3">
      <c r="A509">
        <v>10</v>
      </c>
      <c r="B509">
        <v>162</v>
      </c>
      <c r="C509">
        <v>84</v>
      </c>
      <c r="D509">
        <v>0</v>
      </c>
      <c r="E509">
        <v>0</v>
      </c>
      <c r="F509">
        <v>27.7</v>
      </c>
      <c r="G509">
        <v>0.182</v>
      </c>
      <c r="H509">
        <v>54</v>
      </c>
      <c r="I509">
        <v>0</v>
      </c>
      <c r="K509">
        <f t="shared" si="56"/>
        <v>0.58823529411764708</v>
      </c>
      <c r="L509">
        <f t="shared" si="57"/>
        <v>0.81407035175879394</v>
      </c>
      <c r="M509">
        <f t="shared" si="58"/>
        <v>0.68852459016393441</v>
      </c>
      <c r="N509">
        <f t="shared" si="59"/>
        <v>0</v>
      </c>
      <c r="O509">
        <f t="shared" si="60"/>
        <v>0</v>
      </c>
      <c r="P509">
        <f t="shared" si="61"/>
        <v>0.4128166915052161</v>
      </c>
      <c r="Q509">
        <f t="shared" si="62"/>
        <v>4.4406490179333902E-2</v>
      </c>
      <c r="R509">
        <f t="shared" si="63"/>
        <v>0.55000000000000004</v>
      </c>
    </row>
    <row r="510" spans="1:18" x14ac:dyDescent="0.3">
      <c r="A510">
        <v>1</v>
      </c>
      <c r="B510">
        <v>199</v>
      </c>
      <c r="C510">
        <v>76</v>
      </c>
      <c r="D510">
        <v>43</v>
      </c>
      <c r="E510">
        <v>0</v>
      </c>
      <c r="F510">
        <v>42.9</v>
      </c>
      <c r="G510">
        <v>1.3939999999999999</v>
      </c>
      <c r="H510">
        <v>22</v>
      </c>
      <c r="I510">
        <v>1</v>
      </c>
      <c r="K510">
        <f t="shared" si="56"/>
        <v>5.8823529411764705E-2</v>
      </c>
      <c r="L510">
        <f t="shared" si="57"/>
        <v>1</v>
      </c>
      <c r="M510">
        <f t="shared" si="58"/>
        <v>0.62295081967213117</v>
      </c>
      <c r="N510">
        <f t="shared" si="59"/>
        <v>0.43434343434343436</v>
      </c>
      <c r="O510">
        <f t="shared" si="60"/>
        <v>0</v>
      </c>
      <c r="P510">
        <f t="shared" si="61"/>
        <v>0.63934426229508201</v>
      </c>
      <c r="Q510">
        <f t="shared" si="62"/>
        <v>0.56191289496157126</v>
      </c>
      <c r="R510">
        <f t="shared" si="63"/>
        <v>1.6666666666666666E-2</v>
      </c>
    </row>
    <row r="511" spans="1:18" x14ac:dyDescent="0.3">
      <c r="A511">
        <v>8</v>
      </c>
      <c r="B511">
        <v>167</v>
      </c>
      <c r="C511">
        <v>106</v>
      </c>
      <c r="D511">
        <v>46</v>
      </c>
      <c r="E511">
        <v>231</v>
      </c>
      <c r="F511">
        <v>37.6</v>
      </c>
      <c r="G511">
        <v>0.16500000000000001</v>
      </c>
      <c r="H511">
        <v>43</v>
      </c>
      <c r="I511">
        <v>1</v>
      </c>
      <c r="K511">
        <f t="shared" si="56"/>
        <v>0.47058823529411764</v>
      </c>
      <c r="L511">
        <f t="shared" si="57"/>
        <v>0.83919597989949746</v>
      </c>
      <c r="M511">
        <f t="shared" si="58"/>
        <v>0.86885245901639341</v>
      </c>
      <c r="N511">
        <f t="shared" si="59"/>
        <v>0.46464646464646464</v>
      </c>
      <c r="O511">
        <f t="shared" si="60"/>
        <v>0.27304964539007093</v>
      </c>
      <c r="P511">
        <f t="shared" si="61"/>
        <v>0.56035767511177359</v>
      </c>
      <c r="Q511">
        <f t="shared" si="62"/>
        <v>3.7147736976942784E-2</v>
      </c>
      <c r="R511">
        <f t="shared" si="63"/>
        <v>0.36666666666666664</v>
      </c>
    </row>
    <row r="512" spans="1:18" x14ac:dyDescent="0.3">
      <c r="A512">
        <v>9</v>
      </c>
      <c r="B512">
        <v>145</v>
      </c>
      <c r="C512">
        <v>80</v>
      </c>
      <c r="D512">
        <v>46</v>
      </c>
      <c r="E512">
        <v>130</v>
      </c>
      <c r="F512">
        <v>37.9</v>
      </c>
      <c r="G512">
        <v>0.63700000000000001</v>
      </c>
      <c r="H512">
        <v>40</v>
      </c>
      <c r="I512">
        <v>1</v>
      </c>
      <c r="K512">
        <f t="shared" si="56"/>
        <v>0.52941176470588236</v>
      </c>
      <c r="L512">
        <f t="shared" si="57"/>
        <v>0.72864321608040206</v>
      </c>
      <c r="M512">
        <f t="shared" si="58"/>
        <v>0.65573770491803274</v>
      </c>
      <c r="N512">
        <f t="shared" si="59"/>
        <v>0.46464646464646464</v>
      </c>
      <c r="O512">
        <f t="shared" si="60"/>
        <v>0.15366430260047281</v>
      </c>
      <c r="P512">
        <f t="shared" si="61"/>
        <v>0.56482861400894191</v>
      </c>
      <c r="Q512">
        <f t="shared" si="62"/>
        <v>0.23868488471391974</v>
      </c>
      <c r="R512">
        <f t="shared" si="63"/>
        <v>0.31666666666666665</v>
      </c>
    </row>
    <row r="513" spans="1:18" x14ac:dyDescent="0.3">
      <c r="A513">
        <v>6</v>
      </c>
      <c r="B513">
        <v>115</v>
      </c>
      <c r="C513">
        <v>60</v>
      </c>
      <c r="D513">
        <v>39</v>
      </c>
      <c r="E513">
        <v>0</v>
      </c>
      <c r="F513">
        <v>33.700000000000003</v>
      </c>
      <c r="G513">
        <v>0.245</v>
      </c>
      <c r="H513">
        <v>40</v>
      </c>
      <c r="I513">
        <v>1</v>
      </c>
      <c r="K513">
        <f t="shared" si="56"/>
        <v>0.35294117647058826</v>
      </c>
      <c r="L513">
        <f t="shared" si="57"/>
        <v>0.57788944723618085</v>
      </c>
      <c r="M513">
        <f t="shared" si="58"/>
        <v>0.49180327868852458</v>
      </c>
      <c r="N513">
        <f t="shared" si="59"/>
        <v>0.39393939393939392</v>
      </c>
      <c r="O513">
        <f t="shared" si="60"/>
        <v>0</v>
      </c>
      <c r="P513">
        <f t="shared" si="61"/>
        <v>0.50223546944858433</v>
      </c>
      <c r="Q513">
        <f t="shared" si="62"/>
        <v>7.1306575576430387E-2</v>
      </c>
      <c r="R513">
        <f t="shared" si="63"/>
        <v>0.31666666666666665</v>
      </c>
    </row>
    <row r="514" spans="1:18" x14ac:dyDescent="0.3">
      <c r="A514">
        <v>1</v>
      </c>
      <c r="B514">
        <v>112</v>
      </c>
      <c r="C514">
        <v>80</v>
      </c>
      <c r="D514">
        <v>45</v>
      </c>
      <c r="E514">
        <v>132</v>
      </c>
      <c r="F514">
        <v>34.799999999999997</v>
      </c>
      <c r="G514">
        <v>0.217</v>
      </c>
      <c r="H514">
        <v>24</v>
      </c>
      <c r="I514">
        <v>0</v>
      </c>
      <c r="K514">
        <f t="shared" si="56"/>
        <v>5.8823529411764705E-2</v>
      </c>
      <c r="L514">
        <f t="shared" si="57"/>
        <v>0.56281407035175879</v>
      </c>
      <c r="M514">
        <f t="shared" si="58"/>
        <v>0.65573770491803274</v>
      </c>
      <c r="N514">
        <f t="shared" si="59"/>
        <v>0.45454545454545453</v>
      </c>
      <c r="O514">
        <f t="shared" si="60"/>
        <v>0.15602836879432624</v>
      </c>
      <c r="P514">
        <f t="shared" si="61"/>
        <v>0.51862891207153505</v>
      </c>
      <c r="Q514">
        <f t="shared" si="62"/>
        <v>5.9350982066609735E-2</v>
      </c>
      <c r="R514">
        <f t="shared" si="63"/>
        <v>0.05</v>
      </c>
    </row>
    <row r="515" spans="1:18" x14ac:dyDescent="0.3">
      <c r="A515">
        <v>4</v>
      </c>
      <c r="B515">
        <v>145</v>
      </c>
      <c r="C515">
        <v>82</v>
      </c>
      <c r="D515">
        <v>18</v>
      </c>
      <c r="E515">
        <v>0</v>
      </c>
      <c r="F515">
        <v>32.5</v>
      </c>
      <c r="G515">
        <v>0.23499999999999999</v>
      </c>
      <c r="H515">
        <v>70</v>
      </c>
      <c r="I515">
        <v>1</v>
      </c>
      <c r="K515">
        <f t="shared" ref="K515:K578" si="64">(A515-0)/(17-0)</f>
        <v>0.23529411764705882</v>
      </c>
      <c r="L515">
        <f t="shared" ref="L515:L578" si="65">(B515-0)/(199-0)</f>
        <v>0.72864321608040206</v>
      </c>
      <c r="M515">
        <f t="shared" ref="M515:M578" si="66">(C515-0)/(122-0)</f>
        <v>0.67213114754098358</v>
      </c>
      <c r="N515">
        <f t="shared" ref="N515:N578" si="67">(D515-0)/(99-0)</f>
        <v>0.18181818181818182</v>
      </c>
      <c r="O515">
        <f t="shared" ref="O515:O578" si="68">(E515-0)/(846-0)</f>
        <v>0</v>
      </c>
      <c r="P515">
        <f t="shared" ref="P515:P578" si="69">(F515-0)/(67.1-0)</f>
        <v>0.4843517138599106</v>
      </c>
      <c r="Q515">
        <f t="shared" ref="Q515:Q578" si="70">(G515-0.078)/(2.42-0.078)</f>
        <v>6.703672075149443E-2</v>
      </c>
      <c r="R515">
        <f t="shared" ref="R515:R578" si="71">(H515-21)/(81-21)</f>
        <v>0.81666666666666665</v>
      </c>
    </row>
    <row r="516" spans="1:18" x14ac:dyDescent="0.3">
      <c r="A516">
        <v>10</v>
      </c>
      <c r="B516">
        <v>111</v>
      </c>
      <c r="C516">
        <v>70</v>
      </c>
      <c r="D516">
        <v>27</v>
      </c>
      <c r="E516">
        <v>0</v>
      </c>
      <c r="F516">
        <v>27.5</v>
      </c>
      <c r="G516">
        <v>0.14099999999999999</v>
      </c>
      <c r="H516">
        <v>40</v>
      </c>
      <c r="I516">
        <v>1</v>
      </c>
      <c r="K516">
        <f t="shared" si="64"/>
        <v>0.58823529411764708</v>
      </c>
      <c r="L516">
        <f t="shared" si="65"/>
        <v>0.55778894472361806</v>
      </c>
      <c r="M516">
        <f t="shared" si="66"/>
        <v>0.57377049180327866</v>
      </c>
      <c r="N516">
        <f t="shared" si="67"/>
        <v>0.27272727272727271</v>
      </c>
      <c r="O516">
        <f t="shared" si="68"/>
        <v>0</v>
      </c>
      <c r="P516">
        <f t="shared" si="69"/>
        <v>0.4098360655737705</v>
      </c>
      <c r="Q516">
        <f t="shared" si="70"/>
        <v>2.6900085397096492E-2</v>
      </c>
      <c r="R516">
        <f t="shared" si="71"/>
        <v>0.31666666666666665</v>
      </c>
    </row>
    <row r="517" spans="1:18" x14ac:dyDescent="0.3">
      <c r="A517">
        <v>6</v>
      </c>
      <c r="B517">
        <v>98</v>
      </c>
      <c r="C517">
        <v>58</v>
      </c>
      <c r="D517">
        <v>33</v>
      </c>
      <c r="E517">
        <v>190</v>
      </c>
      <c r="F517">
        <v>34</v>
      </c>
      <c r="G517">
        <v>0.43</v>
      </c>
      <c r="H517">
        <v>43</v>
      </c>
      <c r="I517">
        <v>0</v>
      </c>
      <c r="K517">
        <f t="shared" si="64"/>
        <v>0.35294117647058826</v>
      </c>
      <c r="L517">
        <f t="shared" si="65"/>
        <v>0.49246231155778897</v>
      </c>
      <c r="M517">
        <f t="shared" si="66"/>
        <v>0.47540983606557374</v>
      </c>
      <c r="N517">
        <f t="shared" si="67"/>
        <v>0.33333333333333331</v>
      </c>
      <c r="O517">
        <f t="shared" si="68"/>
        <v>0.22458628841607564</v>
      </c>
      <c r="P517">
        <f t="shared" si="69"/>
        <v>0.50670640834575265</v>
      </c>
      <c r="Q517">
        <f t="shared" si="70"/>
        <v>0.1502988898377455</v>
      </c>
      <c r="R517">
        <f t="shared" si="71"/>
        <v>0.36666666666666664</v>
      </c>
    </row>
    <row r="518" spans="1:18" x14ac:dyDescent="0.3">
      <c r="A518">
        <v>9</v>
      </c>
      <c r="B518">
        <v>154</v>
      </c>
      <c r="C518">
        <v>78</v>
      </c>
      <c r="D518">
        <v>30</v>
      </c>
      <c r="E518">
        <v>100</v>
      </c>
      <c r="F518">
        <v>30.9</v>
      </c>
      <c r="G518">
        <v>0.16400000000000001</v>
      </c>
      <c r="H518">
        <v>45</v>
      </c>
      <c r="I518">
        <v>0</v>
      </c>
      <c r="K518">
        <f t="shared" si="64"/>
        <v>0.52941176470588236</v>
      </c>
      <c r="L518">
        <f t="shared" si="65"/>
        <v>0.77386934673366836</v>
      </c>
      <c r="M518">
        <f t="shared" si="66"/>
        <v>0.63934426229508201</v>
      </c>
      <c r="N518">
        <f t="shared" si="67"/>
        <v>0.30303030303030304</v>
      </c>
      <c r="O518">
        <f t="shared" si="68"/>
        <v>0.1182033096926714</v>
      </c>
      <c r="P518">
        <f t="shared" si="69"/>
        <v>0.46050670640834579</v>
      </c>
      <c r="Q518">
        <f t="shared" si="70"/>
        <v>3.6720751494449193E-2</v>
      </c>
      <c r="R518">
        <f t="shared" si="71"/>
        <v>0.4</v>
      </c>
    </row>
    <row r="519" spans="1:18" x14ac:dyDescent="0.3">
      <c r="A519">
        <v>6</v>
      </c>
      <c r="B519">
        <v>165</v>
      </c>
      <c r="C519">
        <v>68</v>
      </c>
      <c r="D519">
        <v>26</v>
      </c>
      <c r="E519">
        <v>168</v>
      </c>
      <c r="F519">
        <v>33.6</v>
      </c>
      <c r="G519">
        <v>0.63100000000000001</v>
      </c>
      <c r="H519">
        <v>49</v>
      </c>
      <c r="I519">
        <v>0</v>
      </c>
      <c r="K519">
        <f t="shared" si="64"/>
        <v>0.35294117647058826</v>
      </c>
      <c r="L519">
        <f t="shared" si="65"/>
        <v>0.82914572864321612</v>
      </c>
      <c r="M519">
        <f t="shared" si="66"/>
        <v>0.55737704918032782</v>
      </c>
      <c r="N519">
        <f t="shared" si="67"/>
        <v>0.26262626262626265</v>
      </c>
      <c r="O519">
        <f t="shared" si="68"/>
        <v>0.19858156028368795</v>
      </c>
      <c r="P519">
        <f t="shared" si="69"/>
        <v>0.50074515648286144</v>
      </c>
      <c r="Q519">
        <f t="shared" si="70"/>
        <v>0.23612297181895817</v>
      </c>
      <c r="R519">
        <f t="shared" si="71"/>
        <v>0.46666666666666667</v>
      </c>
    </row>
    <row r="520" spans="1:18" x14ac:dyDescent="0.3">
      <c r="A520">
        <v>1</v>
      </c>
      <c r="B520">
        <v>99</v>
      </c>
      <c r="C520">
        <v>58</v>
      </c>
      <c r="D520">
        <v>10</v>
      </c>
      <c r="E520">
        <v>0</v>
      </c>
      <c r="F520">
        <v>25.4</v>
      </c>
      <c r="G520">
        <v>0.55100000000000005</v>
      </c>
      <c r="H520">
        <v>21</v>
      </c>
      <c r="I520">
        <v>0</v>
      </c>
      <c r="K520">
        <f t="shared" si="64"/>
        <v>5.8823529411764705E-2</v>
      </c>
      <c r="L520">
        <f t="shared" si="65"/>
        <v>0.49748743718592964</v>
      </c>
      <c r="M520">
        <f t="shared" si="66"/>
        <v>0.47540983606557374</v>
      </c>
      <c r="N520">
        <f t="shared" si="67"/>
        <v>0.10101010101010101</v>
      </c>
      <c r="O520">
        <f t="shared" si="68"/>
        <v>0</v>
      </c>
      <c r="P520">
        <f t="shared" si="69"/>
        <v>0.37853949329359166</v>
      </c>
      <c r="Q520">
        <f t="shared" si="70"/>
        <v>0.20196413321947054</v>
      </c>
      <c r="R520">
        <f t="shared" si="71"/>
        <v>0</v>
      </c>
    </row>
    <row r="521" spans="1:18" x14ac:dyDescent="0.3">
      <c r="A521">
        <v>10</v>
      </c>
      <c r="B521">
        <v>68</v>
      </c>
      <c r="C521">
        <v>106</v>
      </c>
      <c r="D521">
        <v>23</v>
      </c>
      <c r="E521">
        <v>49</v>
      </c>
      <c r="F521">
        <v>35.5</v>
      </c>
      <c r="G521">
        <v>0.28499999999999998</v>
      </c>
      <c r="H521">
        <v>47</v>
      </c>
      <c r="I521">
        <v>0</v>
      </c>
      <c r="K521">
        <f t="shared" si="64"/>
        <v>0.58823529411764708</v>
      </c>
      <c r="L521">
        <f t="shared" si="65"/>
        <v>0.34170854271356782</v>
      </c>
      <c r="M521">
        <f t="shared" si="66"/>
        <v>0.86885245901639341</v>
      </c>
      <c r="N521">
        <f t="shared" si="67"/>
        <v>0.23232323232323232</v>
      </c>
      <c r="O521">
        <f t="shared" si="68"/>
        <v>5.7919621749408984E-2</v>
      </c>
      <c r="P521">
        <f t="shared" si="69"/>
        <v>0.52906110283159469</v>
      </c>
      <c r="Q521">
        <f t="shared" si="70"/>
        <v>8.8385994876174184E-2</v>
      </c>
      <c r="R521">
        <f t="shared" si="71"/>
        <v>0.43333333333333335</v>
      </c>
    </row>
    <row r="522" spans="1:18" x14ac:dyDescent="0.3">
      <c r="A522">
        <v>3</v>
      </c>
      <c r="B522">
        <v>123</v>
      </c>
      <c r="C522">
        <v>100</v>
      </c>
      <c r="D522">
        <v>35</v>
      </c>
      <c r="E522">
        <v>240</v>
      </c>
      <c r="F522">
        <v>57.3</v>
      </c>
      <c r="G522">
        <v>0.88</v>
      </c>
      <c r="H522">
        <v>22</v>
      </c>
      <c r="I522">
        <v>0</v>
      </c>
      <c r="K522">
        <f t="shared" si="64"/>
        <v>0.17647058823529413</v>
      </c>
      <c r="L522">
        <f t="shared" si="65"/>
        <v>0.61809045226130654</v>
      </c>
      <c r="M522">
        <f t="shared" si="66"/>
        <v>0.81967213114754101</v>
      </c>
      <c r="N522">
        <f t="shared" si="67"/>
        <v>0.35353535353535354</v>
      </c>
      <c r="O522">
        <f t="shared" si="68"/>
        <v>0.28368794326241137</v>
      </c>
      <c r="P522">
        <f t="shared" si="69"/>
        <v>0.85394932935916545</v>
      </c>
      <c r="Q522">
        <f t="shared" si="70"/>
        <v>0.34244235695986336</v>
      </c>
      <c r="R522">
        <f t="shared" si="71"/>
        <v>1.6666666666666666E-2</v>
      </c>
    </row>
    <row r="523" spans="1:18" x14ac:dyDescent="0.3">
      <c r="A523">
        <v>8</v>
      </c>
      <c r="B523">
        <v>91</v>
      </c>
      <c r="C523">
        <v>82</v>
      </c>
      <c r="D523">
        <v>0</v>
      </c>
      <c r="E523">
        <v>0</v>
      </c>
      <c r="F523">
        <v>35.6</v>
      </c>
      <c r="G523">
        <v>0.58699999999999997</v>
      </c>
      <c r="H523">
        <v>68</v>
      </c>
      <c r="I523">
        <v>0</v>
      </c>
      <c r="K523">
        <f t="shared" si="64"/>
        <v>0.47058823529411764</v>
      </c>
      <c r="L523">
        <f t="shared" si="65"/>
        <v>0.457286432160804</v>
      </c>
      <c r="M523">
        <f t="shared" si="66"/>
        <v>0.67213114754098358</v>
      </c>
      <c r="N523">
        <f t="shared" si="67"/>
        <v>0</v>
      </c>
      <c r="O523">
        <f t="shared" si="68"/>
        <v>0</v>
      </c>
      <c r="P523">
        <f t="shared" si="69"/>
        <v>0.53055141579731746</v>
      </c>
      <c r="Q523">
        <f t="shared" si="70"/>
        <v>0.21733561058923997</v>
      </c>
      <c r="R523">
        <f t="shared" si="71"/>
        <v>0.78333333333333333</v>
      </c>
    </row>
    <row r="524" spans="1:18" x14ac:dyDescent="0.3">
      <c r="A524">
        <v>6</v>
      </c>
      <c r="B524">
        <v>195</v>
      </c>
      <c r="C524">
        <v>70</v>
      </c>
      <c r="D524">
        <v>0</v>
      </c>
      <c r="E524">
        <v>0</v>
      </c>
      <c r="F524">
        <v>30.9</v>
      </c>
      <c r="G524">
        <v>0.32800000000000001</v>
      </c>
      <c r="H524">
        <v>31</v>
      </c>
      <c r="I524">
        <v>1</v>
      </c>
      <c r="K524">
        <f t="shared" si="64"/>
        <v>0.35294117647058826</v>
      </c>
      <c r="L524">
        <f t="shared" si="65"/>
        <v>0.97989949748743721</v>
      </c>
      <c r="M524">
        <f t="shared" si="66"/>
        <v>0.57377049180327866</v>
      </c>
      <c r="N524">
        <f t="shared" si="67"/>
        <v>0</v>
      </c>
      <c r="O524">
        <f t="shared" si="68"/>
        <v>0</v>
      </c>
      <c r="P524">
        <f t="shared" si="69"/>
        <v>0.46050670640834579</v>
      </c>
      <c r="Q524">
        <f t="shared" si="70"/>
        <v>0.1067463706233988</v>
      </c>
      <c r="R524">
        <f t="shared" si="71"/>
        <v>0.16666666666666666</v>
      </c>
    </row>
    <row r="525" spans="1:18" x14ac:dyDescent="0.3">
      <c r="A525">
        <v>9</v>
      </c>
      <c r="B525">
        <v>156</v>
      </c>
      <c r="C525">
        <v>86</v>
      </c>
      <c r="D525">
        <v>0</v>
      </c>
      <c r="E525">
        <v>0</v>
      </c>
      <c r="F525">
        <v>24.8</v>
      </c>
      <c r="G525">
        <v>0.23</v>
      </c>
      <c r="H525">
        <v>53</v>
      </c>
      <c r="I525">
        <v>1</v>
      </c>
      <c r="K525">
        <f t="shared" si="64"/>
        <v>0.52941176470588236</v>
      </c>
      <c r="L525">
        <f t="shared" si="65"/>
        <v>0.7839195979899497</v>
      </c>
      <c r="M525">
        <f t="shared" si="66"/>
        <v>0.70491803278688525</v>
      </c>
      <c r="N525">
        <f t="shared" si="67"/>
        <v>0</v>
      </c>
      <c r="O525">
        <f t="shared" si="68"/>
        <v>0</v>
      </c>
      <c r="P525">
        <f t="shared" si="69"/>
        <v>0.36959761549925491</v>
      </c>
      <c r="Q525">
        <f t="shared" si="70"/>
        <v>6.4901793339026487E-2</v>
      </c>
      <c r="R525">
        <f t="shared" si="71"/>
        <v>0.53333333333333333</v>
      </c>
    </row>
    <row r="526" spans="1:18" x14ac:dyDescent="0.3">
      <c r="A526">
        <v>0</v>
      </c>
      <c r="B526">
        <v>93</v>
      </c>
      <c r="C526">
        <v>60</v>
      </c>
      <c r="D526">
        <v>0</v>
      </c>
      <c r="E526">
        <v>0</v>
      </c>
      <c r="F526">
        <v>35.299999999999997</v>
      </c>
      <c r="G526">
        <v>0.26300000000000001</v>
      </c>
      <c r="H526">
        <v>25</v>
      </c>
      <c r="I526">
        <v>0</v>
      </c>
      <c r="K526">
        <f t="shared" si="64"/>
        <v>0</v>
      </c>
      <c r="L526">
        <f t="shared" si="65"/>
        <v>0.46733668341708545</v>
      </c>
      <c r="M526">
        <f t="shared" si="66"/>
        <v>0.49180327868852458</v>
      </c>
      <c r="N526">
        <f t="shared" si="67"/>
        <v>0</v>
      </c>
      <c r="O526">
        <f t="shared" si="68"/>
        <v>0</v>
      </c>
      <c r="P526">
        <f t="shared" si="69"/>
        <v>0.52608047690014903</v>
      </c>
      <c r="Q526">
        <f t="shared" si="70"/>
        <v>7.8992314261315116E-2</v>
      </c>
      <c r="R526">
        <f t="shared" si="71"/>
        <v>6.6666666666666666E-2</v>
      </c>
    </row>
    <row r="527" spans="1:18" x14ac:dyDescent="0.3">
      <c r="A527">
        <v>3</v>
      </c>
      <c r="B527">
        <v>121</v>
      </c>
      <c r="C527">
        <v>52</v>
      </c>
      <c r="D527">
        <v>0</v>
      </c>
      <c r="E527">
        <v>0</v>
      </c>
      <c r="F527">
        <v>36</v>
      </c>
      <c r="G527">
        <v>0.127</v>
      </c>
      <c r="H527">
        <v>25</v>
      </c>
      <c r="I527">
        <v>1</v>
      </c>
      <c r="K527">
        <f t="shared" si="64"/>
        <v>0.17647058823529413</v>
      </c>
      <c r="L527">
        <f t="shared" si="65"/>
        <v>0.60804020100502509</v>
      </c>
      <c r="M527">
        <f t="shared" si="66"/>
        <v>0.42622950819672129</v>
      </c>
      <c r="N527">
        <f t="shared" si="67"/>
        <v>0</v>
      </c>
      <c r="O527">
        <f t="shared" si="68"/>
        <v>0</v>
      </c>
      <c r="P527">
        <f t="shared" si="69"/>
        <v>0.53651266766020866</v>
      </c>
      <c r="Q527">
        <f t="shared" si="70"/>
        <v>2.0922288642186166E-2</v>
      </c>
      <c r="R527">
        <f t="shared" si="71"/>
        <v>6.6666666666666666E-2</v>
      </c>
    </row>
    <row r="528" spans="1:18" x14ac:dyDescent="0.3">
      <c r="A528">
        <v>2</v>
      </c>
      <c r="B528">
        <v>101</v>
      </c>
      <c r="C528">
        <v>58</v>
      </c>
      <c r="D528">
        <v>17</v>
      </c>
      <c r="E528">
        <v>265</v>
      </c>
      <c r="F528">
        <v>24.2</v>
      </c>
      <c r="G528">
        <v>0.61399999999999999</v>
      </c>
      <c r="H528">
        <v>23</v>
      </c>
      <c r="I528">
        <v>0</v>
      </c>
      <c r="K528">
        <f t="shared" si="64"/>
        <v>0.11764705882352941</v>
      </c>
      <c r="L528">
        <f t="shared" si="65"/>
        <v>0.50753768844221103</v>
      </c>
      <c r="M528">
        <f t="shared" si="66"/>
        <v>0.47540983606557374</v>
      </c>
      <c r="N528">
        <f t="shared" si="67"/>
        <v>0.17171717171717171</v>
      </c>
      <c r="O528">
        <f t="shared" si="68"/>
        <v>0.3132387706855792</v>
      </c>
      <c r="P528">
        <f t="shared" si="69"/>
        <v>0.36065573770491804</v>
      </c>
      <c r="Q528">
        <f t="shared" si="70"/>
        <v>0.22886421861656706</v>
      </c>
      <c r="R528">
        <f t="shared" si="71"/>
        <v>3.3333333333333333E-2</v>
      </c>
    </row>
    <row r="529" spans="1:18" x14ac:dyDescent="0.3">
      <c r="A529">
        <v>2</v>
      </c>
      <c r="B529">
        <v>56</v>
      </c>
      <c r="C529">
        <v>56</v>
      </c>
      <c r="D529">
        <v>28</v>
      </c>
      <c r="E529">
        <v>45</v>
      </c>
      <c r="F529">
        <v>24.2</v>
      </c>
      <c r="G529">
        <v>0.33200000000000002</v>
      </c>
      <c r="H529">
        <v>22</v>
      </c>
      <c r="I529">
        <v>0</v>
      </c>
      <c r="K529">
        <f t="shared" si="64"/>
        <v>0.11764705882352941</v>
      </c>
      <c r="L529">
        <f t="shared" si="65"/>
        <v>0.28140703517587939</v>
      </c>
      <c r="M529">
        <f t="shared" si="66"/>
        <v>0.45901639344262296</v>
      </c>
      <c r="N529">
        <f t="shared" si="67"/>
        <v>0.28282828282828282</v>
      </c>
      <c r="O529">
        <f t="shared" si="68"/>
        <v>5.3191489361702128E-2</v>
      </c>
      <c r="P529">
        <f t="shared" si="69"/>
        <v>0.36065573770491804</v>
      </c>
      <c r="Q529">
        <f t="shared" si="70"/>
        <v>0.10845431255337318</v>
      </c>
      <c r="R529">
        <f t="shared" si="71"/>
        <v>1.6666666666666666E-2</v>
      </c>
    </row>
    <row r="530" spans="1:18" x14ac:dyDescent="0.3">
      <c r="A530">
        <v>0</v>
      </c>
      <c r="B530">
        <v>162</v>
      </c>
      <c r="C530">
        <v>76</v>
      </c>
      <c r="D530">
        <v>36</v>
      </c>
      <c r="E530">
        <v>0</v>
      </c>
      <c r="F530">
        <v>49.6</v>
      </c>
      <c r="G530">
        <v>0.36399999999999999</v>
      </c>
      <c r="H530">
        <v>26</v>
      </c>
      <c r="I530">
        <v>1</v>
      </c>
      <c r="K530">
        <f t="shared" si="64"/>
        <v>0</v>
      </c>
      <c r="L530">
        <f t="shared" si="65"/>
        <v>0.81407035175879394</v>
      </c>
      <c r="M530">
        <f t="shared" si="66"/>
        <v>0.62295081967213117</v>
      </c>
      <c r="N530">
        <f t="shared" si="67"/>
        <v>0.36363636363636365</v>
      </c>
      <c r="O530">
        <f t="shared" si="68"/>
        <v>0</v>
      </c>
      <c r="P530">
        <f t="shared" si="69"/>
        <v>0.73919523099850981</v>
      </c>
      <c r="Q530">
        <f t="shared" si="70"/>
        <v>0.12211784799316822</v>
      </c>
      <c r="R530">
        <f t="shared" si="71"/>
        <v>8.3333333333333329E-2</v>
      </c>
    </row>
    <row r="531" spans="1:18" x14ac:dyDescent="0.3">
      <c r="A531">
        <v>0</v>
      </c>
      <c r="B531">
        <v>95</v>
      </c>
      <c r="C531">
        <v>64</v>
      </c>
      <c r="D531">
        <v>39</v>
      </c>
      <c r="E531">
        <v>105</v>
      </c>
      <c r="F531">
        <v>44.6</v>
      </c>
      <c r="G531">
        <v>0.36599999999999999</v>
      </c>
      <c r="H531">
        <v>22</v>
      </c>
      <c r="I531">
        <v>0</v>
      </c>
      <c r="K531">
        <f t="shared" si="64"/>
        <v>0</v>
      </c>
      <c r="L531">
        <f t="shared" si="65"/>
        <v>0.47738693467336685</v>
      </c>
      <c r="M531">
        <f t="shared" si="66"/>
        <v>0.52459016393442626</v>
      </c>
      <c r="N531">
        <f t="shared" si="67"/>
        <v>0.39393939393939392</v>
      </c>
      <c r="O531">
        <f t="shared" si="68"/>
        <v>0.12411347517730496</v>
      </c>
      <c r="P531">
        <f t="shared" si="69"/>
        <v>0.66467958271236971</v>
      </c>
      <c r="Q531">
        <f t="shared" si="70"/>
        <v>0.12297181895815541</v>
      </c>
      <c r="R531">
        <f t="shared" si="71"/>
        <v>1.6666666666666666E-2</v>
      </c>
    </row>
    <row r="532" spans="1:18" x14ac:dyDescent="0.3">
      <c r="A532">
        <v>4</v>
      </c>
      <c r="B532">
        <v>125</v>
      </c>
      <c r="C532">
        <v>80</v>
      </c>
      <c r="D532">
        <v>0</v>
      </c>
      <c r="E532">
        <v>0</v>
      </c>
      <c r="F532">
        <v>32.299999999999997</v>
      </c>
      <c r="G532">
        <v>0.53600000000000003</v>
      </c>
      <c r="H532">
        <v>27</v>
      </c>
      <c r="I532">
        <v>1</v>
      </c>
      <c r="K532">
        <f t="shared" si="64"/>
        <v>0.23529411764705882</v>
      </c>
      <c r="L532">
        <f t="shared" si="65"/>
        <v>0.62814070351758799</v>
      </c>
      <c r="M532">
        <f t="shared" si="66"/>
        <v>0.65573770491803274</v>
      </c>
      <c r="N532">
        <f t="shared" si="67"/>
        <v>0</v>
      </c>
      <c r="O532">
        <f t="shared" si="68"/>
        <v>0</v>
      </c>
      <c r="P532">
        <f t="shared" si="69"/>
        <v>0.481371087928465</v>
      </c>
      <c r="Q532">
        <f t="shared" si="70"/>
        <v>0.19555935098206662</v>
      </c>
      <c r="R532">
        <f t="shared" si="71"/>
        <v>0.1</v>
      </c>
    </row>
    <row r="533" spans="1:18" x14ac:dyDescent="0.3">
      <c r="A533">
        <v>5</v>
      </c>
      <c r="B533">
        <v>136</v>
      </c>
      <c r="C533">
        <v>82</v>
      </c>
      <c r="D533">
        <v>0</v>
      </c>
      <c r="E533">
        <v>0</v>
      </c>
      <c r="F533">
        <v>0</v>
      </c>
      <c r="G533">
        <v>0.64</v>
      </c>
      <c r="H533">
        <v>69</v>
      </c>
      <c r="I533">
        <v>0</v>
      </c>
      <c r="K533">
        <f t="shared" si="64"/>
        <v>0.29411764705882354</v>
      </c>
      <c r="L533">
        <f t="shared" si="65"/>
        <v>0.68341708542713564</v>
      </c>
      <c r="M533">
        <f t="shared" si="66"/>
        <v>0.67213114754098358</v>
      </c>
      <c r="N533">
        <f t="shared" si="67"/>
        <v>0</v>
      </c>
      <c r="O533">
        <f t="shared" si="68"/>
        <v>0</v>
      </c>
      <c r="P533">
        <f t="shared" si="69"/>
        <v>0</v>
      </c>
      <c r="Q533">
        <f t="shared" si="70"/>
        <v>0.23996584116140052</v>
      </c>
      <c r="R533">
        <f t="shared" si="71"/>
        <v>0.8</v>
      </c>
    </row>
    <row r="534" spans="1:18" x14ac:dyDescent="0.3">
      <c r="A534">
        <v>2</v>
      </c>
      <c r="B534">
        <v>129</v>
      </c>
      <c r="C534">
        <v>74</v>
      </c>
      <c r="D534">
        <v>26</v>
      </c>
      <c r="E534">
        <v>205</v>
      </c>
      <c r="F534">
        <v>33.200000000000003</v>
      </c>
      <c r="G534">
        <v>0.59099999999999997</v>
      </c>
      <c r="H534">
        <v>25</v>
      </c>
      <c r="I534">
        <v>0</v>
      </c>
      <c r="K534">
        <f t="shared" si="64"/>
        <v>0.11764705882352941</v>
      </c>
      <c r="L534">
        <f t="shared" si="65"/>
        <v>0.64824120603015079</v>
      </c>
      <c r="M534">
        <f t="shared" si="66"/>
        <v>0.60655737704918034</v>
      </c>
      <c r="N534">
        <f t="shared" si="67"/>
        <v>0.26262626262626265</v>
      </c>
      <c r="O534">
        <f t="shared" si="68"/>
        <v>0.24231678486997635</v>
      </c>
      <c r="P534">
        <f t="shared" si="69"/>
        <v>0.49478390461997029</v>
      </c>
      <c r="Q534">
        <f t="shared" si="70"/>
        <v>0.21904355251921434</v>
      </c>
      <c r="R534">
        <f t="shared" si="71"/>
        <v>6.6666666666666666E-2</v>
      </c>
    </row>
    <row r="535" spans="1:18" x14ac:dyDescent="0.3">
      <c r="A535">
        <v>3</v>
      </c>
      <c r="B535">
        <v>130</v>
      </c>
      <c r="C535">
        <v>64</v>
      </c>
      <c r="D535">
        <v>0</v>
      </c>
      <c r="E535">
        <v>0</v>
      </c>
      <c r="F535">
        <v>23.1</v>
      </c>
      <c r="G535">
        <v>0.314</v>
      </c>
      <c r="H535">
        <v>22</v>
      </c>
      <c r="I535">
        <v>0</v>
      </c>
      <c r="K535">
        <f t="shared" si="64"/>
        <v>0.17647058823529413</v>
      </c>
      <c r="L535">
        <f t="shared" si="65"/>
        <v>0.65326633165829151</v>
      </c>
      <c r="M535">
        <f t="shared" si="66"/>
        <v>0.52459016393442626</v>
      </c>
      <c r="N535">
        <f t="shared" si="67"/>
        <v>0</v>
      </c>
      <c r="O535">
        <f t="shared" si="68"/>
        <v>0</v>
      </c>
      <c r="P535">
        <f t="shared" si="69"/>
        <v>0.34426229508196726</v>
      </c>
      <c r="Q535">
        <f t="shared" si="70"/>
        <v>0.10076857386848846</v>
      </c>
      <c r="R535">
        <f t="shared" si="71"/>
        <v>1.6666666666666666E-2</v>
      </c>
    </row>
    <row r="536" spans="1:18" x14ac:dyDescent="0.3">
      <c r="A536">
        <v>1</v>
      </c>
      <c r="B536">
        <v>107</v>
      </c>
      <c r="C536">
        <v>50</v>
      </c>
      <c r="D536">
        <v>19</v>
      </c>
      <c r="E536">
        <v>0</v>
      </c>
      <c r="F536">
        <v>28.3</v>
      </c>
      <c r="G536">
        <v>0.18099999999999999</v>
      </c>
      <c r="H536">
        <v>29</v>
      </c>
      <c r="I536">
        <v>0</v>
      </c>
      <c r="K536">
        <f t="shared" si="64"/>
        <v>5.8823529411764705E-2</v>
      </c>
      <c r="L536">
        <f t="shared" si="65"/>
        <v>0.53768844221105527</v>
      </c>
      <c r="M536">
        <f t="shared" si="66"/>
        <v>0.4098360655737705</v>
      </c>
      <c r="N536">
        <f t="shared" si="67"/>
        <v>0.19191919191919191</v>
      </c>
      <c r="O536">
        <f t="shared" si="68"/>
        <v>0</v>
      </c>
      <c r="P536">
        <f t="shared" si="69"/>
        <v>0.42175856929955297</v>
      </c>
      <c r="Q536">
        <f t="shared" si="70"/>
        <v>4.3979504696840303E-2</v>
      </c>
      <c r="R536">
        <f t="shared" si="71"/>
        <v>0.13333333333333333</v>
      </c>
    </row>
    <row r="537" spans="1:18" x14ac:dyDescent="0.3">
      <c r="A537">
        <v>1</v>
      </c>
      <c r="B537">
        <v>140</v>
      </c>
      <c r="C537">
        <v>74</v>
      </c>
      <c r="D537">
        <v>26</v>
      </c>
      <c r="E537">
        <v>180</v>
      </c>
      <c r="F537">
        <v>24.1</v>
      </c>
      <c r="G537">
        <v>0.82799999999999996</v>
      </c>
      <c r="H537">
        <v>23</v>
      </c>
      <c r="I537">
        <v>0</v>
      </c>
      <c r="K537">
        <f t="shared" si="64"/>
        <v>5.8823529411764705E-2</v>
      </c>
      <c r="L537">
        <f t="shared" si="65"/>
        <v>0.70351758793969854</v>
      </c>
      <c r="M537">
        <f t="shared" si="66"/>
        <v>0.60655737704918034</v>
      </c>
      <c r="N537">
        <f t="shared" si="67"/>
        <v>0.26262626262626265</v>
      </c>
      <c r="O537">
        <f t="shared" si="68"/>
        <v>0.21276595744680851</v>
      </c>
      <c r="P537">
        <f t="shared" si="69"/>
        <v>0.35916542473919527</v>
      </c>
      <c r="Q537">
        <f t="shared" si="70"/>
        <v>0.32023911187019638</v>
      </c>
      <c r="R537">
        <f t="shared" si="71"/>
        <v>3.3333333333333333E-2</v>
      </c>
    </row>
    <row r="538" spans="1:18" x14ac:dyDescent="0.3">
      <c r="A538">
        <v>1</v>
      </c>
      <c r="B538">
        <v>144</v>
      </c>
      <c r="C538">
        <v>82</v>
      </c>
      <c r="D538">
        <v>46</v>
      </c>
      <c r="E538">
        <v>180</v>
      </c>
      <c r="F538">
        <v>46.1</v>
      </c>
      <c r="G538">
        <v>0.33500000000000002</v>
      </c>
      <c r="H538">
        <v>46</v>
      </c>
      <c r="I538">
        <v>1</v>
      </c>
      <c r="K538">
        <f t="shared" si="64"/>
        <v>5.8823529411764705E-2</v>
      </c>
      <c r="L538">
        <f t="shared" si="65"/>
        <v>0.72361809045226133</v>
      </c>
      <c r="M538">
        <f t="shared" si="66"/>
        <v>0.67213114754098358</v>
      </c>
      <c r="N538">
        <f t="shared" si="67"/>
        <v>0.46464646464646464</v>
      </c>
      <c r="O538">
        <f t="shared" si="68"/>
        <v>0.21276595744680851</v>
      </c>
      <c r="P538">
        <f t="shared" si="69"/>
        <v>0.68703427719821175</v>
      </c>
      <c r="Q538">
        <f t="shared" si="70"/>
        <v>0.10973526900085397</v>
      </c>
      <c r="R538">
        <f t="shared" si="71"/>
        <v>0.41666666666666669</v>
      </c>
    </row>
    <row r="539" spans="1:18" x14ac:dyDescent="0.3">
      <c r="A539">
        <v>8</v>
      </c>
      <c r="B539">
        <v>107</v>
      </c>
      <c r="C539">
        <v>80</v>
      </c>
      <c r="D539">
        <v>0</v>
      </c>
      <c r="E539">
        <v>0</v>
      </c>
      <c r="F539">
        <v>24.6</v>
      </c>
      <c r="G539">
        <v>0.85599999999999998</v>
      </c>
      <c r="H539">
        <v>34</v>
      </c>
      <c r="I539">
        <v>0</v>
      </c>
      <c r="K539">
        <f t="shared" si="64"/>
        <v>0.47058823529411764</v>
      </c>
      <c r="L539">
        <f t="shared" si="65"/>
        <v>0.53768844221105527</v>
      </c>
      <c r="M539">
        <f t="shared" si="66"/>
        <v>0.65573770491803274</v>
      </c>
      <c r="N539">
        <f t="shared" si="67"/>
        <v>0</v>
      </c>
      <c r="O539">
        <f t="shared" si="68"/>
        <v>0</v>
      </c>
      <c r="P539">
        <f t="shared" si="69"/>
        <v>0.3666169895678093</v>
      </c>
      <c r="Q539">
        <f t="shared" si="70"/>
        <v>0.33219470538001705</v>
      </c>
      <c r="R539">
        <f t="shared" si="71"/>
        <v>0.21666666666666667</v>
      </c>
    </row>
    <row r="540" spans="1:18" x14ac:dyDescent="0.3">
      <c r="A540">
        <v>13</v>
      </c>
      <c r="B540">
        <v>158</v>
      </c>
      <c r="C540">
        <v>114</v>
      </c>
      <c r="D540">
        <v>0</v>
      </c>
      <c r="E540">
        <v>0</v>
      </c>
      <c r="F540">
        <v>42.3</v>
      </c>
      <c r="G540">
        <v>0.25700000000000001</v>
      </c>
      <c r="H540">
        <v>44</v>
      </c>
      <c r="I540">
        <v>1</v>
      </c>
      <c r="K540">
        <f t="shared" si="64"/>
        <v>0.76470588235294112</v>
      </c>
      <c r="L540">
        <f t="shared" si="65"/>
        <v>0.79396984924623115</v>
      </c>
      <c r="M540">
        <f t="shared" si="66"/>
        <v>0.93442622950819676</v>
      </c>
      <c r="N540">
        <f t="shared" si="67"/>
        <v>0</v>
      </c>
      <c r="O540">
        <f t="shared" si="68"/>
        <v>0</v>
      </c>
      <c r="P540">
        <f t="shared" si="69"/>
        <v>0.63040238450074515</v>
      </c>
      <c r="Q540">
        <f t="shared" si="70"/>
        <v>7.643040136635354E-2</v>
      </c>
      <c r="R540">
        <f t="shared" si="71"/>
        <v>0.38333333333333336</v>
      </c>
    </row>
    <row r="541" spans="1:18" x14ac:dyDescent="0.3">
      <c r="A541">
        <v>2</v>
      </c>
      <c r="B541">
        <v>121</v>
      </c>
      <c r="C541">
        <v>70</v>
      </c>
      <c r="D541">
        <v>32</v>
      </c>
      <c r="E541">
        <v>95</v>
      </c>
      <c r="F541">
        <v>39.1</v>
      </c>
      <c r="G541">
        <v>0.88600000000000001</v>
      </c>
      <c r="H541">
        <v>23</v>
      </c>
      <c r="I541">
        <v>0</v>
      </c>
      <c r="K541">
        <f t="shared" si="64"/>
        <v>0.11764705882352941</v>
      </c>
      <c r="L541">
        <f t="shared" si="65"/>
        <v>0.60804020100502509</v>
      </c>
      <c r="M541">
        <f t="shared" si="66"/>
        <v>0.57377049180327866</v>
      </c>
      <c r="N541">
        <f t="shared" si="67"/>
        <v>0.32323232323232326</v>
      </c>
      <c r="O541">
        <f t="shared" si="68"/>
        <v>0.11229314420803782</v>
      </c>
      <c r="P541">
        <f t="shared" si="69"/>
        <v>0.58271236959761552</v>
      </c>
      <c r="Q541">
        <f t="shared" si="70"/>
        <v>0.34500426985482496</v>
      </c>
      <c r="R541">
        <f t="shared" si="71"/>
        <v>3.3333333333333333E-2</v>
      </c>
    </row>
    <row r="542" spans="1:18" x14ac:dyDescent="0.3">
      <c r="A542">
        <v>7</v>
      </c>
      <c r="B542">
        <v>129</v>
      </c>
      <c r="C542">
        <v>68</v>
      </c>
      <c r="D542">
        <v>49</v>
      </c>
      <c r="E542">
        <v>125</v>
      </c>
      <c r="F542">
        <v>38.5</v>
      </c>
      <c r="G542">
        <v>0.439</v>
      </c>
      <c r="H542">
        <v>43</v>
      </c>
      <c r="I542">
        <v>1</v>
      </c>
      <c r="K542">
        <f t="shared" si="64"/>
        <v>0.41176470588235292</v>
      </c>
      <c r="L542">
        <f t="shared" si="65"/>
        <v>0.64824120603015079</v>
      </c>
      <c r="M542">
        <f t="shared" si="66"/>
        <v>0.55737704918032782</v>
      </c>
      <c r="N542">
        <f t="shared" si="67"/>
        <v>0.49494949494949497</v>
      </c>
      <c r="O542">
        <f t="shared" si="68"/>
        <v>0.14775413711583923</v>
      </c>
      <c r="P542">
        <f t="shared" si="69"/>
        <v>0.57377049180327877</v>
      </c>
      <c r="Q542">
        <f t="shared" si="70"/>
        <v>0.15414175918018785</v>
      </c>
      <c r="R542">
        <f t="shared" si="71"/>
        <v>0.36666666666666664</v>
      </c>
    </row>
    <row r="543" spans="1:18" x14ac:dyDescent="0.3">
      <c r="A543">
        <v>2</v>
      </c>
      <c r="B543">
        <v>90</v>
      </c>
      <c r="C543">
        <v>60</v>
      </c>
      <c r="D543">
        <v>0</v>
      </c>
      <c r="E543">
        <v>0</v>
      </c>
      <c r="F543">
        <v>23.5</v>
      </c>
      <c r="G543">
        <v>0.191</v>
      </c>
      <c r="H543">
        <v>25</v>
      </c>
      <c r="I543">
        <v>0</v>
      </c>
      <c r="K543">
        <f t="shared" si="64"/>
        <v>0.11764705882352941</v>
      </c>
      <c r="L543">
        <f t="shared" si="65"/>
        <v>0.45226130653266333</v>
      </c>
      <c r="M543">
        <f t="shared" si="66"/>
        <v>0.49180327868852458</v>
      </c>
      <c r="N543">
        <f t="shared" si="67"/>
        <v>0</v>
      </c>
      <c r="O543">
        <f t="shared" si="68"/>
        <v>0</v>
      </c>
      <c r="P543">
        <f t="shared" si="69"/>
        <v>0.35022354694485847</v>
      </c>
      <c r="Q543">
        <f t="shared" si="70"/>
        <v>4.824935952177626E-2</v>
      </c>
      <c r="R543">
        <f t="shared" si="71"/>
        <v>6.6666666666666666E-2</v>
      </c>
    </row>
    <row r="544" spans="1:18" x14ac:dyDescent="0.3">
      <c r="A544">
        <v>7</v>
      </c>
      <c r="B544">
        <v>142</v>
      </c>
      <c r="C544">
        <v>90</v>
      </c>
      <c r="D544">
        <v>24</v>
      </c>
      <c r="E544">
        <v>480</v>
      </c>
      <c r="F544">
        <v>30.4</v>
      </c>
      <c r="G544">
        <v>0.128</v>
      </c>
      <c r="H544">
        <v>43</v>
      </c>
      <c r="I544">
        <v>1</v>
      </c>
      <c r="K544">
        <f t="shared" si="64"/>
        <v>0.41176470588235292</v>
      </c>
      <c r="L544">
        <f t="shared" si="65"/>
        <v>0.71356783919597988</v>
      </c>
      <c r="M544">
        <f t="shared" si="66"/>
        <v>0.73770491803278693</v>
      </c>
      <c r="N544">
        <f t="shared" si="67"/>
        <v>0.24242424242424243</v>
      </c>
      <c r="O544">
        <f t="shared" si="68"/>
        <v>0.56737588652482274</v>
      </c>
      <c r="P544">
        <f t="shared" si="69"/>
        <v>0.45305514157973176</v>
      </c>
      <c r="Q544">
        <f t="shared" si="70"/>
        <v>2.1349274124679761E-2</v>
      </c>
      <c r="R544">
        <f t="shared" si="71"/>
        <v>0.36666666666666664</v>
      </c>
    </row>
    <row r="545" spans="1:18" x14ac:dyDescent="0.3">
      <c r="A545">
        <v>3</v>
      </c>
      <c r="B545">
        <v>169</v>
      </c>
      <c r="C545">
        <v>74</v>
      </c>
      <c r="D545">
        <v>19</v>
      </c>
      <c r="E545">
        <v>125</v>
      </c>
      <c r="F545">
        <v>29.9</v>
      </c>
      <c r="G545">
        <v>0.26800000000000002</v>
      </c>
      <c r="H545">
        <v>31</v>
      </c>
      <c r="I545">
        <v>1</v>
      </c>
      <c r="K545">
        <f t="shared" si="64"/>
        <v>0.17647058823529413</v>
      </c>
      <c r="L545">
        <f t="shared" si="65"/>
        <v>0.84924623115577891</v>
      </c>
      <c r="M545">
        <f t="shared" si="66"/>
        <v>0.60655737704918034</v>
      </c>
      <c r="N545">
        <f t="shared" si="67"/>
        <v>0.19191919191919191</v>
      </c>
      <c r="O545">
        <f t="shared" si="68"/>
        <v>0.14775413711583923</v>
      </c>
      <c r="P545">
        <f t="shared" si="69"/>
        <v>0.44560357675111772</v>
      </c>
      <c r="Q545">
        <f t="shared" si="70"/>
        <v>8.1127241673783088E-2</v>
      </c>
      <c r="R545">
        <f t="shared" si="71"/>
        <v>0.16666666666666666</v>
      </c>
    </row>
    <row r="546" spans="1:18" x14ac:dyDescent="0.3">
      <c r="A546">
        <v>0</v>
      </c>
      <c r="B546">
        <v>99</v>
      </c>
      <c r="C546">
        <v>0</v>
      </c>
      <c r="D546">
        <v>0</v>
      </c>
      <c r="E546">
        <v>0</v>
      </c>
      <c r="F546">
        <v>25</v>
      </c>
      <c r="G546">
        <v>0.253</v>
      </c>
      <c r="H546">
        <v>22</v>
      </c>
      <c r="I546">
        <v>0</v>
      </c>
      <c r="K546">
        <f t="shared" si="64"/>
        <v>0</v>
      </c>
      <c r="L546">
        <f t="shared" si="65"/>
        <v>0.49748743718592964</v>
      </c>
      <c r="M546">
        <f t="shared" si="66"/>
        <v>0</v>
      </c>
      <c r="N546">
        <f t="shared" si="67"/>
        <v>0</v>
      </c>
      <c r="O546">
        <f t="shared" si="68"/>
        <v>0</v>
      </c>
      <c r="P546">
        <f t="shared" si="69"/>
        <v>0.37257824143070045</v>
      </c>
      <c r="Q546">
        <f t="shared" si="70"/>
        <v>7.472245943637916E-2</v>
      </c>
      <c r="R546">
        <f t="shared" si="71"/>
        <v>1.6666666666666666E-2</v>
      </c>
    </row>
    <row r="547" spans="1:18" x14ac:dyDescent="0.3">
      <c r="A547">
        <v>4</v>
      </c>
      <c r="B547">
        <v>127</v>
      </c>
      <c r="C547">
        <v>88</v>
      </c>
      <c r="D547">
        <v>11</v>
      </c>
      <c r="E547">
        <v>155</v>
      </c>
      <c r="F547">
        <v>34.5</v>
      </c>
      <c r="G547">
        <v>0.59799999999999998</v>
      </c>
      <c r="H547">
        <v>28</v>
      </c>
      <c r="I547">
        <v>0</v>
      </c>
      <c r="K547">
        <f t="shared" si="64"/>
        <v>0.23529411764705882</v>
      </c>
      <c r="L547">
        <f t="shared" si="65"/>
        <v>0.63819095477386933</v>
      </c>
      <c r="M547">
        <f t="shared" si="66"/>
        <v>0.72131147540983609</v>
      </c>
      <c r="N547">
        <f t="shared" si="67"/>
        <v>0.1111111111111111</v>
      </c>
      <c r="O547">
        <f t="shared" si="68"/>
        <v>0.18321513002364065</v>
      </c>
      <c r="P547">
        <f t="shared" si="69"/>
        <v>0.51415797317436662</v>
      </c>
      <c r="Q547">
        <f t="shared" si="70"/>
        <v>0.22203245089666951</v>
      </c>
      <c r="R547">
        <f t="shared" si="71"/>
        <v>0.11666666666666667</v>
      </c>
    </row>
    <row r="548" spans="1:18" x14ac:dyDescent="0.3">
      <c r="A548">
        <v>4</v>
      </c>
      <c r="B548">
        <v>118</v>
      </c>
      <c r="C548">
        <v>70</v>
      </c>
      <c r="D548">
        <v>0</v>
      </c>
      <c r="E548">
        <v>0</v>
      </c>
      <c r="F548">
        <v>44.5</v>
      </c>
      <c r="G548">
        <v>0.90400000000000003</v>
      </c>
      <c r="H548">
        <v>26</v>
      </c>
      <c r="I548">
        <v>0</v>
      </c>
      <c r="K548">
        <f t="shared" si="64"/>
        <v>0.23529411764705882</v>
      </c>
      <c r="L548">
        <f t="shared" si="65"/>
        <v>0.59296482412060303</v>
      </c>
      <c r="M548">
        <f t="shared" si="66"/>
        <v>0.57377049180327866</v>
      </c>
      <c r="N548">
        <f t="shared" si="67"/>
        <v>0</v>
      </c>
      <c r="O548">
        <f t="shared" si="68"/>
        <v>0</v>
      </c>
      <c r="P548">
        <f t="shared" si="69"/>
        <v>0.66318926974664683</v>
      </c>
      <c r="Q548">
        <f t="shared" si="70"/>
        <v>0.35269000853970967</v>
      </c>
      <c r="R548">
        <f t="shared" si="71"/>
        <v>8.3333333333333329E-2</v>
      </c>
    </row>
    <row r="549" spans="1:18" x14ac:dyDescent="0.3">
      <c r="A549">
        <v>2</v>
      </c>
      <c r="B549">
        <v>122</v>
      </c>
      <c r="C549">
        <v>76</v>
      </c>
      <c r="D549">
        <v>27</v>
      </c>
      <c r="E549">
        <v>200</v>
      </c>
      <c r="F549">
        <v>35.9</v>
      </c>
      <c r="G549">
        <v>0.48299999999999998</v>
      </c>
      <c r="H549">
        <v>26</v>
      </c>
      <c r="I549">
        <v>0</v>
      </c>
      <c r="K549">
        <f t="shared" si="64"/>
        <v>0.11764705882352941</v>
      </c>
      <c r="L549">
        <f t="shared" si="65"/>
        <v>0.61306532663316582</v>
      </c>
      <c r="M549">
        <f t="shared" si="66"/>
        <v>0.62295081967213117</v>
      </c>
      <c r="N549">
        <f t="shared" si="67"/>
        <v>0.27272727272727271</v>
      </c>
      <c r="O549">
        <f t="shared" si="68"/>
        <v>0.2364066193853428</v>
      </c>
      <c r="P549">
        <f t="shared" si="69"/>
        <v>0.53502235469448589</v>
      </c>
      <c r="Q549">
        <f t="shared" si="70"/>
        <v>0.17292912040990605</v>
      </c>
      <c r="R549">
        <f t="shared" si="71"/>
        <v>8.3333333333333329E-2</v>
      </c>
    </row>
    <row r="550" spans="1:18" x14ac:dyDescent="0.3">
      <c r="A550">
        <v>6</v>
      </c>
      <c r="B550">
        <v>125</v>
      </c>
      <c r="C550">
        <v>78</v>
      </c>
      <c r="D550">
        <v>31</v>
      </c>
      <c r="E550">
        <v>0</v>
      </c>
      <c r="F550">
        <v>27.6</v>
      </c>
      <c r="G550">
        <v>0.56499999999999995</v>
      </c>
      <c r="H550">
        <v>49</v>
      </c>
      <c r="I550">
        <v>1</v>
      </c>
      <c r="K550">
        <f t="shared" si="64"/>
        <v>0.35294117647058826</v>
      </c>
      <c r="L550">
        <f t="shared" si="65"/>
        <v>0.62814070351758799</v>
      </c>
      <c r="M550">
        <f t="shared" si="66"/>
        <v>0.63934426229508201</v>
      </c>
      <c r="N550">
        <f t="shared" si="67"/>
        <v>0.31313131313131315</v>
      </c>
      <c r="O550">
        <f t="shared" si="68"/>
        <v>0</v>
      </c>
      <c r="P550">
        <f t="shared" si="69"/>
        <v>0.41132637853949333</v>
      </c>
      <c r="Q550">
        <f t="shared" si="70"/>
        <v>0.20794192997438082</v>
      </c>
      <c r="R550">
        <f t="shared" si="71"/>
        <v>0.46666666666666667</v>
      </c>
    </row>
    <row r="551" spans="1:18" x14ac:dyDescent="0.3">
      <c r="A551">
        <v>1</v>
      </c>
      <c r="B551">
        <v>168</v>
      </c>
      <c r="C551">
        <v>88</v>
      </c>
      <c r="D551">
        <v>29</v>
      </c>
      <c r="E551">
        <v>0</v>
      </c>
      <c r="F551">
        <v>35</v>
      </c>
      <c r="G551">
        <v>0.90500000000000003</v>
      </c>
      <c r="H551">
        <v>52</v>
      </c>
      <c r="I551">
        <v>1</v>
      </c>
      <c r="K551">
        <f t="shared" si="64"/>
        <v>5.8823529411764705E-2</v>
      </c>
      <c r="L551">
        <f t="shared" si="65"/>
        <v>0.84422110552763818</v>
      </c>
      <c r="M551">
        <f t="shared" si="66"/>
        <v>0.72131147540983609</v>
      </c>
      <c r="N551">
        <f t="shared" si="67"/>
        <v>0.29292929292929293</v>
      </c>
      <c r="O551">
        <f t="shared" si="68"/>
        <v>0</v>
      </c>
      <c r="P551">
        <f t="shared" si="69"/>
        <v>0.52160953800298071</v>
      </c>
      <c r="Q551">
        <f t="shared" si="70"/>
        <v>0.35311699402220326</v>
      </c>
      <c r="R551">
        <f t="shared" si="71"/>
        <v>0.51666666666666672</v>
      </c>
    </row>
    <row r="552" spans="1:18" x14ac:dyDescent="0.3">
      <c r="A552">
        <v>2</v>
      </c>
      <c r="B552">
        <v>129</v>
      </c>
      <c r="C552">
        <v>0</v>
      </c>
      <c r="D552">
        <v>0</v>
      </c>
      <c r="E552">
        <v>0</v>
      </c>
      <c r="F552">
        <v>38.5</v>
      </c>
      <c r="G552">
        <v>0.30399999999999999</v>
      </c>
      <c r="H552">
        <v>41</v>
      </c>
      <c r="I552">
        <v>0</v>
      </c>
      <c r="K552">
        <f t="shared" si="64"/>
        <v>0.11764705882352941</v>
      </c>
      <c r="L552">
        <f t="shared" si="65"/>
        <v>0.64824120603015079</v>
      </c>
      <c r="M552">
        <f t="shared" si="66"/>
        <v>0</v>
      </c>
      <c r="N552">
        <f t="shared" si="67"/>
        <v>0</v>
      </c>
      <c r="O552">
        <f t="shared" si="68"/>
        <v>0</v>
      </c>
      <c r="P552">
        <f t="shared" si="69"/>
        <v>0.57377049180327877</v>
      </c>
      <c r="Q552">
        <f t="shared" si="70"/>
        <v>9.6498719043552506E-2</v>
      </c>
      <c r="R552">
        <f t="shared" si="71"/>
        <v>0.33333333333333331</v>
      </c>
    </row>
    <row r="553" spans="1:18" x14ac:dyDescent="0.3">
      <c r="A553">
        <v>4</v>
      </c>
      <c r="B553">
        <v>110</v>
      </c>
      <c r="C553">
        <v>76</v>
      </c>
      <c r="D553">
        <v>20</v>
      </c>
      <c r="E553">
        <v>100</v>
      </c>
      <c r="F553">
        <v>28.4</v>
      </c>
      <c r="G553">
        <v>0.11799999999999999</v>
      </c>
      <c r="H553">
        <v>27</v>
      </c>
      <c r="I553">
        <v>0</v>
      </c>
      <c r="K553">
        <f t="shared" si="64"/>
        <v>0.23529411764705882</v>
      </c>
      <c r="L553">
        <f t="shared" si="65"/>
        <v>0.55276381909547734</v>
      </c>
      <c r="M553">
        <f t="shared" si="66"/>
        <v>0.62295081967213117</v>
      </c>
      <c r="N553">
        <f t="shared" si="67"/>
        <v>0.20202020202020202</v>
      </c>
      <c r="O553">
        <f t="shared" si="68"/>
        <v>0.1182033096926714</v>
      </c>
      <c r="P553">
        <f t="shared" si="69"/>
        <v>0.42324888226527574</v>
      </c>
      <c r="Q553">
        <f t="shared" si="70"/>
        <v>1.7079419299743805E-2</v>
      </c>
      <c r="R553">
        <f t="shared" si="71"/>
        <v>0.1</v>
      </c>
    </row>
    <row r="554" spans="1:18" x14ac:dyDescent="0.3">
      <c r="A554">
        <v>6</v>
      </c>
      <c r="B554">
        <v>80</v>
      </c>
      <c r="C554">
        <v>80</v>
      </c>
      <c r="D554">
        <v>36</v>
      </c>
      <c r="E554">
        <v>0</v>
      </c>
      <c r="F554">
        <v>39.799999999999997</v>
      </c>
      <c r="G554">
        <v>0.17699999999999999</v>
      </c>
      <c r="H554">
        <v>28</v>
      </c>
      <c r="I554">
        <v>0</v>
      </c>
      <c r="K554">
        <f t="shared" si="64"/>
        <v>0.35294117647058826</v>
      </c>
      <c r="L554">
        <f t="shared" si="65"/>
        <v>0.4020100502512563</v>
      </c>
      <c r="M554">
        <f t="shared" si="66"/>
        <v>0.65573770491803274</v>
      </c>
      <c r="N554">
        <f t="shared" si="67"/>
        <v>0.36363636363636365</v>
      </c>
      <c r="O554">
        <f t="shared" si="68"/>
        <v>0</v>
      </c>
      <c r="P554">
        <f t="shared" si="69"/>
        <v>0.59314456035767515</v>
      </c>
      <c r="Q554">
        <f t="shared" si="70"/>
        <v>4.2271562766865924E-2</v>
      </c>
      <c r="R554">
        <f t="shared" si="71"/>
        <v>0.11666666666666667</v>
      </c>
    </row>
    <row r="555" spans="1:18" x14ac:dyDescent="0.3">
      <c r="A555">
        <v>10</v>
      </c>
      <c r="B555">
        <v>115</v>
      </c>
      <c r="C555">
        <v>0</v>
      </c>
      <c r="D555">
        <v>0</v>
      </c>
      <c r="E555">
        <v>0</v>
      </c>
      <c r="F555">
        <v>0</v>
      </c>
      <c r="G555">
        <v>0.26100000000000001</v>
      </c>
      <c r="H555">
        <v>30</v>
      </c>
      <c r="I555">
        <v>1</v>
      </c>
      <c r="K555">
        <f t="shared" si="64"/>
        <v>0.58823529411764708</v>
      </c>
      <c r="L555">
        <f t="shared" si="65"/>
        <v>0.57788944723618085</v>
      </c>
      <c r="M555">
        <f t="shared" si="66"/>
        <v>0</v>
      </c>
      <c r="N555">
        <f t="shared" si="67"/>
        <v>0</v>
      </c>
      <c r="O555">
        <f t="shared" si="68"/>
        <v>0</v>
      </c>
      <c r="P555">
        <f t="shared" si="69"/>
        <v>0</v>
      </c>
      <c r="Q555">
        <f t="shared" si="70"/>
        <v>7.813834329632792E-2</v>
      </c>
      <c r="R555">
        <f t="shared" si="71"/>
        <v>0.15</v>
      </c>
    </row>
    <row r="556" spans="1:18" x14ac:dyDescent="0.3">
      <c r="A556">
        <v>2</v>
      </c>
      <c r="B556">
        <v>127</v>
      </c>
      <c r="C556">
        <v>46</v>
      </c>
      <c r="D556">
        <v>21</v>
      </c>
      <c r="E556">
        <v>335</v>
      </c>
      <c r="F556">
        <v>34.4</v>
      </c>
      <c r="G556">
        <v>0.17599999999999999</v>
      </c>
      <c r="H556">
        <v>22</v>
      </c>
      <c r="I556">
        <v>0</v>
      </c>
      <c r="K556">
        <f t="shared" si="64"/>
        <v>0.11764705882352941</v>
      </c>
      <c r="L556">
        <f t="shared" si="65"/>
        <v>0.63819095477386933</v>
      </c>
      <c r="M556">
        <f t="shared" si="66"/>
        <v>0.37704918032786883</v>
      </c>
      <c r="N556">
        <f t="shared" si="67"/>
        <v>0.21212121212121213</v>
      </c>
      <c r="O556">
        <f t="shared" si="68"/>
        <v>0.39598108747044919</v>
      </c>
      <c r="P556">
        <f t="shared" si="69"/>
        <v>0.51266766020864385</v>
      </c>
      <c r="Q556">
        <f t="shared" si="70"/>
        <v>4.1844577284372325E-2</v>
      </c>
      <c r="R556">
        <f t="shared" si="71"/>
        <v>1.6666666666666666E-2</v>
      </c>
    </row>
    <row r="557" spans="1:18" x14ac:dyDescent="0.3">
      <c r="A557">
        <v>9</v>
      </c>
      <c r="B557">
        <v>164</v>
      </c>
      <c r="C557">
        <v>78</v>
      </c>
      <c r="D557">
        <v>0</v>
      </c>
      <c r="E557">
        <v>0</v>
      </c>
      <c r="F557">
        <v>32.799999999999997</v>
      </c>
      <c r="G557">
        <v>0.14799999999999999</v>
      </c>
      <c r="H557">
        <v>45</v>
      </c>
      <c r="I557">
        <v>1</v>
      </c>
      <c r="K557">
        <f t="shared" si="64"/>
        <v>0.52941176470588236</v>
      </c>
      <c r="L557">
        <f t="shared" si="65"/>
        <v>0.82412060301507539</v>
      </c>
      <c r="M557">
        <f t="shared" si="66"/>
        <v>0.63934426229508201</v>
      </c>
      <c r="N557">
        <f t="shared" si="67"/>
        <v>0</v>
      </c>
      <c r="O557">
        <f t="shared" si="68"/>
        <v>0</v>
      </c>
      <c r="P557">
        <f t="shared" si="69"/>
        <v>0.48882265275707898</v>
      </c>
      <c r="Q557">
        <f t="shared" si="70"/>
        <v>2.988898377455166E-2</v>
      </c>
      <c r="R557">
        <f t="shared" si="71"/>
        <v>0.4</v>
      </c>
    </row>
    <row r="558" spans="1:18" x14ac:dyDescent="0.3">
      <c r="A558">
        <v>2</v>
      </c>
      <c r="B558">
        <v>93</v>
      </c>
      <c r="C558">
        <v>64</v>
      </c>
      <c r="D558">
        <v>32</v>
      </c>
      <c r="E558">
        <v>160</v>
      </c>
      <c r="F558">
        <v>38</v>
      </c>
      <c r="G558">
        <v>0.67400000000000004</v>
      </c>
      <c r="H558">
        <v>23</v>
      </c>
      <c r="I558">
        <v>1</v>
      </c>
      <c r="K558">
        <f t="shared" si="64"/>
        <v>0.11764705882352941</v>
      </c>
      <c r="L558">
        <f t="shared" si="65"/>
        <v>0.46733668341708545</v>
      </c>
      <c r="M558">
        <f t="shared" si="66"/>
        <v>0.52459016393442626</v>
      </c>
      <c r="N558">
        <f t="shared" si="67"/>
        <v>0.32323232323232326</v>
      </c>
      <c r="O558">
        <f t="shared" si="68"/>
        <v>0.18912529550827423</v>
      </c>
      <c r="P558">
        <f t="shared" si="69"/>
        <v>0.56631892697466468</v>
      </c>
      <c r="Q558">
        <f t="shared" si="70"/>
        <v>0.25448334756618279</v>
      </c>
      <c r="R558">
        <f t="shared" si="71"/>
        <v>3.3333333333333333E-2</v>
      </c>
    </row>
    <row r="559" spans="1:18" x14ac:dyDescent="0.3">
      <c r="A559">
        <v>3</v>
      </c>
      <c r="B559">
        <v>158</v>
      </c>
      <c r="C559">
        <v>64</v>
      </c>
      <c r="D559">
        <v>13</v>
      </c>
      <c r="E559">
        <v>387</v>
      </c>
      <c r="F559">
        <v>31.2</v>
      </c>
      <c r="G559">
        <v>0.29499999999999998</v>
      </c>
      <c r="H559">
        <v>24</v>
      </c>
      <c r="I559">
        <v>0</v>
      </c>
      <c r="K559">
        <f t="shared" si="64"/>
        <v>0.17647058823529413</v>
      </c>
      <c r="L559">
        <f t="shared" si="65"/>
        <v>0.79396984924623115</v>
      </c>
      <c r="M559">
        <f t="shared" si="66"/>
        <v>0.52459016393442626</v>
      </c>
      <c r="N559">
        <f t="shared" si="67"/>
        <v>0.13131313131313133</v>
      </c>
      <c r="O559">
        <f t="shared" si="68"/>
        <v>0.45744680851063829</v>
      </c>
      <c r="P559">
        <f t="shared" si="69"/>
        <v>0.46497764530551416</v>
      </c>
      <c r="Q559">
        <f t="shared" si="70"/>
        <v>9.2655849701110141E-2</v>
      </c>
      <c r="R559">
        <f t="shared" si="71"/>
        <v>0.05</v>
      </c>
    </row>
    <row r="560" spans="1:18" x14ac:dyDescent="0.3">
      <c r="A560">
        <v>5</v>
      </c>
      <c r="B560">
        <v>126</v>
      </c>
      <c r="C560">
        <v>78</v>
      </c>
      <c r="D560">
        <v>27</v>
      </c>
      <c r="E560">
        <v>22</v>
      </c>
      <c r="F560">
        <v>29.6</v>
      </c>
      <c r="G560">
        <v>0.439</v>
      </c>
      <c r="H560">
        <v>40</v>
      </c>
      <c r="I560">
        <v>0</v>
      </c>
      <c r="K560">
        <f t="shared" si="64"/>
        <v>0.29411764705882354</v>
      </c>
      <c r="L560">
        <f t="shared" si="65"/>
        <v>0.63316582914572861</v>
      </c>
      <c r="M560">
        <f t="shared" si="66"/>
        <v>0.63934426229508201</v>
      </c>
      <c r="N560">
        <f t="shared" si="67"/>
        <v>0.27272727272727271</v>
      </c>
      <c r="O560">
        <f t="shared" si="68"/>
        <v>2.6004728132387706E-2</v>
      </c>
      <c r="P560">
        <f t="shared" si="69"/>
        <v>0.44113263785394941</v>
      </c>
      <c r="Q560">
        <f t="shared" si="70"/>
        <v>0.15414175918018785</v>
      </c>
      <c r="R560">
        <f t="shared" si="71"/>
        <v>0.31666666666666665</v>
      </c>
    </row>
    <row r="561" spans="1:18" x14ac:dyDescent="0.3">
      <c r="A561">
        <v>10</v>
      </c>
      <c r="B561">
        <v>129</v>
      </c>
      <c r="C561">
        <v>62</v>
      </c>
      <c r="D561">
        <v>36</v>
      </c>
      <c r="E561">
        <v>0</v>
      </c>
      <c r="F561">
        <v>41.2</v>
      </c>
      <c r="G561">
        <v>0.441</v>
      </c>
      <c r="H561">
        <v>38</v>
      </c>
      <c r="I561">
        <v>1</v>
      </c>
      <c r="K561">
        <f t="shared" si="64"/>
        <v>0.58823529411764708</v>
      </c>
      <c r="L561">
        <f t="shared" si="65"/>
        <v>0.64824120603015079</v>
      </c>
      <c r="M561">
        <f t="shared" si="66"/>
        <v>0.50819672131147542</v>
      </c>
      <c r="N561">
        <f t="shared" si="67"/>
        <v>0.36363636363636365</v>
      </c>
      <c r="O561">
        <f t="shared" si="68"/>
        <v>0</v>
      </c>
      <c r="P561">
        <f t="shared" si="69"/>
        <v>0.61400894187779442</v>
      </c>
      <c r="Q561">
        <f t="shared" si="70"/>
        <v>0.15499573014517506</v>
      </c>
      <c r="R561">
        <f t="shared" si="71"/>
        <v>0.28333333333333333</v>
      </c>
    </row>
    <row r="562" spans="1:18" x14ac:dyDescent="0.3">
      <c r="A562">
        <v>0</v>
      </c>
      <c r="B562">
        <v>134</v>
      </c>
      <c r="C562">
        <v>58</v>
      </c>
      <c r="D562">
        <v>20</v>
      </c>
      <c r="E562">
        <v>291</v>
      </c>
      <c r="F562">
        <v>26.4</v>
      </c>
      <c r="G562">
        <v>0.35199999999999998</v>
      </c>
      <c r="H562">
        <v>21</v>
      </c>
      <c r="I562">
        <v>0</v>
      </c>
      <c r="K562">
        <f t="shared" si="64"/>
        <v>0</v>
      </c>
      <c r="L562">
        <f t="shared" si="65"/>
        <v>0.6733668341708543</v>
      </c>
      <c r="M562">
        <f t="shared" si="66"/>
        <v>0.47540983606557374</v>
      </c>
      <c r="N562">
        <f t="shared" si="67"/>
        <v>0.20202020202020202</v>
      </c>
      <c r="O562">
        <f t="shared" si="68"/>
        <v>0.34397163120567376</v>
      </c>
      <c r="P562">
        <f t="shared" si="69"/>
        <v>0.39344262295081966</v>
      </c>
      <c r="Q562">
        <f t="shared" si="70"/>
        <v>0.11699402220324508</v>
      </c>
      <c r="R562">
        <f t="shared" si="71"/>
        <v>0</v>
      </c>
    </row>
    <row r="563" spans="1:18" x14ac:dyDescent="0.3">
      <c r="A563">
        <v>3</v>
      </c>
      <c r="B563">
        <v>102</v>
      </c>
      <c r="C563">
        <v>74</v>
      </c>
      <c r="D563">
        <v>0</v>
      </c>
      <c r="E563">
        <v>0</v>
      </c>
      <c r="F563">
        <v>29.5</v>
      </c>
      <c r="G563">
        <v>0.121</v>
      </c>
      <c r="H563">
        <v>32</v>
      </c>
      <c r="I563">
        <v>0</v>
      </c>
      <c r="K563">
        <f t="shared" si="64"/>
        <v>0.17647058823529413</v>
      </c>
      <c r="L563">
        <f t="shared" si="65"/>
        <v>0.51256281407035176</v>
      </c>
      <c r="M563">
        <f t="shared" si="66"/>
        <v>0.60655737704918034</v>
      </c>
      <c r="N563">
        <f t="shared" si="67"/>
        <v>0</v>
      </c>
      <c r="O563">
        <f t="shared" si="68"/>
        <v>0</v>
      </c>
      <c r="P563">
        <f t="shared" si="69"/>
        <v>0.43964232488822658</v>
      </c>
      <c r="Q563">
        <f t="shared" si="70"/>
        <v>1.8360375747224593E-2</v>
      </c>
      <c r="R563">
        <f t="shared" si="71"/>
        <v>0.18333333333333332</v>
      </c>
    </row>
    <row r="564" spans="1:18" x14ac:dyDescent="0.3">
      <c r="A564">
        <v>7</v>
      </c>
      <c r="B564">
        <v>187</v>
      </c>
      <c r="C564">
        <v>50</v>
      </c>
      <c r="D564">
        <v>33</v>
      </c>
      <c r="E564">
        <v>392</v>
      </c>
      <c r="F564">
        <v>33.9</v>
      </c>
      <c r="G564">
        <v>0.82599999999999996</v>
      </c>
      <c r="H564">
        <v>34</v>
      </c>
      <c r="I564">
        <v>1</v>
      </c>
      <c r="K564">
        <f t="shared" si="64"/>
        <v>0.41176470588235292</v>
      </c>
      <c r="L564">
        <f t="shared" si="65"/>
        <v>0.93969849246231152</v>
      </c>
      <c r="M564">
        <f t="shared" si="66"/>
        <v>0.4098360655737705</v>
      </c>
      <c r="N564">
        <f t="shared" si="67"/>
        <v>0.33333333333333331</v>
      </c>
      <c r="O564">
        <f t="shared" si="68"/>
        <v>0.46335697399527187</v>
      </c>
      <c r="P564">
        <f t="shared" si="69"/>
        <v>0.50521609538002987</v>
      </c>
      <c r="Q564">
        <f t="shared" si="70"/>
        <v>0.3193851409052092</v>
      </c>
      <c r="R564">
        <f t="shared" si="71"/>
        <v>0.21666666666666667</v>
      </c>
    </row>
    <row r="565" spans="1:18" x14ac:dyDescent="0.3">
      <c r="A565">
        <v>3</v>
      </c>
      <c r="B565">
        <v>173</v>
      </c>
      <c r="C565">
        <v>78</v>
      </c>
      <c r="D565">
        <v>39</v>
      </c>
      <c r="E565">
        <v>185</v>
      </c>
      <c r="F565">
        <v>33.799999999999997</v>
      </c>
      <c r="G565">
        <v>0.97</v>
      </c>
      <c r="H565">
        <v>31</v>
      </c>
      <c r="I565">
        <v>1</v>
      </c>
      <c r="K565">
        <f t="shared" si="64"/>
        <v>0.17647058823529413</v>
      </c>
      <c r="L565">
        <f t="shared" si="65"/>
        <v>0.8693467336683417</v>
      </c>
      <c r="M565">
        <f t="shared" si="66"/>
        <v>0.63934426229508201</v>
      </c>
      <c r="N565">
        <f t="shared" si="67"/>
        <v>0.39393939393939392</v>
      </c>
      <c r="O565">
        <f t="shared" si="68"/>
        <v>0.21867612293144209</v>
      </c>
      <c r="P565">
        <f t="shared" si="69"/>
        <v>0.50372578241430699</v>
      </c>
      <c r="Q565">
        <f t="shared" si="70"/>
        <v>0.38087105038428692</v>
      </c>
      <c r="R565">
        <f t="shared" si="71"/>
        <v>0.16666666666666666</v>
      </c>
    </row>
    <row r="566" spans="1:18" x14ac:dyDescent="0.3">
      <c r="A566">
        <v>10</v>
      </c>
      <c r="B566">
        <v>94</v>
      </c>
      <c r="C566">
        <v>72</v>
      </c>
      <c r="D566">
        <v>18</v>
      </c>
      <c r="E566">
        <v>0</v>
      </c>
      <c r="F566">
        <v>23.1</v>
      </c>
      <c r="G566">
        <v>0.59499999999999997</v>
      </c>
      <c r="H566">
        <v>56</v>
      </c>
      <c r="I566">
        <v>0</v>
      </c>
      <c r="K566">
        <f t="shared" si="64"/>
        <v>0.58823529411764708</v>
      </c>
      <c r="L566">
        <f t="shared" si="65"/>
        <v>0.47236180904522612</v>
      </c>
      <c r="M566">
        <f t="shared" si="66"/>
        <v>0.5901639344262295</v>
      </c>
      <c r="N566">
        <f t="shared" si="67"/>
        <v>0.18181818181818182</v>
      </c>
      <c r="O566">
        <f t="shared" si="68"/>
        <v>0</v>
      </c>
      <c r="P566">
        <f t="shared" si="69"/>
        <v>0.34426229508196726</v>
      </c>
      <c r="Q566">
        <f t="shared" si="70"/>
        <v>0.22075149444918873</v>
      </c>
      <c r="R566">
        <f t="shared" si="71"/>
        <v>0.58333333333333337</v>
      </c>
    </row>
    <row r="567" spans="1:18" x14ac:dyDescent="0.3">
      <c r="A567">
        <v>1</v>
      </c>
      <c r="B567">
        <v>108</v>
      </c>
      <c r="C567">
        <v>60</v>
      </c>
      <c r="D567">
        <v>46</v>
      </c>
      <c r="E567">
        <v>178</v>
      </c>
      <c r="F567">
        <v>35.5</v>
      </c>
      <c r="G567">
        <v>0.41499999999999998</v>
      </c>
      <c r="H567">
        <v>24</v>
      </c>
      <c r="I567">
        <v>0</v>
      </c>
      <c r="K567">
        <f t="shared" si="64"/>
        <v>5.8823529411764705E-2</v>
      </c>
      <c r="L567">
        <f t="shared" si="65"/>
        <v>0.542713567839196</v>
      </c>
      <c r="M567">
        <f t="shared" si="66"/>
        <v>0.49180327868852458</v>
      </c>
      <c r="N567">
        <f t="shared" si="67"/>
        <v>0.46464646464646464</v>
      </c>
      <c r="O567">
        <f t="shared" si="68"/>
        <v>0.21040189125295508</v>
      </c>
      <c r="P567">
        <f t="shared" si="69"/>
        <v>0.52906110283159469</v>
      </c>
      <c r="Q567">
        <f t="shared" si="70"/>
        <v>0.14389410760034158</v>
      </c>
      <c r="R567">
        <f t="shared" si="71"/>
        <v>0.05</v>
      </c>
    </row>
    <row r="568" spans="1:18" x14ac:dyDescent="0.3">
      <c r="A568">
        <v>5</v>
      </c>
      <c r="B568">
        <v>97</v>
      </c>
      <c r="C568">
        <v>76</v>
      </c>
      <c r="D568">
        <v>27</v>
      </c>
      <c r="E568">
        <v>0</v>
      </c>
      <c r="F568">
        <v>35.6</v>
      </c>
      <c r="G568">
        <v>0.378</v>
      </c>
      <c r="H568">
        <v>52</v>
      </c>
      <c r="I568">
        <v>1</v>
      </c>
      <c r="K568">
        <f t="shared" si="64"/>
        <v>0.29411764705882354</v>
      </c>
      <c r="L568">
        <f t="shared" si="65"/>
        <v>0.48743718592964824</v>
      </c>
      <c r="M568">
        <f t="shared" si="66"/>
        <v>0.62295081967213117</v>
      </c>
      <c r="N568">
        <f t="shared" si="67"/>
        <v>0.27272727272727271</v>
      </c>
      <c r="O568">
        <f t="shared" si="68"/>
        <v>0</v>
      </c>
      <c r="P568">
        <f t="shared" si="69"/>
        <v>0.53055141579731746</v>
      </c>
      <c r="Q568">
        <f t="shared" si="70"/>
        <v>0.12809564474807855</v>
      </c>
      <c r="R568">
        <f t="shared" si="71"/>
        <v>0.51666666666666672</v>
      </c>
    </row>
    <row r="569" spans="1:18" x14ac:dyDescent="0.3">
      <c r="A569">
        <v>4</v>
      </c>
      <c r="B569">
        <v>83</v>
      </c>
      <c r="C569">
        <v>86</v>
      </c>
      <c r="D569">
        <v>19</v>
      </c>
      <c r="E569">
        <v>0</v>
      </c>
      <c r="F569">
        <v>29.3</v>
      </c>
      <c r="G569">
        <v>0.317</v>
      </c>
      <c r="H569">
        <v>34</v>
      </c>
      <c r="I569">
        <v>0</v>
      </c>
      <c r="K569">
        <f t="shared" si="64"/>
        <v>0.23529411764705882</v>
      </c>
      <c r="L569">
        <f t="shared" si="65"/>
        <v>0.41708542713567837</v>
      </c>
      <c r="M569">
        <f t="shared" si="66"/>
        <v>0.70491803278688525</v>
      </c>
      <c r="N569">
        <f t="shared" si="67"/>
        <v>0.19191919191919191</v>
      </c>
      <c r="O569">
        <f t="shared" si="68"/>
        <v>0</v>
      </c>
      <c r="P569">
        <f t="shared" si="69"/>
        <v>0.43666169895678097</v>
      </c>
      <c r="Q569">
        <f t="shared" si="70"/>
        <v>0.10204953031596925</v>
      </c>
      <c r="R569">
        <f t="shared" si="71"/>
        <v>0.21666666666666667</v>
      </c>
    </row>
    <row r="570" spans="1:18" x14ac:dyDescent="0.3">
      <c r="A570">
        <v>1</v>
      </c>
      <c r="B570">
        <v>114</v>
      </c>
      <c r="C570">
        <v>66</v>
      </c>
      <c r="D570">
        <v>36</v>
      </c>
      <c r="E570">
        <v>200</v>
      </c>
      <c r="F570">
        <v>38.1</v>
      </c>
      <c r="G570">
        <v>0.28899999999999998</v>
      </c>
      <c r="H570">
        <v>21</v>
      </c>
      <c r="I570">
        <v>0</v>
      </c>
      <c r="K570">
        <f t="shared" si="64"/>
        <v>5.8823529411764705E-2</v>
      </c>
      <c r="L570">
        <f t="shared" si="65"/>
        <v>0.57286432160804024</v>
      </c>
      <c r="M570">
        <f t="shared" si="66"/>
        <v>0.54098360655737709</v>
      </c>
      <c r="N570">
        <f t="shared" si="67"/>
        <v>0.36363636363636365</v>
      </c>
      <c r="O570">
        <f t="shared" si="68"/>
        <v>0.2364066193853428</v>
      </c>
      <c r="P570">
        <f t="shared" si="69"/>
        <v>0.56780923994038757</v>
      </c>
      <c r="Q570">
        <f t="shared" si="70"/>
        <v>9.0093936806148578E-2</v>
      </c>
      <c r="R570">
        <f t="shared" si="71"/>
        <v>0</v>
      </c>
    </row>
    <row r="571" spans="1:18" x14ac:dyDescent="0.3">
      <c r="A571">
        <v>1</v>
      </c>
      <c r="B571">
        <v>149</v>
      </c>
      <c r="C571">
        <v>68</v>
      </c>
      <c r="D571">
        <v>29</v>
      </c>
      <c r="E571">
        <v>127</v>
      </c>
      <c r="F571">
        <v>29.3</v>
      </c>
      <c r="G571">
        <v>0.34899999999999998</v>
      </c>
      <c r="H571">
        <v>42</v>
      </c>
      <c r="I571">
        <v>1</v>
      </c>
      <c r="K571">
        <f t="shared" si="64"/>
        <v>5.8823529411764705E-2</v>
      </c>
      <c r="L571">
        <f t="shared" si="65"/>
        <v>0.74874371859296485</v>
      </c>
      <c r="M571">
        <f t="shared" si="66"/>
        <v>0.55737704918032782</v>
      </c>
      <c r="N571">
        <f t="shared" si="67"/>
        <v>0.29292929292929293</v>
      </c>
      <c r="O571">
        <f t="shared" si="68"/>
        <v>0.15011820330969267</v>
      </c>
      <c r="P571">
        <f t="shared" si="69"/>
        <v>0.43666169895678097</v>
      </c>
      <c r="Q571">
        <f t="shared" si="70"/>
        <v>0.11571306575576429</v>
      </c>
      <c r="R571">
        <f t="shared" si="71"/>
        <v>0.35</v>
      </c>
    </row>
    <row r="572" spans="1:18" x14ac:dyDescent="0.3">
      <c r="A572">
        <v>5</v>
      </c>
      <c r="B572">
        <v>117</v>
      </c>
      <c r="C572">
        <v>86</v>
      </c>
      <c r="D572">
        <v>30</v>
      </c>
      <c r="E572">
        <v>105</v>
      </c>
      <c r="F572">
        <v>39.1</v>
      </c>
      <c r="G572">
        <v>0.251</v>
      </c>
      <c r="H572">
        <v>42</v>
      </c>
      <c r="I572">
        <v>0</v>
      </c>
      <c r="K572">
        <f t="shared" si="64"/>
        <v>0.29411764705882354</v>
      </c>
      <c r="L572">
        <f t="shared" si="65"/>
        <v>0.5879396984924623</v>
      </c>
      <c r="M572">
        <f t="shared" si="66"/>
        <v>0.70491803278688525</v>
      </c>
      <c r="N572">
        <f t="shared" si="67"/>
        <v>0.30303030303030304</v>
      </c>
      <c r="O572">
        <f t="shared" si="68"/>
        <v>0.12411347517730496</v>
      </c>
      <c r="P572">
        <f t="shared" si="69"/>
        <v>0.58271236959761552</v>
      </c>
      <c r="Q572">
        <f t="shared" si="70"/>
        <v>7.3868488471391963E-2</v>
      </c>
      <c r="R572">
        <f t="shared" si="71"/>
        <v>0.35</v>
      </c>
    </row>
    <row r="573" spans="1:18" x14ac:dyDescent="0.3">
      <c r="A573">
        <v>1</v>
      </c>
      <c r="B573">
        <v>111</v>
      </c>
      <c r="C573">
        <v>94</v>
      </c>
      <c r="D573">
        <v>0</v>
      </c>
      <c r="E573">
        <v>0</v>
      </c>
      <c r="F573">
        <v>32.799999999999997</v>
      </c>
      <c r="G573">
        <v>0.26500000000000001</v>
      </c>
      <c r="H573">
        <v>45</v>
      </c>
      <c r="I573">
        <v>0</v>
      </c>
      <c r="K573">
        <f t="shared" si="64"/>
        <v>5.8823529411764705E-2</v>
      </c>
      <c r="L573">
        <f t="shared" si="65"/>
        <v>0.55778894472361806</v>
      </c>
      <c r="M573">
        <f t="shared" si="66"/>
        <v>0.77049180327868849</v>
      </c>
      <c r="N573">
        <f t="shared" si="67"/>
        <v>0</v>
      </c>
      <c r="O573">
        <f t="shared" si="68"/>
        <v>0</v>
      </c>
      <c r="P573">
        <f t="shared" si="69"/>
        <v>0.48882265275707898</v>
      </c>
      <c r="Q573">
        <f t="shared" si="70"/>
        <v>7.9846285226302299E-2</v>
      </c>
      <c r="R573">
        <f t="shared" si="71"/>
        <v>0.4</v>
      </c>
    </row>
    <row r="574" spans="1:18" x14ac:dyDescent="0.3">
      <c r="A574">
        <v>4</v>
      </c>
      <c r="B574">
        <v>112</v>
      </c>
      <c r="C574">
        <v>78</v>
      </c>
      <c r="D574">
        <v>40</v>
      </c>
      <c r="E574">
        <v>0</v>
      </c>
      <c r="F574">
        <v>39.4</v>
      </c>
      <c r="G574">
        <v>0.23599999999999999</v>
      </c>
      <c r="H574">
        <v>38</v>
      </c>
      <c r="I574">
        <v>0</v>
      </c>
      <c r="K574">
        <f t="shared" si="64"/>
        <v>0.23529411764705882</v>
      </c>
      <c r="L574">
        <f t="shared" si="65"/>
        <v>0.56281407035175879</v>
      </c>
      <c r="M574">
        <f t="shared" si="66"/>
        <v>0.63934426229508201</v>
      </c>
      <c r="N574">
        <f t="shared" si="67"/>
        <v>0.40404040404040403</v>
      </c>
      <c r="O574">
        <f t="shared" si="68"/>
        <v>0</v>
      </c>
      <c r="P574">
        <f t="shared" si="69"/>
        <v>0.58718330849478395</v>
      </c>
      <c r="Q574">
        <f t="shared" si="70"/>
        <v>6.7463706233988036E-2</v>
      </c>
      <c r="R574">
        <f t="shared" si="71"/>
        <v>0.28333333333333333</v>
      </c>
    </row>
    <row r="575" spans="1:18" x14ac:dyDescent="0.3">
      <c r="A575">
        <v>1</v>
      </c>
      <c r="B575">
        <v>116</v>
      </c>
      <c r="C575">
        <v>78</v>
      </c>
      <c r="D575">
        <v>29</v>
      </c>
      <c r="E575">
        <v>180</v>
      </c>
      <c r="F575">
        <v>36.1</v>
      </c>
      <c r="G575">
        <v>0.496</v>
      </c>
      <c r="H575">
        <v>25</v>
      </c>
      <c r="I575">
        <v>0</v>
      </c>
      <c r="K575">
        <f t="shared" si="64"/>
        <v>5.8823529411764705E-2</v>
      </c>
      <c r="L575">
        <f t="shared" si="65"/>
        <v>0.58291457286432158</v>
      </c>
      <c r="M575">
        <f t="shared" si="66"/>
        <v>0.63934426229508201</v>
      </c>
      <c r="N575">
        <f t="shared" si="67"/>
        <v>0.29292929292929293</v>
      </c>
      <c r="O575">
        <f t="shared" si="68"/>
        <v>0.21276595744680851</v>
      </c>
      <c r="P575">
        <f t="shared" si="69"/>
        <v>0.53800298062593155</v>
      </c>
      <c r="Q575">
        <f t="shared" si="70"/>
        <v>0.17847993168232279</v>
      </c>
      <c r="R575">
        <f t="shared" si="71"/>
        <v>6.6666666666666666E-2</v>
      </c>
    </row>
    <row r="576" spans="1:18" x14ac:dyDescent="0.3">
      <c r="A576">
        <v>0</v>
      </c>
      <c r="B576">
        <v>141</v>
      </c>
      <c r="C576">
        <v>84</v>
      </c>
      <c r="D576">
        <v>26</v>
      </c>
      <c r="E576">
        <v>0</v>
      </c>
      <c r="F576">
        <v>32.4</v>
      </c>
      <c r="G576">
        <v>0.433</v>
      </c>
      <c r="H576">
        <v>22</v>
      </c>
      <c r="I576">
        <v>0</v>
      </c>
      <c r="K576">
        <f t="shared" si="64"/>
        <v>0</v>
      </c>
      <c r="L576">
        <f t="shared" si="65"/>
        <v>0.70854271356783916</v>
      </c>
      <c r="M576">
        <f t="shared" si="66"/>
        <v>0.68852459016393441</v>
      </c>
      <c r="N576">
        <f t="shared" si="67"/>
        <v>0.26262626262626265</v>
      </c>
      <c r="O576">
        <f t="shared" si="68"/>
        <v>0</v>
      </c>
      <c r="P576">
        <f t="shared" si="69"/>
        <v>0.48286140089418778</v>
      </c>
      <c r="Q576">
        <f t="shared" si="70"/>
        <v>0.15157984628522628</v>
      </c>
      <c r="R576">
        <f t="shared" si="71"/>
        <v>1.6666666666666666E-2</v>
      </c>
    </row>
    <row r="577" spans="1:18" x14ac:dyDescent="0.3">
      <c r="A577">
        <v>2</v>
      </c>
      <c r="B577">
        <v>175</v>
      </c>
      <c r="C577">
        <v>88</v>
      </c>
      <c r="D577">
        <v>0</v>
      </c>
      <c r="E577">
        <v>0</v>
      </c>
      <c r="F577">
        <v>22.9</v>
      </c>
      <c r="G577">
        <v>0.32600000000000001</v>
      </c>
      <c r="H577">
        <v>22</v>
      </c>
      <c r="I577">
        <v>0</v>
      </c>
      <c r="K577">
        <f t="shared" si="64"/>
        <v>0.11764705882352941</v>
      </c>
      <c r="L577">
        <f t="shared" si="65"/>
        <v>0.87939698492462315</v>
      </c>
      <c r="M577">
        <f t="shared" si="66"/>
        <v>0.72131147540983609</v>
      </c>
      <c r="N577">
        <f t="shared" si="67"/>
        <v>0</v>
      </c>
      <c r="O577">
        <f t="shared" si="68"/>
        <v>0</v>
      </c>
      <c r="P577">
        <f t="shared" si="69"/>
        <v>0.3412816691505216</v>
      </c>
      <c r="Q577">
        <f t="shared" si="70"/>
        <v>0.10589239965841162</v>
      </c>
      <c r="R577">
        <f t="shared" si="71"/>
        <v>1.6666666666666666E-2</v>
      </c>
    </row>
    <row r="578" spans="1:18" x14ac:dyDescent="0.3">
      <c r="A578">
        <v>2</v>
      </c>
      <c r="B578">
        <v>92</v>
      </c>
      <c r="C578">
        <v>52</v>
      </c>
      <c r="D578">
        <v>0</v>
      </c>
      <c r="E578">
        <v>0</v>
      </c>
      <c r="F578">
        <v>30.1</v>
      </c>
      <c r="G578">
        <v>0.14099999999999999</v>
      </c>
      <c r="H578">
        <v>22</v>
      </c>
      <c r="I578">
        <v>0</v>
      </c>
      <c r="K578">
        <f t="shared" si="64"/>
        <v>0.11764705882352941</v>
      </c>
      <c r="L578">
        <f t="shared" si="65"/>
        <v>0.46231155778894473</v>
      </c>
      <c r="M578">
        <f t="shared" si="66"/>
        <v>0.42622950819672129</v>
      </c>
      <c r="N578">
        <f t="shared" si="67"/>
        <v>0</v>
      </c>
      <c r="O578">
        <f t="shared" si="68"/>
        <v>0</v>
      </c>
      <c r="P578">
        <f t="shared" si="69"/>
        <v>0.44858420268256338</v>
      </c>
      <c r="Q578">
        <f t="shared" si="70"/>
        <v>2.6900085397096492E-2</v>
      </c>
      <c r="R578">
        <f t="shared" si="71"/>
        <v>1.6666666666666666E-2</v>
      </c>
    </row>
    <row r="579" spans="1:18" x14ac:dyDescent="0.3">
      <c r="A579">
        <v>3</v>
      </c>
      <c r="B579">
        <v>130</v>
      </c>
      <c r="C579">
        <v>78</v>
      </c>
      <c r="D579">
        <v>23</v>
      </c>
      <c r="E579">
        <v>79</v>
      </c>
      <c r="F579">
        <v>28.4</v>
      </c>
      <c r="G579">
        <v>0.32300000000000001</v>
      </c>
      <c r="H579">
        <v>34</v>
      </c>
      <c r="I579">
        <v>1</v>
      </c>
      <c r="K579">
        <f t="shared" ref="K579:K616" si="72">(A579-0)/(17-0)</f>
        <v>0.17647058823529413</v>
      </c>
      <c r="L579">
        <f t="shared" ref="L579:L616" si="73">(B579-0)/(199-0)</f>
        <v>0.65326633165829151</v>
      </c>
      <c r="M579">
        <f t="shared" ref="M579:M616" si="74">(C579-0)/(122-0)</f>
        <v>0.63934426229508201</v>
      </c>
      <c r="N579">
        <f t="shared" ref="N579:N616" si="75">(D579-0)/(99-0)</f>
        <v>0.23232323232323232</v>
      </c>
      <c r="O579">
        <f t="shared" ref="O579:O616" si="76">(E579-0)/(846-0)</f>
        <v>9.3380614657210398E-2</v>
      </c>
      <c r="P579">
        <f t="shared" ref="P579:P616" si="77">(F579-0)/(67.1-0)</f>
        <v>0.42324888226527574</v>
      </c>
      <c r="Q579">
        <f t="shared" ref="Q579:Q616" si="78">(G579-0.078)/(2.42-0.078)</f>
        <v>0.10461144321093083</v>
      </c>
      <c r="R579">
        <f t="shared" ref="R579:R616" si="79">(H579-21)/(81-21)</f>
        <v>0.21666666666666667</v>
      </c>
    </row>
    <row r="580" spans="1:18" x14ac:dyDescent="0.3">
      <c r="A580">
        <v>8</v>
      </c>
      <c r="B580">
        <v>120</v>
      </c>
      <c r="C580">
        <v>86</v>
      </c>
      <c r="D580">
        <v>0</v>
      </c>
      <c r="E580">
        <v>0</v>
      </c>
      <c r="F580">
        <v>28.4</v>
      </c>
      <c r="G580">
        <v>0.25900000000000001</v>
      </c>
      <c r="H580">
        <v>22</v>
      </c>
      <c r="I580">
        <v>1</v>
      </c>
      <c r="K580">
        <f t="shared" si="72"/>
        <v>0.47058823529411764</v>
      </c>
      <c r="L580">
        <f t="shared" si="73"/>
        <v>0.60301507537688437</v>
      </c>
      <c r="M580">
        <f t="shared" si="74"/>
        <v>0.70491803278688525</v>
      </c>
      <c r="N580">
        <f t="shared" si="75"/>
        <v>0</v>
      </c>
      <c r="O580">
        <f t="shared" si="76"/>
        <v>0</v>
      </c>
      <c r="P580">
        <f t="shared" si="77"/>
        <v>0.42324888226527574</v>
      </c>
      <c r="Q580">
        <f t="shared" si="78"/>
        <v>7.7284372331340723E-2</v>
      </c>
      <c r="R580">
        <f t="shared" si="79"/>
        <v>1.6666666666666666E-2</v>
      </c>
    </row>
    <row r="581" spans="1:18" x14ac:dyDescent="0.3">
      <c r="A581">
        <v>2</v>
      </c>
      <c r="B581">
        <v>174</v>
      </c>
      <c r="C581">
        <v>88</v>
      </c>
      <c r="D581">
        <v>37</v>
      </c>
      <c r="E581">
        <v>120</v>
      </c>
      <c r="F581">
        <v>44.5</v>
      </c>
      <c r="G581">
        <v>0.64600000000000002</v>
      </c>
      <c r="H581">
        <v>24</v>
      </c>
      <c r="I581">
        <v>1</v>
      </c>
      <c r="K581">
        <f t="shared" si="72"/>
        <v>0.11764705882352941</v>
      </c>
      <c r="L581">
        <f t="shared" si="73"/>
        <v>0.87437185929648242</v>
      </c>
      <c r="M581">
        <f t="shared" si="74"/>
        <v>0.72131147540983609</v>
      </c>
      <c r="N581">
        <f t="shared" si="75"/>
        <v>0.37373737373737376</v>
      </c>
      <c r="O581">
        <f t="shared" si="76"/>
        <v>0.14184397163120568</v>
      </c>
      <c r="P581">
        <f t="shared" si="77"/>
        <v>0.66318926974664683</v>
      </c>
      <c r="Q581">
        <f t="shared" si="78"/>
        <v>0.24252775405636209</v>
      </c>
      <c r="R581">
        <f t="shared" si="79"/>
        <v>0.05</v>
      </c>
    </row>
    <row r="582" spans="1:18" x14ac:dyDescent="0.3">
      <c r="A582">
        <v>2</v>
      </c>
      <c r="B582">
        <v>106</v>
      </c>
      <c r="C582">
        <v>56</v>
      </c>
      <c r="D582">
        <v>27</v>
      </c>
      <c r="E582">
        <v>165</v>
      </c>
      <c r="F582">
        <v>29</v>
      </c>
      <c r="G582">
        <v>0.42599999999999999</v>
      </c>
      <c r="H582">
        <v>22</v>
      </c>
      <c r="I582">
        <v>0</v>
      </c>
      <c r="K582">
        <f t="shared" si="72"/>
        <v>0.11764705882352941</v>
      </c>
      <c r="L582">
        <f t="shared" si="73"/>
        <v>0.53266331658291455</v>
      </c>
      <c r="M582">
        <f t="shared" si="74"/>
        <v>0.45901639344262296</v>
      </c>
      <c r="N582">
        <f t="shared" si="75"/>
        <v>0.27272727272727271</v>
      </c>
      <c r="O582">
        <f t="shared" si="76"/>
        <v>0.19503546099290781</v>
      </c>
      <c r="P582">
        <f t="shared" si="77"/>
        <v>0.43219076005961254</v>
      </c>
      <c r="Q582">
        <f t="shared" si="78"/>
        <v>0.14859094790777111</v>
      </c>
      <c r="R582">
        <f t="shared" si="79"/>
        <v>1.6666666666666666E-2</v>
      </c>
    </row>
    <row r="583" spans="1:18" x14ac:dyDescent="0.3">
      <c r="A583">
        <v>2</v>
      </c>
      <c r="B583">
        <v>105</v>
      </c>
      <c r="C583">
        <v>75</v>
      </c>
      <c r="D583">
        <v>0</v>
      </c>
      <c r="E583">
        <v>0</v>
      </c>
      <c r="F583">
        <v>23.3</v>
      </c>
      <c r="G583">
        <v>0.56000000000000005</v>
      </c>
      <c r="H583">
        <v>53</v>
      </c>
      <c r="I583">
        <v>0</v>
      </c>
      <c r="K583">
        <f t="shared" si="72"/>
        <v>0.11764705882352941</v>
      </c>
      <c r="L583">
        <f t="shared" si="73"/>
        <v>0.52763819095477382</v>
      </c>
      <c r="M583">
        <f t="shared" si="74"/>
        <v>0.61475409836065575</v>
      </c>
      <c r="N583">
        <f t="shared" si="75"/>
        <v>0</v>
      </c>
      <c r="O583">
        <f t="shared" si="76"/>
        <v>0</v>
      </c>
      <c r="P583">
        <f t="shared" si="77"/>
        <v>0.34724292101341286</v>
      </c>
      <c r="Q583">
        <f t="shared" si="78"/>
        <v>0.20580700256191289</v>
      </c>
      <c r="R583">
        <f t="shared" si="79"/>
        <v>0.53333333333333333</v>
      </c>
    </row>
    <row r="584" spans="1:18" x14ac:dyDescent="0.3">
      <c r="A584">
        <v>4</v>
      </c>
      <c r="B584">
        <v>95</v>
      </c>
      <c r="C584">
        <v>60</v>
      </c>
      <c r="D584">
        <v>32</v>
      </c>
      <c r="E584">
        <v>0</v>
      </c>
      <c r="F584">
        <v>35.4</v>
      </c>
      <c r="G584">
        <v>0.28399999999999997</v>
      </c>
      <c r="H584">
        <v>28</v>
      </c>
      <c r="I584">
        <v>0</v>
      </c>
      <c r="K584">
        <f t="shared" si="72"/>
        <v>0.23529411764705882</v>
      </c>
      <c r="L584">
        <f t="shared" si="73"/>
        <v>0.47738693467336685</v>
      </c>
      <c r="M584">
        <f t="shared" si="74"/>
        <v>0.49180327868852458</v>
      </c>
      <c r="N584">
        <f t="shared" si="75"/>
        <v>0.32323232323232326</v>
      </c>
      <c r="O584">
        <f t="shared" si="76"/>
        <v>0</v>
      </c>
      <c r="P584">
        <f t="shared" si="77"/>
        <v>0.5275707898658718</v>
      </c>
      <c r="Q584">
        <f t="shared" si="78"/>
        <v>8.7959009393680593E-2</v>
      </c>
      <c r="R584">
        <f t="shared" si="79"/>
        <v>0.11666666666666667</v>
      </c>
    </row>
    <row r="585" spans="1:18" x14ac:dyDescent="0.3">
      <c r="A585">
        <v>0</v>
      </c>
      <c r="B585">
        <v>126</v>
      </c>
      <c r="C585">
        <v>86</v>
      </c>
      <c r="D585">
        <v>27</v>
      </c>
      <c r="E585">
        <v>120</v>
      </c>
      <c r="F585">
        <v>27.4</v>
      </c>
      <c r="G585">
        <v>0.51500000000000001</v>
      </c>
      <c r="H585">
        <v>21</v>
      </c>
      <c r="I585">
        <v>0</v>
      </c>
      <c r="K585">
        <f t="shared" si="72"/>
        <v>0</v>
      </c>
      <c r="L585">
        <f t="shared" si="73"/>
        <v>0.63316582914572861</v>
      </c>
      <c r="M585">
        <f t="shared" si="74"/>
        <v>0.70491803278688525</v>
      </c>
      <c r="N585">
        <f t="shared" si="75"/>
        <v>0.27272727272727271</v>
      </c>
      <c r="O585">
        <f t="shared" si="76"/>
        <v>0.14184397163120568</v>
      </c>
      <c r="P585">
        <f t="shared" si="77"/>
        <v>0.40834575260804773</v>
      </c>
      <c r="Q585">
        <f t="shared" si="78"/>
        <v>0.18659265584970111</v>
      </c>
      <c r="R585">
        <f t="shared" si="79"/>
        <v>0</v>
      </c>
    </row>
    <row r="586" spans="1:18" x14ac:dyDescent="0.3">
      <c r="A586">
        <v>8</v>
      </c>
      <c r="B586">
        <v>65</v>
      </c>
      <c r="C586">
        <v>72</v>
      </c>
      <c r="D586">
        <v>23</v>
      </c>
      <c r="E586">
        <v>0</v>
      </c>
      <c r="F586">
        <v>32</v>
      </c>
      <c r="G586">
        <v>0.6</v>
      </c>
      <c r="H586">
        <v>42</v>
      </c>
      <c r="I586">
        <v>0</v>
      </c>
      <c r="K586">
        <f t="shared" si="72"/>
        <v>0.47058823529411764</v>
      </c>
      <c r="L586">
        <f t="shared" si="73"/>
        <v>0.32663316582914576</v>
      </c>
      <c r="M586">
        <f t="shared" si="74"/>
        <v>0.5901639344262295</v>
      </c>
      <c r="N586">
        <f t="shared" si="75"/>
        <v>0.23232323232323232</v>
      </c>
      <c r="O586">
        <f t="shared" si="76"/>
        <v>0</v>
      </c>
      <c r="P586">
        <f t="shared" si="77"/>
        <v>0.47690014903129663</v>
      </c>
      <c r="Q586">
        <f t="shared" si="78"/>
        <v>0.22288642186165669</v>
      </c>
      <c r="R586">
        <f t="shared" si="79"/>
        <v>0.35</v>
      </c>
    </row>
    <row r="587" spans="1:18" x14ac:dyDescent="0.3">
      <c r="A587">
        <v>2</v>
      </c>
      <c r="B587">
        <v>99</v>
      </c>
      <c r="C587">
        <v>60</v>
      </c>
      <c r="D587">
        <v>17</v>
      </c>
      <c r="E587">
        <v>160</v>
      </c>
      <c r="F587">
        <v>36.6</v>
      </c>
      <c r="G587">
        <v>0.45300000000000001</v>
      </c>
      <c r="H587">
        <v>21</v>
      </c>
      <c r="I587">
        <v>0</v>
      </c>
      <c r="K587">
        <f t="shared" si="72"/>
        <v>0.11764705882352941</v>
      </c>
      <c r="L587">
        <f t="shared" si="73"/>
        <v>0.49748743718592964</v>
      </c>
      <c r="M587">
        <f t="shared" si="74"/>
        <v>0.49180327868852458</v>
      </c>
      <c r="N587">
        <f t="shared" si="75"/>
        <v>0.17171717171717171</v>
      </c>
      <c r="O587">
        <f t="shared" si="76"/>
        <v>0.18912529550827423</v>
      </c>
      <c r="P587">
        <f t="shared" si="77"/>
        <v>0.54545454545454553</v>
      </c>
      <c r="Q587">
        <f t="shared" si="78"/>
        <v>0.16011955593509819</v>
      </c>
      <c r="R587">
        <f t="shared" si="79"/>
        <v>0</v>
      </c>
    </row>
    <row r="588" spans="1:18" x14ac:dyDescent="0.3">
      <c r="A588">
        <v>1</v>
      </c>
      <c r="B588">
        <v>102</v>
      </c>
      <c r="C588">
        <v>74</v>
      </c>
      <c r="D588">
        <v>0</v>
      </c>
      <c r="E588">
        <v>0</v>
      </c>
      <c r="F588">
        <v>39.5</v>
      </c>
      <c r="G588">
        <v>0.29299999999999998</v>
      </c>
      <c r="H588">
        <v>42</v>
      </c>
      <c r="I588">
        <v>1</v>
      </c>
      <c r="K588">
        <f t="shared" si="72"/>
        <v>5.8823529411764705E-2</v>
      </c>
      <c r="L588">
        <f t="shared" si="73"/>
        <v>0.51256281407035176</v>
      </c>
      <c r="M588">
        <f t="shared" si="74"/>
        <v>0.60655737704918034</v>
      </c>
      <c r="N588">
        <f t="shared" si="75"/>
        <v>0</v>
      </c>
      <c r="O588">
        <f t="shared" si="76"/>
        <v>0</v>
      </c>
      <c r="P588">
        <f t="shared" si="77"/>
        <v>0.58867362146050672</v>
      </c>
      <c r="Q588">
        <f t="shared" si="78"/>
        <v>9.1801878736122958E-2</v>
      </c>
      <c r="R588">
        <f t="shared" si="79"/>
        <v>0.35</v>
      </c>
    </row>
    <row r="589" spans="1:18" x14ac:dyDescent="0.3">
      <c r="A589">
        <v>11</v>
      </c>
      <c r="B589">
        <v>120</v>
      </c>
      <c r="C589">
        <v>80</v>
      </c>
      <c r="D589">
        <v>37</v>
      </c>
      <c r="E589">
        <v>150</v>
      </c>
      <c r="F589">
        <v>42.3</v>
      </c>
      <c r="G589">
        <v>0.78500000000000003</v>
      </c>
      <c r="H589">
        <v>48</v>
      </c>
      <c r="I589">
        <v>1</v>
      </c>
      <c r="K589">
        <f t="shared" si="72"/>
        <v>0.6470588235294118</v>
      </c>
      <c r="L589">
        <f t="shared" si="73"/>
        <v>0.60301507537688437</v>
      </c>
      <c r="M589">
        <f t="shared" si="74"/>
        <v>0.65573770491803274</v>
      </c>
      <c r="N589">
        <f t="shared" si="75"/>
        <v>0.37373737373737376</v>
      </c>
      <c r="O589">
        <f t="shared" si="76"/>
        <v>0.1773049645390071</v>
      </c>
      <c r="P589">
        <f t="shared" si="77"/>
        <v>0.63040238450074515</v>
      </c>
      <c r="Q589">
        <f t="shared" si="78"/>
        <v>0.30187873612297184</v>
      </c>
      <c r="R589">
        <f t="shared" si="79"/>
        <v>0.45</v>
      </c>
    </row>
    <row r="590" spans="1:18" x14ac:dyDescent="0.3">
      <c r="A590">
        <v>3</v>
      </c>
      <c r="B590">
        <v>102</v>
      </c>
      <c r="C590">
        <v>44</v>
      </c>
      <c r="D590">
        <v>20</v>
      </c>
      <c r="E590">
        <v>94</v>
      </c>
      <c r="F590">
        <v>30.8</v>
      </c>
      <c r="G590">
        <v>0.4</v>
      </c>
      <c r="H590">
        <v>26</v>
      </c>
      <c r="I590">
        <v>0</v>
      </c>
      <c r="K590">
        <f t="shared" si="72"/>
        <v>0.17647058823529413</v>
      </c>
      <c r="L590">
        <f t="shared" si="73"/>
        <v>0.51256281407035176</v>
      </c>
      <c r="M590">
        <f t="shared" si="74"/>
        <v>0.36065573770491804</v>
      </c>
      <c r="N590">
        <f t="shared" si="75"/>
        <v>0.20202020202020202</v>
      </c>
      <c r="O590">
        <f t="shared" si="76"/>
        <v>0.1111111111111111</v>
      </c>
      <c r="P590">
        <f t="shared" si="77"/>
        <v>0.45901639344262302</v>
      </c>
      <c r="Q590">
        <f t="shared" si="78"/>
        <v>0.13748932536293765</v>
      </c>
      <c r="R590">
        <f t="shared" si="79"/>
        <v>8.3333333333333329E-2</v>
      </c>
    </row>
    <row r="591" spans="1:18" x14ac:dyDescent="0.3">
      <c r="A591">
        <v>1</v>
      </c>
      <c r="B591">
        <v>109</v>
      </c>
      <c r="C591">
        <v>58</v>
      </c>
      <c r="D591">
        <v>18</v>
      </c>
      <c r="E591">
        <v>116</v>
      </c>
      <c r="F591">
        <v>28.5</v>
      </c>
      <c r="G591">
        <v>0.219</v>
      </c>
      <c r="H591">
        <v>22</v>
      </c>
      <c r="I591">
        <v>0</v>
      </c>
      <c r="K591">
        <f t="shared" si="72"/>
        <v>5.8823529411764705E-2</v>
      </c>
      <c r="L591">
        <f t="shared" si="73"/>
        <v>0.54773869346733672</v>
      </c>
      <c r="M591">
        <f t="shared" si="74"/>
        <v>0.47540983606557374</v>
      </c>
      <c r="N591">
        <f t="shared" si="75"/>
        <v>0.18181818181818182</v>
      </c>
      <c r="O591">
        <f t="shared" si="76"/>
        <v>0.13711583924349882</v>
      </c>
      <c r="P591">
        <f t="shared" si="77"/>
        <v>0.42473919523099857</v>
      </c>
      <c r="Q591">
        <f t="shared" si="78"/>
        <v>6.0204953031596932E-2</v>
      </c>
      <c r="R591">
        <f t="shared" si="79"/>
        <v>1.6666666666666666E-2</v>
      </c>
    </row>
    <row r="592" spans="1:18" x14ac:dyDescent="0.3">
      <c r="A592">
        <v>9</v>
      </c>
      <c r="B592">
        <v>140</v>
      </c>
      <c r="C592">
        <v>94</v>
      </c>
      <c r="D592">
        <v>0</v>
      </c>
      <c r="E592">
        <v>0</v>
      </c>
      <c r="F592">
        <v>32.700000000000003</v>
      </c>
      <c r="G592">
        <v>0.73399999999999999</v>
      </c>
      <c r="H592">
        <v>45</v>
      </c>
      <c r="I592">
        <v>1</v>
      </c>
      <c r="K592">
        <f t="shared" si="72"/>
        <v>0.52941176470588236</v>
      </c>
      <c r="L592">
        <f t="shared" si="73"/>
        <v>0.70351758793969854</v>
      </c>
      <c r="M592">
        <f t="shared" si="74"/>
        <v>0.77049180327868849</v>
      </c>
      <c r="N592">
        <f t="shared" si="75"/>
        <v>0</v>
      </c>
      <c r="O592">
        <f t="shared" si="76"/>
        <v>0</v>
      </c>
      <c r="P592">
        <f t="shared" si="77"/>
        <v>0.48733233979135626</v>
      </c>
      <c r="Q592">
        <f t="shared" si="78"/>
        <v>0.28010247651579845</v>
      </c>
      <c r="R592">
        <f t="shared" si="79"/>
        <v>0.4</v>
      </c>
    </row>
    <row r="593" spans="1:18" x14ac:dyDescent="0.3">
      <c r="A593">
        <v>13</v>
      </c>
      <c r="B593">
        <v>153</v>
      </c>
      <c r="C593">
        <v>88</v>
      </c>
      <c r="D593">
        <v>37</v>
      </c>
      <c r="E593">
        <v>140</v>
      </c>
      <c r="F593">
        <v>40.6</v>
      </c>
      <c r="G593">
        <v>1.1739999999999999</v>
      </c>
      <c r="H593">
        <v>39</v>
      </c>
      <c r="I593">
        <v>0</v>
      </c>
      <c r="K593">
        <f t="shared" si="72"/>
        <v>0.76470588235294112</v>
      </c>
      <c r="L593">
        <f t="shared" si="73"/>
        <v>0.76884422110552764</v>
      </c>
      <c r="M593">
        <f t="shared" si="74"/>
        <v>0.72131147540983609</v>
      </c>
      <c r="N593">
        <f t="shared" si="75"/>
        <v>0.37373737373737376</v>
      </c>
      <c r="O593">
        <f t="shared" si="76"/>
        <v>0.16548463356973994</v>
      </c>
      <c r="P593">
        <f t="shared" si="77"/>
        <v>0.60506706408345756</v>
      </c>
      <c r="Q593">
        <f t="shared" si="78"/>
        <v>0.46797608881298031</v>
      </c>
      <c r="R593">
        <f t="shared" si="79"/>
        <v>0.3</v>
      </c>
    </row>
    <row r="594" spans="1:18" x14ac:dyDescent="0.3">
      <c r="A594">
        <v>12</v>
      </c>
      <c r="B594">
        <v>100</v>
      </c>
      <c r="C594">
        <v>84</v>
      </c>
      <c r="D594">
        <v>33</v>
      </c>
      <c r="E594">
        <v>105</v>
      </c>
      <c r="F594">
        <v>30</v>
      </c>
      <c r="G594">
        <v>0.48799999999999999</v>
      </c>
      <c r="H594">
        <v>46</v>
      </c>
      <c r="I594">
        <v>0</v>
      </c>
      <c r="K594">
        <f t="shared" si="72"/>
        <v>0.70588235294117652</v>
      </c>
      <c r="L594">
        <f t="shared" si="73"/>
        <v>0.50251256281407031</v>
      </c>
      <c r="M594">
        <f t="shared" si="74"/>
        <v>0.68852459016393441</v>
      </c>
      <c r="N594">
        <f t="shared" si="75"/>
        <v>0.33333333333333331</v>
      </c>
      <c r="O594">
        <f t="shared" si="76"/>
        <v>0.12411347517730496</v>
      </c>
      <c r="P594">
        <f t="shared" si="77"/>
        <v>0.44709388971684055</v>
      </c>
      <c r="Q594">
        <f t="shared" si="78"/>
        <v>0.17506404782237403</v>
      </c>
      <c r="R594">
        <f t="shared" si="79"/>
        <v>0.41666666666666669</v>
      </c>
    </row>
    <row r="595" spans="1:18" x14ac:dyDescent="0.3">
      <c r="A595">
        <v>1</v>
      </c>
      <c r="B595">
        <v>147</v>
      </c>
      <c r="C595">
        <v>94</v>
      </c>
      <c r="D595">
        <v>41</v>
      </c>
      <c r="E595">
        <v>0</v>
      </c>
      <c r="F595">
        <v>49.3</v>
      </c>
      <c r="G595">
        <v>0.35799999999999998</v>
      </c>
      <c r="H595">
        <v>27</v>
      </c>
      <c r="I595">
        <v>1</v>
      </c>
      <c r="K595">
        <f t="shared" si="72"/>
        <v>5.8823529411764705E-2</v>
      </c>
      <c r="L595">
        <f t="shared" si="73"/>
        <v>0.7386934673366834</v>
      </c>
      <c r="M595">
        <f t="shared" si="74"/>
        <v>0.77049180327868849</v>
      </c>
      <c r="N595">
        <f t="shared" si="75"/>
        <v>0.41414141414141414</v>
      </c>
      <c r="O595">
        <f t="shared" si="76"/>
        <v>0</v>
      </c>
      <c r="P595">
        <f t="shared" si="77"/>
        <v>0.73472429210134127</v>
      </c>
      <c r="Q595">
        <f t="shared" si="78"/>
        <v>0.11955593509820664</v>
      </c>
      <c r="R595">
        <f t="shared" si="79"/>
        <v>0.1</v>
      </c>
    </row>
    <row r="596" spans="1:18" x14ac:dyDescent="0.3">
      <c r="A596">
        <v>1</v>
      </c>
      <c r="B596">
        <v>81</v>
      </c>
      <c r="C596">
        <v>74</v>
      </c>
      <c r="D596">
        <v>41</v>
      </c>
      <c r="E596">
        <v>57</v>
      </c>
      <c r="F596">
        <v>46.3</v>
      </c>
      <c r="G596">
        <v>1.0960000000000001</v>
      </c>
      <c r="H596">
        <v>32</v>
      </c>
      <c r="I596">
        <v>0</v>
      </c>
      <c r="K596">
        <f t="shared" si="72"/>
        <v>5.8823529411764705E-2</v>
      </c>
      <c r="L596">
        <f t="shared" si="73"/>
        <v>0.40703517587939697</v>
      </c>
      <c r="M596">
        <f t="shared" si="74"/>
        <v>0.60655737704918034</v>
      </c>
      <c r="N596">
        <f t="shared" si="75"/>
        <v>0.41414141414141414</v>
      </c>
      <c r="O596">
        <f t="shared" si="76"/>
        <v>6.7375886524822695E-2</v>
      </c>
      <c r="P596">
        <f t="shared" si="77"/>
        <v>0.6900149031296573</v>
      </c>
      <c r="Q596">
        <f t="shared" si="78"/>
        <v>0.43467122117847995</v>
      </c>
      <c r="R596">
        <f t="shared" si="79"/>
        <v>0.18333333333333332</v>
      </c>
    </row>
    <row r="597" spans="1:18" x14ac:dyDescent="0.3">
      <c r="A597">
        <v>3</v>
      </c>
      <c r="B597">
        <v>187</v>
      </c>
      <c r="C597">
        <v>70</v>
      </c>
      <c r="D597">
        <v>22</v>
      </c>
      <c r="E597">
        <v>200</v>
      </c>
      <c r="F597">
        <v>36.4</v>
      </c>
      <c r="G597">
        <v>0.40799999999999997</v>
      </c>
      <c r="H597">
        <v>36</v>
      </c>
      <c r="I597">
        <v>1</v>
      </c>
      <c r="K597">
        <f t="shared" si="72"/>
        <v>0.17647058823529413</v>
      </c>
      <c r="L597">
        <f t="shared" si="73"/>
        <v>0.93969849246231152</v>
      </c>
      <c r="M597">
        <f t="shared" si="74"/>
        <v>0.57377049180327866</v>
      </c>
      <c r="N597">
        <f t="shared" si="75"/>
        <v>0.22222222222222221</v>
      </c>
      <c r="O597">
        <f t="shared" si="76"/>
        <v>0.2364066193853428</v>
      </c>
      <c r="P597">
        <f t="shared" si="77"/>
        <v>0.54247391952309987</v>
      </c>
      <c r="Q597">
        <f t="shared" si="78"/>
        <v>0.14090520922288641</v>
      </c>
      <c r="R597">
        <f t="shared" si="79"/>
        <v>0.25</v>
      </c>
    </row>
    <row r="598" spans="1:18" x14ac:dyDescent="0.3">
      <c r="A598">
        <v>6</v>
      </c>
      <c r="B598">
        <v>162</v>
      </c>
      <c r="C598">
        <v>62</v>
      </c>
      <c r="D598">
        <v>0</v>
      </c>
      <c r="E598">
        <v>0</v>
      </c>
      <c r="F598">
        <v>24.3</v>
      </c>
      <c r="G598">
        <v>0.17799999999999999</v>
      </c>
      <c r="H598">
        <v>50</v>
      </c>
      <c r="I598">
        <v>1</v>
      </c>
      <c r="K598">
        <f t="shared" si="72"/>
        <v>0.35294117647058826</v>
      </c>
      <c r="L598">
        <f t="shared" si="73"/>
        <v>0.81407035175879394</v>
      </c>
      <c r="M598">
        <f t="shared" si="74"/>
        <v>0.50819672131147542</v>
      </c>
      <c r="N598">
        <f t="shared" si="75"/>
        <v>0</v>
      </c>
      <c r="O598">
        <f t="shared" si="76"/>
        <v>0</v>
      </c>
      <c r="P598">
        <f t="shared" si="77"/>
        <v>0.36214605067064087</v>
      </c>
      <c r="Q598">
        <f t="shared" si="78"/>
        <v>4.2698548249359515E-2</v>
      </c>
      <c r="R598">
        <f t="shared" si="79"/>
        <v>0.48333333333333334</v>
      </c>
    </row>
    <row r="599" spans="1:18" x14ac:dyDescent="0.3">
      <c r="A599">
        <v>4</v>
      </c>
      <c r="B599">
        <v>136</v>
      </c>
      <c r="C599">
        <v>70</v>
      </c>
      <c r="D599">
        <v>0</v>
      </c>
      <c r="E599">
        <v>0</v>
      </c>
      <c r="F599">
        <v>31.2</v>
      </c>
      <c r="G599">
        <v>1.1819999999999999</v>
      </c>
      <c r="H599">
        <v>22</v>
      </c>
      <c r="I599">
        <v>1</v>
      </c>
      <c r="K599">
        <f t="shared" si="72"/>
        <v>0.23529411764705882</v>
      </c>
      <c r="L599">
        <f t="shared" si="73"/>
        <v>0.68341708542713564</v>
      </c>
      <c r="M599">
        <f t="shared" si="74"/>
        <v>0.57377049180327866</v>
      </c>
      <c r="N599">
        <f t="shared" si="75"/>
        <v>0</v>
      </c>
      <c r="O599">
        <f t="shared" si="76"/>
        <v>0</v>
      </c>
      <c r="P599">
        <f t="shared" si="77"/>
        <v>0.46497764530551416</v>
      </c>
      <c r="Q599">
        <f t="shared" si="78"/>
        <v>0.47139197267292904</v>
      </c>
      <c r="R599">
        <f t="shared" si="79"/>
        <v>1.6666666666666666E-2</v>
      </c>
    </row>
    <row r="600" spans="1:18" x14ac:dyDescent="0.3">
      <c r="A600">
        <v>1</v>
      </c>
      <c r="B600">
        <v>121</v>
      </c>
      <c r="C600">
        <v>78</v>
      </c>
      <c r="D600">
        <v>39</v>
      </c>
      <c r="E600">
        <v>74</v>
      </c>
      <c r="F600">
        <v>39</v>
      </c>
      <c r="G600">
        <v>0.26100000000000001</v>
      </c>
      <c r="H600">
        <v>28</v>
      </c>
      <c r="I600">
        <v>0</v>
      </c>
      <c r="K600">
        <f t="shared" si="72"/>
        <v>5.8823529411764705E-2</v>
      </c>
      <c r="L600">
        <f t="shared" si="73"/>
        <v>0.60804020100502509</v>
      </c>
      <c r="M600">
        <f t="shared" si="74"/>
        <v>0.63934426229508201</v>
      </c>
      <c r="N600">
        <f t="shared" si="75"/>
        <v>0.39393939393939392</v>
      </c>
      <c r="O600">
        <f t="shared" si="76"/>
        <v>8.7470449172576833E-2</v>
      </c>
      <c r="P600">
        <f t="shared" si="77"/>
        <v>0.58122205663189275</v>
      </c>
      <c r="Q600">
        <f t="shared" si="78"/>
        <v>7.813834329632792E-2</v>
      </c>
      <c r="R600">
        <f t="shared" si="79"/>
        <v>0.11666666666666667</v>
      </c>
    </row>
    <row r="601" spans="1:18" x14ac:dyDescent="0.3">
      <c r="A601">
        <v>3</v>
      </c>
      <c r="B601">
        <v>108</v>
      </c>
      <c r="C601">
        <v>62</v>
      </c>
      <c r="D601">
        <v>24</v>
      </c>
      <c r="E601">
        <v>0</v>
      </c>
      <c r="F601">
        <v>26</v>
      </c>
      <c r="G601">
        <v>0.223</v>
      </c>
      <c r="H601">
        <v>25</v>
      </c>
      <c r="I601">
        <v>0</v>
      </c>
      <c r="K601">
        <f t="shared" si="72"/>
        <v>0.17647058823529413</v>
      </c>
      <c r="L601">
        <f t="shared" si="73"/>
        <v>0.542713567839196</v>
      </c>
      <c r="M601">
        <f t="shared" si="74"/>
        <v>0.50819672131147542</v>
      </c>
      <c r="N601">
        <f t="shared" si="75"/>
        <v>0.24242424242424243</v>
      </c>
      <c r="O601">
        <f t="shared" si="76"/>
        <v>0</v>
      </c>
      <c r="P601">
        <f t="shared" si="77"/>
        <v>0.38748137108792852</v>
      </c>
      <c r="Q601">
        <f t="shared" si="78"/>
        <v>6.1912894961571312E-2</v>
      </c>
      <c r="R601">
        <f t="shared" si="79"/>
        <v>6.6666666666666666E-2</v>
      </c>
    </row>
    <row r="602" spans="1:18" x14ac:dyDescent="0.3">
      <c r="A602">
        <v>0</v>
      </c>
      <c r="B602">
        <v>181</v>
      </c>
      <c r="C602">
        <v>88</v>
      </c>
      <c r="D602">
        <v>44</v>
      </c>
      <c r="E602">
        <v>510</v>
      </c>
      <c r="F602">
        <v>43.3</v>
      </c>
      <c r="G602">
        <v>0.222</v>
      </c>
      <c r="H602">
        <v>26</v>
      </c>
      <c r="I602">
        <v>1</v>
      </c>
      <c r="K602">
        <f t="shared" si="72"/>
        <v>0</v>
      </c>
      <c r="L602">
        <f t="shared" si="73"/>
        <v>0.90954773869346739</v>
      </c>
      <c r="M602">
        <f t="shared" si="74"/>
        <v>0.72131147540983609</v>
      </c>
      <c r="N602">
        <f t="shared" si="75"/>
        <v>0.44444444444444442</v>
      </c>
      <c r="O602">
        <f t="shared" si="76"/>
        <v>0.6028368794326241</v>
      </c>
      <c r="P602">
        <f t="shared" si="77"/>
        <v>0.64530551415797321</v>
      </c>
      <c r="Q602">
        <f t="shared" si="78"/>
        <v>6.1485909479077713E-2</v>
      </c>
      <c r="R602">
        <f t="shared" si="79"/>
        <v>8.3333333333333329E-2</v>
      </c>
    </row>
    <row r="603" spans="1:18" x14ac:dyDescent="0.3">
      <c r="A603">
        <v>8</v>
      </c>
      <c r="B603">
        <v>154</v>
      </c>
      <c r="C603">
        <v>78</v>
      </c>
      <c r="D603">
        <v>32</v>
      </c>
      <c r="E603">
        <v>0</v>
      </c>
      <c r="F603">
        <v>32.4</v>
      </c>
      <c r="G603">
        <v>0.443</v>
      </c>
      <c r="H603">
        <v>45</v>
      </c>
      <c r="I603">
        <v>1</v>
      </c>
      <c r="K603">
        <f t="shared" si="72"/>
        <v>0.47058823529411764</v>
      </c>
      <c r="L603">
        <f t="shared" si="73"/>
        <v>0.77386934673366836</v>
      </c>
      <c r="M603">
        <f t="shared" si="74"/>
        <v>0.63934426229508201</v>
      </c>
      <c r="N603">
        <f t="shared" si="75"/>
        <v>0.32323232323232326</v>
      </c>
      <c r="O603">
        <f t="shared" si="76"/>
        <v>0</v>
      </c>
      <c r="P603">
        <f t="shared" si="77"/>
        <v>0.48286140089418778</v>
      </c>
      <c r="Q603">
        <f t="shared" si="78"/>
        <v>0.15584970111016225</v>
      </c>
      <c r="R603">
        <f t="shared" si="79"/>
        <v>0.4</v>
      </c>
    </row>
    <row r="604" spans="1:18" x14ac:dyDescent="0.3">
      <c r="A604">
        <v>1</v>
      </c>
      <c r="B604">
        <v>128</v>
      </c>
      <c r="C604">
        <v>88</v>
      </c>
      <c r="D604">
        <v>39</v>
      </c>
      <c r="E604">
        <v>110</v>
      </c>
      <c r="F604">
        <v>36.5</v>
      </c>
      <c r="G604">
        <v>1.0569999999999999</v>
      </c>
      <c r="H604">
        <v>37</v>
      </c>
      <c r="I604">
        <v>1</v>
      </c>
      <c r="K604">
        <f t="shared" si="72"/>
        <v>5.8823529411764705E-2</v>
      </c>
      <c r="L604">
        <f t="shared" si="73"/>
        <v>0.64321608040201006</v>
      </c>
      <c r="M604">
        <f t="shared" si="74"/>
        <v>0.72131147540983609</v>
      </c>
      <c r="N604">
        <f t="shared" si="75"/>
        <v>0.39393939393939392</v>
      </c>
      <c r="O604">
        <f t="shared" si="76"/>
        <v>0.13002364066193853</v>
      </c>
      <c r="P604">
        <f t="shared" si="77"/>
        <v>0.54396423248882275</v>
      </c>
      <c r="Q604">
        <f t="shared" si="78"/>
        <v>0.41801878736122972</v>
      </c>
      <c r="R604">
        <f t="shared" si="79"/>
        <v>0.26666666666666666</v>
      </c>
    </row>
    <row r="605" spans="1:18" x14ac:dyDescent="0.3">
      <c r="A605">
        <v>7</v>
      </c>
      <c r="B605">
        <v>137</v>
      </c>
      <c r="C605">
        <v>90</v>
      </c>
      <c r="D605">
        <v>41</v>
      </c>
      <c r="E605">
        <v>0</v>
      </c>
      <c r="F605">
        <v>32</v>
      </c>
      <c r="G605">
        <v>0.39100000000000001</v>
      </c>
      <c r="H605">
        <v>39</v>
      </c>
      <c r="I605">
        <v>0</v>
      </c>
      <c r="K605">
        <f t="shared" si="72"/>
        <v>0.41176470588235292</v>
      </c>
      <c r="L605">
        <f t="shared" si="73"/>
        <v>0.68844221105527637</v>
      </c>
      <c r="M605">
        <f t="shared" si="74"/>
        <v>0.73770491803278693</v>
      </c>
      <c r="N605">
        <f t="shared" si="75"/>
        <v>0.41414141414141414</v>
      </c>
      <c r="O605">
        <f t="shared" si="76"/>
        <v>0</v>
      </c>
      <c r="P605">
        <f t="shared" si="77"/>
        <v>0.47690014903129663</v>
      </c>
      <c r="Q605">
        <f t="shared" si="78"/>
        <v>0.1336464560204953</v>
      </c>
      <c r="R605">
        <f t="shared" si="79"/>
        <v>0.3</v>
      </c>
    </row>
    <row r="606" spans="1:18" x14ac:dyDescent="0.3">
      <c r="A606">
        <v>0</v>
      </c>
      <c r="B606">
        <v>123</v>
      </c>
      <c r="C606">
        <v>72</v>
      </c>
      <c r="D606">
        <v>0</v>
      </c>
      <c r="E606">
        <v>0</v>
      </c>
      <c r="F606">
        <v>36.299999999999997</v>
      </c>
      <c r="G606">
        <v>0.25800000000000001</v>
      </c>
      <c r="H606">
        <v>52</v>
      </c>
      <c r="I606">
        <v>1</v>
      </c>
      <c r="K606">
        <f t="shared" si="72"/>
        <v>0</v>
      </c>
      <c r="L606">
        <f t="shared" si="73"/>
        <v>0.61809045226130654</v>
      </c>
      <c r="M606">
        <f t="shared" si="74"/>
        <v>0.5901639344262295</v>
      </c>
      <c r="N606">
        <f t="shared" si="75"/>
        <v>0</v>
      </c>
      <c r="O606">
        <f t="shared" si="76"/>
        <v>0</v>
      </c>
      <c r="P606">
        <f t="shared" si="77"/>
        <v>0.54098360655737709</v>
      </c>
      <c r="Q606">
        <f t="shared" si="78"/>
        <v>7.6857386848847131E-2</v>
      </c>
      <c r="R606">
        <f t="shared" si="79"/>
        <v>0.51666666666666672</v>
      </c>
    </row>
    <row r="607" spans="1:18" x14ac:dyDescent="0.3">
      <c r="A607">
        <v>1</v>
      </c>
      <c r="B607">
        <v>106</v>
      </c>
      <c r="C607">
        <v>76</v>
      </c>
      <c r="D607">
        <v>0</v>
      </c>
      <c r="E607">
        <v>0</v>
      </c>
      <c r="F607">
        <v>37.5</v>
      </c>
      <c r="G607">
        <v>0.19700000000000001</v>
      </c>
      <c r="H607">
        <v>26</v>
      </c>
      <c r="I607">
        <v>0</v>
      </c>
      <c r="K607">
        <f t="shared" si="72"/>
        <v>5.8823529411764705E-2</v>
      </c>
      <c r="L607">
        <f t="shared" si="73"/>
        <v>0.53266331658291455</v>
      </c>
      <c r="M607">
        <f t="shared" si="74"/>
        <v>0.62295081967213117</v>
      </c>
      <c r="N607">
        <f t="shared" si="75"/>
        <v>0</v>
      </c>
      <c r="O607">
        <f t="shared" si="76"/>
        <v>0</v>
      </c>
      <c r="P607">
        <f t="shared" si="77"/>
        <v>0.55886736214605071</v>
      </c>
      <c r="Q607">
        <f t="shared" si="78"/>
        <v>5.0811272416737829E-2</v>
      </c>
      <c r="R607">
        <f t="shared" si="79"/>
        <v>8.3333333333333329E-2</v>
      </c>
    </row>
    <row r="608" spans="1:18" x14ac:dyDescent="0.3">
      <c r="A608">
        <v>6</v>
      </c>
      <c r="B608">
        <v>190</v>
      </c>
      <c r="C608">
        <v>92</v>
      </c>
      <c r="D608">
        <v>0</v>
      </c>
      <c r="E608">
        <v>0</v>
      </c>
      <c r="F608">
        <v>35.5</v>
      </c>
      <c r="G608">
        <v>0.27800000000000002</v>
      </c>
      <c r="H608">
        <v>66</v>
      </c>
      <c r="I608">
        <v>1</v>
      </c>
      <c r="K608">
        <f t="shared" si="72"/>
        <v>0.35294117647058826</v>
      </c>
      <c r="L608">
        <f t="shared" si="73"/>
        <v>0.95477386934673369</v>
      </c>
      <c r="M608">
        <f t="shared" si="74"/>
        <v>0.75409836065573765</v>
      </c>
      <c r="N608">
        <f t="shared" si="75"/>
        <v>0</v>
      </c>
      <c r="O608">
        <f t="shared" si="76"/>
        <v>0</v>
      </c>
      <c r="P608">
        <f t="shared" si="77"/>
        <v>0.52906110283159469</v>
      </c>
      <c r="Q608">
        <f t="shared" si="78"/>
        <v>8.5397096498719044E-2</v>
      </c>
      <c r="R608">
        <f t="shared" si="79"/>
        <v>0.75</v>
      </c>
    </row>
    <row r="609" spans="1:18" x14ac:dyDescent="0.3">
      <c r="A609">
        <v>2</v>
      </c>
      <c r="B609">
        <v>88</v>
      </c>
      <c r="C609">
        <v>58</v>
      </c>
      <c r="D609">
        <v>26</v>
      </c>
      <c r="E609">
        <v>16</v>
      </c>
      <c r="F609">
        <v>28.4</v>
      </c>
      <c r="G609">
        <v>0.76600000000000001</v>
      </c>
      <c r="H609">
        <v>22</v>
      </c>
      <c r="I609">
        <v>0</v>
      </c>
      <c r="K609">
        <f t="shared" si="72"/>
        <v>0.11764705882352941</v>
      </c>
      <c r="L609">
        <f t="shared" si="73"/>
        <v>0.44221105527638194</v>
      </c>
      <c r="M609">
        <f t="shared" si="74"/>
        <v>0.47540983606557374</v>
      </c>
      <c r="N609">
        <f t="shared" si="75"/>
        <v>0.26262626262626265</v>
      </c>
      <c r="O609">
        <f t="shared" si="76"/>
        <v>1.8912529550827423E-2</v>
      </c>
      <c r="P609">
        <f t="shared" si="77"/>
        <v>0.42324888226527574</v>
      </c>
      <c r="Q609">
        <f t="shared" si="78"/>
        <v>0.29376601195559354</v>
      </c>
      <c r="R609">
        <f t="shared" si="79"/>
        <v>1.6666666666666666E-2</v>
      </c>
    </row>
    <row r="610" spans="1:18" x14ac:dyDescent="0.3">
      <c r="A610">
        <v>9</v>
      </c>
      <c r="B610">
        <v>170</v>
      </c>
      <c r="C610">
        <v>74</v>
      </c>
      <c r="D610">
        <v>31</v>
      </c>
      <c r="E610">
        <v>0</v>
      </c>
      <c r="F610">
        <v>44</v>
      </c>
      <c r="G610">
        <v>0.40300000000000002</v>
      </c>
      <c r="H610">
        <v>43</v>
      </c>
      <c r="I610">
        <v>1</v>
      </c>
      <c r="K610">
        <f t="shared" si="72"/>
        <v>0.52941176470588236</v>
      </c>
      <c r="L610">
        <f t="shared" si="73"/>
        <v>0.85427135678391963</v>
      </c>
      <c r="M610">
        <f t="shared" si="74"/>
        <v>0.60655737704918034</v>
      </c>
      <c r="N610">
        <f t="shared" si="75"/>
        <v>0.31313131313131315</v>
      </c>
      <c r="O610">
        <f t="shared" si="76"/>
        <v>0</v>
      </c>
      <c r="P610">
        <f t="shared" si="77"/>
        <v>0.65573770491803285</v>
      </c>
      <c r="Q610">
        <f t="shared" si="78"/>
        <v>0.13877028181041845</v>
      </c>
      <c r="R610">
        <f t="shared" si="79"/>
        <v>0.36666666666666664</v>
      </c>
    </row>
    <row r="611" spans="1:18" x14ac:dyDescent="0.3">
      <c r="A611">
        <v>9</v>
      </c>
      <c r="B611">
        <v>89</v>
      </c>
      <c r="C611">
        <v>62</v>
      </c>
      <c r="D611">
        <v>0</v>
      </c>
      <c r="E611">
        <v>0</v>
      </c>
      <c r="F611">
        <v>22.5</v>
      </c>
      <c r="G611">
        <v>0.14199999999999999</v>
      </c>
      <c r="H611">
        <v>33</v>
      </c>
      <c r="I611">
        <v>0</v>
      </c>
      <c r="K611">
        <f t="shared" si="72"/>
        <v>0.52941176470588236</v>
      </c>
      <c r="L611">
        <f t="shared" si="73"/>
        <v>0.44723618090452261</v>
      </c>
      <c r="M611">
        <f t="shared" si="74"/>
        <v>0.50819672131147542</v>
      </c>
      <c r="N611">
        <f t="shared" si="75"/>
        <v>0</v>
      </c>
      <c r="O611">
        <f t="shared" si="76"/>
        <v>0</v>
      </c>
      <c r="P611">
        <f t="shared" si="77"/>
        <v>0.33532041728763046</v>
      </c>
      <c r="Q611">
        <f t="shared" si="78"/>
        <v>2.7327070879590087E-2</v>
      </c>
      <c r="R611">
        <f t="shared" si="79"/>
        <v>0.2</v>
      </c>
    </row>
    <row r="612" spans="1:18" x14ac:dyDescent="0.3">
      <c r="A612">
        <v>10</v>
      </c>
      <c r="B612">
        <v>101</v>
      </c>
      <c r="C612">
        <v>76</v>
      </c>
      <c r="D612">
        <v>48</v>
      </c>
      <c r="E612">
        <v>180</v>
      </c>
      <c r="F612">
        <v>32.9</v>
      </c>
      <c r="G612">
        <v>0.17100000000000001</v>
      </c>
      <c r="H612">
        <v>63</v>
      </c>
      <c r="I612">
        <v>0</v>
      </c>
      <c r="K612">
        <f t="shared" si="72"/>
        <v>0.58823529411764708</v>
      </c>
      <c r="L612">
        <f t="shared" si="73"/>
        <v>0.50753768844221103</v>
      </c>
      <c r="M612">
        <f t="shared" si="74"/>
        <v>0.62295081967213117</v>
      </c>
      <c r="N612">
        <f t="shared" si="75"/>
        <v>0.48484848484848486</v>
      </c>
      <c r="O612">
        <f t="shared" si="76"/>
        <v>0.21276595744680851</v>
      </c>
      <c r="P612">
        <f t="shared" si="77"/>
        <v>0.49031296572280181</v>
      </c>
      <c r="Q612">
        <f t="shared" si="78"/>
        <v>3.9709649871904361E-2</v>
      </c>
      <c r="R612">
        <f t="shared" si="79"/>
        <v>0.7</v>
      </c>
    </row>
    <row r="613" spans="1:18" x14ac:dyDescent="0.3">
      <c r="A613">
        <v>2</v>
      </c>
      <c r="B613">
        <v>122</v>
      </c>
      <c r="C613">
        <v>70</v>
      </c>
      <c r="D613">
        <v>27</v>
      </c>
      <c r="E613">
        <v>0</v>
      </c>
      <c r="F613">
        <v>36.799999999999997</v>
      </c>
      <c r="G613">
        <v>0.34</v>
      </c>
      <c r="H613">
        <v>27</v>
      </c>
      <c r="I613">
        <v>0</v>
      </c>
      <c r="K613">
        <f t="shared" si="72"/>
        <v>0.11764705882352941</v>
      </c>
      <c r="L613">
        <f t="shared" si="73"/>
        <v>0.61306532663316582</v>
      </c>
      <c r="M613">
        <f t="shared" si="74"/>
        <v>0.57377049180327866</v>
      </c>
      <c r="N613">
        <f t="shared" si="75"/>
        <v>0.27272727272727271</v>
      </c>
      <c r="O613">
        <f t="shared" si="76"/>
        <v>0</v>
      </c>
      <c r="P613">
        <f t="shared" si="77"/>
        <v>0.54843517138599107</v>
      </c>
      <c r="Q613">
        <f t="shared" si="78"/>
        <v>0.11187019641332195</v>
      </c>
      <c r="R613">
        <f t="shared" si="79"/>
        <v>0.1</v>
      </c>
    </row>
    <row r="614" spans="1:18" x14ac:dyDescent="0.3">
      <c r="A614">
        <v>5</v>
      </c>
      <c r="B614">
        <v>121</v>
      </c>
      <c r="C614">
        <v>72</v>
      </c>
      <c r="D614">
        <v>23</v>
      </c>
      <c r="E614">
        <v>112</v>
      </c>
      <c r="F614">
        <v>26.2</v>
      </c>
      <c r="G614">
        <v>0.245</v>
      </c>
      <c r="H614">
        <v>30</v>
      </c>
      <c r="I614">
        <v>0</v>
      </c>
      <c r="K614">
        <f t="shared" si="72"/>
        <v>0.29411764705882354</v>
      </c>
      <c r="L614">
        <f t="shared" si="73"/>
        <v>0.60804020100502509</v>
      </c>
      <c r="M614">
        <f t="shared" si="74"/>
        <v>0.5901639344262295</v>
      </c>
      <c r="N614">
        <f t="shared" si="75"/>
        <v>0.23232323232323232</v>
      </c>
      <c r="O614">
        <f t="shared" si="76"/>
        <v>0.13238770685579196</v>
      </c>
      <c r="P614">
        <f t="shared" si="77"/>
        <v>0.39046199701937412</v>
      </c>
      <c r="Q614">
        <f t="shared" si="78"/>
        <v>7.1306575576430387E-2</v>
      </c>
      <c r="R614">
        <f t="shared" si="79"/>
        <v>0.15</v>
      </c>
    </row>
    <row r="615" spans="1:18" x14ac:dyDescent="0.3">
      <c r="A615">
        <v>1</v>
      </c>
      <c r="B615">
        <v>126</v>
      </c>
      <c r="C615">
        <v>60</v>
      </c>
      <c r="D615">
        <v>0</v>
      </c>
      <c r="E615">
        <v>0</v>
      </c>
      <c r="F615">
        <v>30.1</v>
      </c>
      <c r="G615">
        <v>0.34899999999999998</v>
      </c>
      <c r="H615">
        <v>47</v>
      </c>
      <c r="I615">
        <v>1</v>
      </c>
      <c r="K615">
        <f t="shared" si="72"/>
        <v>5.8823529411764705E-2</v>
      </c>
      <c r="L615">
        <f t="shared" si="73"/>
        <v>0.63316582914572861</v>
      </c>
      <c r="M615">
        <f t="shared" si="74"/>
        <v>0.49180327868852458</v>
      </c>
      <c r="N615">
        <f t="shared" si="75"/>
        <v>0</v>
      </c>
      <c r="O615">
        <f t="shared" si="76"/>
        <v>0</v>
      </c>
      <c r="P615">
        <f t="shared" si="77"/>
        <v>0.44858420268256338</v>
      </c>
      <c r="Q615">
        <f t="shared" si="78"/>
        <v>0.11571306575576429</v>
      </c>
      <c r="R615">
        <f t="shared" si="79"/>
        <v>0.43333333333333335</v>
      </c>
    </row>
    <row r="616" spans="1:18" x14ac:dyDescent="0.3">
      <c r="A616">
        <v>1</v>
      </c>
      <c r="B616">
        <v>93</v>
      </c>
      <c r="C616">
        <v>70</v>
      </c>
      <c r="D616">
        <v>31</v>
      </c>
      <c r="E616">
        <v>0</v>
      </c>
      <c r="F616">
        <v>30.4</v>
      </c>
      <c r="G616">
        <v>0.315</v>
      </c>
      <c r="H616">
        <v>23</v>
      </c>
      <c r="I616">
        <v>0</v>
      </c>
      <c r="K616">
        <f t="shared" si="72"/>
        <v>5.8823529411764705E-2</v>
      </c>
      <c r="L616">
        <f t="shared" si="73"/>
        <v>0.46733668341708545</v>
      </c>
      <c r="M616">
        <f t="shared" si="74"/>
        <v>0.57377049180327866</v>
      </c>
      <c r="N616">
        <f t="shared" si="75"/>
        <v>0.31313131313131315</v>
      </c>
      <c r="O616">
        <f t="shared" si="76"/>
        <v>0</v>
      </c>
      <c r="P616">
        <f t="shared" si="77"/>
        <v>0.45305514157973176</v>
      </c>
      <c r="Q616">
        <f t="shared" si="78"/>
        <v>0.10119555935098205</v>
      </c>
      <c r="R616">
        <f t="shared" si="79"/>
        <v>3.3333333333333333E-2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diabetes</vt:lpstr>
      <vt:lpstr>Testing</vt:lpstr>
      <vt:lpstr>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spectree</dc:creator>
  <cp:lastModifiedBy>spectree</cp:lastModifiedBy>
  <dcterms:created xsi:type="dcterms:W3CDTF">2026-04-18T15:36:47Z</dcterms:created>
  <dcterms:modified xsi:type="dcterms:W3CDTF">2026-06-06T13:47:09Z</dcterms:modified>
</cp:coreProperties>
</file>