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N\S6\DATAMINING\UTS\"/>
    </mc:Choice>
  </mc:AlternateContent>
  <xr:revisionPtr revIDLastSave="0" documentId="13_ncr:1_{E2ACE09C-1F60-4EA0-BD67-CCC3B3704CF1}" xr6:coauthVersionLast="47" xr6:coauthVersionMax="47" xr10:uidLastSave="{00000000-0000-0000-0000-000000000000}"/>
  <bookViews>
    <workbookView xWindow="-108" yWindow="-108" windowWidth="23256" windowHeight="12456" activeTab="2" xr2:uid="{94136C95-3E4A-4921-A704-D97E8B53B813}"/>
  </bookViews>
  <sheets>
    <sheet name="PRE-procesing" sheetId="1" r:id="rId1"/>
    <sheet name="TRAINING" sheetId="2" r:id="rId2"/>
    <sheet name="TESTING" sheetId="3" r:id="rId3"/>
  </sheets>
  <definedNames>
    <definedName name="_xlnm._FilterDatabase" localSheetId="2" hidden="1">TESTING!$K$1:$AG$154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2" i="3" l="1"/>
  <c r="K2" i="3" l="1"/>
  <c r="L3" i="1"/>
  <c r="O4" i="2"/>
  <c r="O3" i="2"/>
  <c r="O2" i="1"/>
  <c r="AA2" i="3" l="1"/>
  <c r="O8" i="2" l="1" a="1"/>
  <c r="O8" i="2" s="1"/>
  <c r="L15" i="1"/>
  <c r="L14" i="1"/>
  <c r="L13" i="1"/>
  <c r="L12" i="1"/>
  <c r="L11" i="1"/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Z2" i="3"/>
  <c r="Y2" i="3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X2" i="3"/>
  <c r="W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V2" i="3"/>
  <c r="U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AB26" i="3" s="1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AB50" i="3" s="1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AB74" i="3" s="1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AB98" i="3" s="1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AB122" i="3" s="1"/>
  <c r="T123" i="3"/>
  <c r="T124" i="3"/>
  <c r="T125" i="3"/>
  <c r="T126" i="3"/>
  <c r="T127" i="3"/>
  <c r="T128" i="3"/>
  <c r="T129" i="3"/>
  <c r="T130" i="3"/>
  <c r="T131" i="3"/>
  <c r="T132" i="3"/>
  <c r="T133" i="3"/>
  <c r="T134" i="3"/>
  <c r="AB134" i="3" s="1"/>
  <c r="T135" i="3"/>
  <c r="T136" i="3"/>
  <c r="T137" i="3"/>
  <c r="T138" i="3"/>
  <c r="T139" i="3"/>
  <c r="T140" i="3"/>
  <c r="T141" i="3"/>
  <c r="T142" i="3"/>
  <c r="T143" i="3"/>
  <c r="T144" i="3"/>
  <c r="T145" i="3"/>
  <c r="T146" i="3"/>
  <c r="AB146" i="3" s="1"/>
  <c r="T147" i="3"/>
  <c r="T148" i="3"/>
  <c r="T149" i="3"/>
  <c r="T150" i="3"/>
  <c r="T151" i="3"/>
  <c r="T152" i="3"/>
  <c r="T153" i="3"/>
  <c r="T154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T2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P154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R2" i="3"/>
  <c r="Q2" i="3"/>
  <c r="P2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N2" i="3"/>
  <c r="M2" i="3"/>
  <c r="L2" i="3"/>
  <c r="AB2" i="3" s="1"/>
  <c r="P9" i="2" a="1"/>
  <c r="P9" i="2"/>
  <c r="Q9" i="2" a="1"/>
  <c r="Q9" i="2" s="1"/>
  <c r="R9" i="2" a="1"/>
  <c r="R9" i="2" s="1"/>
  <c r="S9" i="2" a="1"/>
  <c r="S9" i="2" s="1"/>
  <c r="T9" i="2" a="1"/>
  <c r="T9" i="2" s="1"/>
  <c r="U9" i="2" a="1"/>
  <c r="U9" i="2" s="1"/>
  <c r="V9" i="2" a="1"/>
  <c r="V9" i="2"/>
  <c r="P8" i="2" a="1"/>
  <c r="P8" i="2"/>
  <c r="Q8" i="2" a="1"/>
  <c r="Q8" i="2" s="1"/>
  <c r="R8" i="2" a="1"/>
  <c r="R8" i="2" s="1"/>
  <c r="S8" i="2" a="1"/>
  <c r="S8" i="2" s="1"/>
  <c r="T8" i="2" a="1"/>
  <c r="T8" i="2" s="1"/>
  <c r="U8" i="2" a="1"/>
  <c r="U8" i="2" s="1"/>
  <c r="V8" i="2" a="1"/>
  <c r="V8" i="2"/>
  <c r="O9" i="2" a="1"/>
  <c r="O9" i="2" s="1"/>
  <c r="P4" i="2"/>
  <c r="Q4" i="2"/>
  <c r="R4" i="2"/>
  <c r="S4" i="2"/>
  <c r="T4" i="2"/>
  <c r="U4" i="2"/>
  <c r="V4" i="2"/>
  <c r="P3" i="2"/>
  <c r="Q3" i="2"/>
  <c r="R3" i="2"/>
  <c r="S3" i="2"/>
  <c r="T3" i="2"/>
  <c r="U3" i="2"/>
  <c r="V3" i="2"/>
  <c r="L2" i="2"/>
  <c r="AA138" i="3" l="1"/>
  <c r="AA114" i="3"/>
  <c r="AA90" i="3"/>
  <c r="AA78" i="3"/>
  <c r="AA66" i="3"/>
  <c r="AA18" i="3"/>
  <c r="AA42" i="3"/>
  <c r="AA144" i="3"/>
  <c r="AA120" i="3"/>
  <c r="AA96" i="3"/>
  <c r="AA72" i="3"/>
  <c r="AA48" i="3"/>
  <c r="AA36" i="3"/>
  <c r="AA12" i="3"/>
  <c r="AB152" i="3"/>
  <c r="AB140" i="3"/>
  <c r="AB128" i="3"/>
  <c r="AB116" i="3"/>
  <c r="AB104" i="3"/>
  <c r="AB92" i="3"/>
  <c r="AB80" i="3"/>
  <c r="AB68" i="3"/>
  <c r="AB56" i="3"/>
  <c r="AB44" i="3"/>
  <c r="AB32" i="3"/>
  <c r="AB20" i="3"/>
  <c r="AB8" i="3"/>
  <c r="AA143" i="3"/>
  <c r="AA131" i="3"/>
  <c r="AA119" i="3"/>
  <c r="AA107" i="3"/>
  <c r="AA95" i="3"/>
  <c r="AA83" i="3"/>
  <c r="AA71" i="3"/>
  <c r="AA59" i="3"/>
  <c r="AA47" i="3"/>
  <c r="AA35" i="3"/>
  <c r="AA23" i="3"/>
  <c r="AA11" i="3"/>
  <c r="AB151" i="3"/>
  <c r="AB139" i="3"/>
  <c r="AB127" i="3"/>
  <c r="AB115" i="3"/>
  <c r="AB103" i="3"/>
  <c r="AB91" i="3"/>
  <c r="AB79" i="3"/>
  <c r="AB67" i="3"/>
  <c r="AA132" i="3"/>
  <c r="AC132" i="3" s="1"/>
  <c r="AG132" i="3" s="1"/>
  <c r="AA108" i="3"/>
  <c r="AA84" i="3"/>
  <c r="AA60" i="3"/>
  <c r="AA24" i="3"/>
  <c r="AA4" i="3"/>
  <c r="AA74" i="3"/>
  <c r="AC74" i="3" s="1"/>
  <c r="AA128" i="3"/>
  <c r="AA92" i="3"/>
  <c r="AA44" i="3"/>
  <c r="AA8" i="3"/>
  <c r="AB154" i="3"/>
  <c r="AB133" i="3"/>
  <c r="AA152" i="3"/>
  <c r="AA116" i="3"/>
  <c r="AA80" i="3"/>
  <c r="AA56" i="3"/>
  <c r="AA20" i="3"/>
  <c r="AC20" i="3" s="1"/>
  <c r="AG20" i="3" s="1"/>
  <c r="AA5" i="3"/>
  <c r="AA140" i="3"/>
  <c r="AA104" i="3"/>
  <c r="AA68" i="3"/>
  <c r="AA32" i="3"/>
  <c r="AB132" i="3"/>
  <c r="AA77" i="3"/>
  <c r="AA124" i="3"/>
  <c r="AB84" i="3"/>
  <c r="AA98" i="3"/>
  <c r="AC98" i="3" s="1"/>
  <c r="AG98" i="3" s="1"/>
  <c r="AB37" i="3"/>
  <c r="AA76" i="3"/>
  <c r="AA125" i="3"/>
  <c r="AB85" i="3"/>
  <c r="AB36" i="3"/>
  <c r="AB112" i="3"/>
  <c r="AB76" i="3"/>
  <c r="AB52" i="3"/>
  <c r="AB28" i="3"/>
  <c r="AA101" i="3"/>
  <c r="AB108" i="3"/>
  <c r="AC108" i="3" s="1"/>
  <c r="AG108" i="3" s="1"/>
  <c r="AB12" i="3"/>
  <c r="AA135" i="3"/>
  <c r="AA99" i="3"/>
  <c r="AA75" i="3"/>
  <c r="AA39" i="3"/>
  <c r="AA15" i="3"/>
  <c r="AB143" i="3"/>
  <c r="AB119" i="3"/>
  <c r="AB95" i="3"/>
  <c r="AB71" i="3"/>
  <c r="AC71" i="3" s="1"/>
  <c r="AB47" i="3"/>
  <c r="AB23" i="3"/>
  <c r="AB118" i="3"/>
  <c r="AB82" i="3"/>
  <c r="AB58" i="3"/>
  <c r="AB34" i="3"/>
  <c r="AB10" i="3"/>
  <c r="AA146" i="3"/>
  <c r="AC146" i="3" s="1"/>
  <c r="AG146" i="3" s="1"/>
  <c r="AA50" i="3"/>
  <c r="AC50" i="3" s="1"/>
  <c r="AG50" i="3" s="1"/>
  <c r="AA6" i="3"/>
  <c r="AB38" i="3"/>
  <c r="AA149" i="3"/>
  <c r="AA53" i="3"/>
  <c r="AB100" i="3"/>
  <c r="AB88" i="3"/>
  <c r="AB64" i="3"/>
  <c r="AB40" i="3"/>
  <c r="AB16" i="3"/>
  <c r="AA29" i="3"/>
  <c r="AA100" i="3"/>
  <c r="AA28" i="3"/>
  <c r="AA147" i="3"/>
  <c r="AA123" i="3"/>
  <c r="AA111" i="3"/>
  <c r="AA87" i="3"/>
  <c r="AA63" i="3"/>
  <c r="AA51" i="3"/>
  <c r="AA27" i="3"/>
  <c r="AA3" i="3"/>
  <c r="AB131" i="3"/>
  <c r="AB107" i="3"/>
  <c r="AB83" i="3"/>
  <c r="AB59" i="3"/>
  <c r="AB35" i="3"/>
  <c r="AB11" i="3"/>
  <c r="AB142" i="3"/>
  <c r="AB130" i="3"/>
  <c r="AB106" i="3"/>
  <c r="AB94" i="3"/>
  <c r="AB70" i="3"/>
  <c r="AB46" i="3"/>
  <c r="AB22" i="3"/>
  <c r="AA122" i="3"/>
  <c r="AC122" i="3" s="1"/>
  <c r="AG122" i="3" s="1"/>
  <c r="AA26" i="3"/>
  <c r="AC26" i="3" s="1"/>
  <c r="AG26" i="3" s="1"/>
  <c r="AA150" i="3"/>
  <c r="AA126" i="3"/>
  <c r="AA54" i="3"/>
  <c r="AB62" i="3"/>
  <c r="AB109" i="3"/>
  <c r="AB61" i="3"/>
  <c r="AB13" i="3"/>
  <c r="AA148" i="3"/>
  <c r="AA52" i="3"/>
  <c r="AB60" i="3"/>
  <c r="AB4" i="3"/>
  <c r="AB148" i="3"/>
  <c r="AB136" i="3"/>
  <c r="AB124" i="3"/>
  <c r="AA102" i="3"/>
  <c r="AA30" i="3"/>
  <c r="AB86" i="3"/>
  <c r="AA145" i="3"/>
  <c r="AA133" i="3"/>
  <c r="AA121" i="3"/>
  <c r="AA109" i="3"/>
  <c r="AA97" i="3"/>
  <c r="AA85" i="3"/>
  <c r="AA73" i="3"/>
  <c r="AA61" i="3"/>
  <c r="AA49" i="3"/>
  <c r="AA37" i="3"/>
  <c r="AA25" i="3"/>
  <c r="AA13" i="3"/>
  <c r="AB153" i="3"/>
  <c r="AB141" i="3"/>
  <c r="AB129" i="3"/>
  <c r="AB117" i="3"/>
  <c r="AB105" i="3"/>
  <c r="AB93" i="3"/>
  <c r="AB81" i="3"/>
  <c r="AB69" i="3"/>
  <c r="AB57" i="3"/>
  <c r="AB45" i="3"/>
  <c r="AB33" i="3"/>
  <c r="AB21" i="3"/>
  <c r="AB9" i="3"/>
  <c r="AC2" i="3"/>
  <c r="AB110" i="3"/>
  <c r="AB14" i="3"/>
  <c r="AA33" i="3"/>
  <c r="AA21" i="3"/>
  <c r="AA9" i="3"/>
  <c r="AB149" i="3"/>
  <c r="AB137" i="3"/>
  <c r="AB125" i="3"/>
  <c r="AB113" i="3"/>
  <c r="AB101" i="3"/>
  <c r="AB89" i="3"/>
  <c r="AB77" i="3"/>
  <c r="AB65" i="3"/>
  <c r="AB53" i="3"/>
  <c r="AB41" i="3"/>
  <c r="AB29" i="3"/>
  <c r="AB17" i="3"/>
  <c r="AB5" i="3"/>
  <c r="AB55" i="3"/>
  <c r="AB43" i="3"/>
  <c r="AB31" i="3"/>
  <c r="AB19" i="3"/>
  <c r="AB7" i="3"/>
  <c r="AA137" i="3"/>
  <c r="AA113" i="3"/>
  <c r="AA89" i="3"/>
  <c r="AA65" i="3"/>
  <c r="AA41" i="3"/>
  <c r="AA17" i="3"/>
  <c r="AB145" i="3"/>
  <c r="AB121" i="3"/>
  <c r="AB97" i="3"/>
  <c r="AB73" i="3"/>
  <c r="AB49" i="3"/>
  <c r="AB25" i="3"/>
  <c r="AA154" i="3"/>
  <c r="AA142" i="3"/>
  <c r="AA130" i="3"/>
  <c r="AA118" i="3"/>
  <c r="AA106" i="3"/>
  <c r="AA94" i="3"/>
  <c r="AA82" i="3"/>
  <c r="AA70" i="3"/>
  <c r="AA58" i="3"/>
  <c r="AA46" i="3"/>
  <c r="AA34" i="3"/>
  <c r="AA22" i="3"/>
  <c r="AA10" i="3"/>
  <c r="AB150" i="3"/>
  <c r="AB138" i="3"/>
  <c r="AC138" i="3" s="1"/>
  <c r="AG138" i="3" s="1"/>
  <c r="AB126" i="3"/>
  <c r="AB114" i="3"/>
  <c r="AC114" i="3" s="1"/>
  <c r="AG114" i="3" s="1"/>
  <c r="AB102" i="3"/>
  <c r="AB90" i="3"/>
  <c r="AC90" i="3" s="1"/>
  <c r="AG90" i="3" s="1"/>
  <c r="AB78" i="3"/>
  <c r="AC78" i="3" s="1"/>
  <c r="AG78" i="3" s="1"/>
  <c r="AB66" i="3"/>
  <c r="AC66" i="3" s="1"/>
  <c r="AB54" i="3"/>
  <c r="AB42" i="3"/>
  <c r="AB30" i="3"/>
  <c r="AB18" i="3"/>
  <c r="AC18" i="3" s="1"/>
  <c r="AG18" i="3" s="1"/>
  <c r="AB6" i="3"/>
  <c r="AA136" i="3"/>
  <c r="AA112" i="3"/>
  <c r="AA88" i="3"/>
  <c r="AA64" i="3"/>
  <c r="AA40" i="3"/>
  <c r="AA16" i="3"/>
  <c r="AB144" i="3"/>
  <c r="AB120" i="3"/>
  <c r="AB96" i="3"/>
  <c r="AB72" i="3"/>
  <c r="AB48" i="3"/>
  <c r="AB24" i="3"/>
  <c r="AA153" i="3"/>
  <c r="AA141" i="3"/>
  <c r="AA129" i="3"/>
  <c r="AA117" i="3"/>
  <c r="AA105" i="3"/>
  <c r="AA93" i="3"/>
  <c r="AA81" i="3"/>
  <c r="AA69" i="3"/>
  <c r="AA57" i="3"/>
  <c r="AA45" i="3"/>
  <c r="AA134" i="3"/>
  <c r="AC134" i="3" s="1"/>
  <c r="AG134" i="3" s="1"/>
  <c r="AA110" i="3"/>
  <c r="AA86" i="3"/>
  <c r="AA62" i="3"/>
  <c r="AA38" i="3"/>
  <c r="AA14" i="3"/>
  <c r="AA151" i="3"/>
  <c r="AA127" i="3"/>
  <c r="AA103" i="3"/>
  <c r="AA91" i="3"/>
  <c r="AA55" i="3"/>
  <c r="AA31" i="3"/>
  <c r="AA7" i="3"/>
  <c r="AB135" i="3"/>
  <c r="AB111" i="3"/>
  <c r="AB87" i="3"/>
  <c r="AB63" i="3"/>
  <c r="AB39" i="3"/>
  <c r="AB15" i="3"/>
  <c r="AD78" i="3"/>
  <c r="AA139" i="3"/>
  <c r="AA115" i="3"/>
  <c r="AA79" i="3"/>
  <c r="AA67" i="3"/>
  <c r="AA43" i="3"/>
  <c r="AA19" i="3"/>
  <c r="AB147" i="3"/>
  <c r="AB123" i="3"/>
  <c r="AB99" i="3"/>
  <c r="AB75" i="3"/>
  <c r="AB51" i="3"/>
  <c r="AB27" i="3"/>
  <c r="AB3" i="3"/>
  <c r="S3" i="1"/>
  <c r="S4" i="1"/>
  <c r="S5" i="1"/>
  <c r="S6" i="1"/>
  <c r="S7" i="1"/>
  <c r="S8" i="1"/>
  <c r="S9" i="1"/>
  <c r="S10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2" i="1"/>
  <c r="S53" i="1"/>
  <c r="S54" i="1"/>
  <c r="S55" i="1"/>
  <c r="S56" i="1"/>
  <c r="S57" i="1"/>
  <c r="S58" i="1"/>
  <c r="S59" i="1"/>
  <c r="S60" i="1"/>
  <c r="S61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2" i="1"/>
  <c r="AC56" i="3" l="1"/>
  <c r="AG56" i="3" s="1"/>
  <c r="AC42" i="3"/>
  <c r="AG42" i="3" s="1"/>
  <c r="AC47" i="3"/>
  <c r="AG47" i="3" s="1"/>
  <c r="AC12" i="3"/>
  <c r="AG12" i="3" s="1"/>
  <c r="AC8" i="3"/>
  <c r="AG8" i="3" s="1"/>
  <c r="AC152" i="3"/>
  <c r="AG152" i="3" s="1"/>
  <c r="AC32" i="3"/>
  <c r="AG32" i="3" s="1"/>
  <c r="AC40" i="3"/>
  <c r="AG40" i="3" s="1"/>
  <c r="AC64" i="3"/>
  <c r="AG64" i="3" s="1"/>
  <c r="AD71" i="3"/>
  <c r="AG71" i="3"/>
  <c r="AC84" i="3"/>
  <c r="AG84" i="3" s="1"/>
  <c r="AC23" i="3"/>
  <c r="AG23" i="3" s="1"/>
  <c r="AD66" i="3"/>
  <c r="AG66" i="3"/>
  <c r="AD74" i="3"/>
  <c r="AG74" i="3"/>
  <c r="AC88" i="3"/>
  <c r="AG88" i="3" s="1"/>
  <c r="AC100" i="3"/>
  <c r="AG100" i="3" s="1"/>
  <c r="AC92" i="3"/>
  <c r="AC128" i="3"/>
  <c r="AG128" i="3" s="1"/>
  <c r="AC5" i="3"/>
  <c r="AG5" i="3" s="1"/>
  <c r="AC68" i="3"/>
  <c r="AC44" i="3"/>
  <c r="AG44" i="3" s="1"/>
  <c r="AC10" i="3"/>
  <c r="AC13" i="3"/>
  <c r="AG13" i="3" s="1"/>
  <c r="AC124" i="3"/>
  <c r="AC59" i="3"/>
  <c r="AC29" i="3"/>
  <c r="AC103" i="3"/>
  <c r="AG103" i="3" s="1"/>
  <c r="AC144" i="3"/>
  <c r="AG144" i="3" s="1"/>
  <c r="AC15" i="3"/>
  <c r="AG15" i="3" s="1"/>
  <c r="AC112" i="3"/>
  <c r="AC104" i="3"/>
  <c r="AC91" i="3"/>
  <c r="AC120" i="3"/>
  <c r="AC80" i="3"/>
  <c r="AC95" i="3"/>
  <c r="AG95" i="3" s="1"/>
  <c r="AC83" i="3"/>
  <c r="AC79" i="3"/>
  <c r="AC6" i="3"/>
  <c r="AC46" i="3"/>
  <c r="AC17" i="3"/>
  <c r="AG17" i="3" s="1"/>
  <c r="AC89" i="3"/>
  <c r="AG89" i="3" s="1"/>
  <c r="AC7" i="3"/>
  <c r="AC82" i="3"/>
  <c r="AC35" i="3"/>
  <c r="AC24" i="3"/>
  <c r="AG24" i="3" s="1"/>
  <c r="AC148" i="3"/>
  <c r="AC28" i="3"/>
  <c r="AC48" i="3"/>
  <c r="AG48" i="3" s="1"/>
  <c r="AC77" i="3"/>
  <c r="AC139" i="3"/>
  <c r="AG139" i="3" s="1"/>
  <c r="AC72" i="3"/>
  <c r="AG72" i="3" s="1"/>
  <c r="AC133" i="3"/>
  <c r="AC140" i="3"/>
  <c r="AC11" i="3"/>
  <c r="AC154" i="3"/>
  <c r="AC121" i="3"/>
  <c r="AC3" i="3"/>
  <c r="AC96" i="3"/>
  <c r="AC9" i="3"/>
  <c r="AC115" i="3"/>
  <c r="AC101" i="3"/>
  <c r="AC116" i="3"/>
  <c r="AG116" i="3" s="1"/>
  <c r="AC86" i="3"/>
  <c r="AG86" i="3" s="1"/>
  <c r="AC127" i="3"/>
  <c r="AG127" i="3" s="1"/>
  <c r="AC60" i="3"/>
  <c r="AG60" i="3" s="1"/>
  <c r="AC4" i="3"/>
  <c r="AC151" i="3"/>
  <c r="AC107" i="3"/>
  <c r="AG107" i="3" s="1"/>
  <c r="AC119" i="3"/>
  <c r="AC19" i="3"/>
  <c r="AC131" i="3"/>
  <c r="AG131" i="3" s="1"/>
  <c r="AC143" i="3"/>
  <c r="AG143" i="3" s="1"/>
  <c r="AC43" i="3"/>
  <c r="AC67" i="3"/>
  <c r="AG67" i="3" s="1"/>
  <c r="AC41" i="3"/>
  <c r="AG41" i="3" s="1"/>
  <c r="AC85" i="3"/>
  <c r="AG85" i="3" s="1"/>
  <c r="AC36" i="3"/>
  <c r="AC110" i="3"/>
  <c r="AG110" i="3" s="1"/>
  <c r="AC58" i="3"/>
  <c r="AG58" i="3" s="1"/>
  <c r="AC149" i="3"/>
  <c r="AC70" i="3"/>
  <c r="AG70" i="3" s="1"/>
  <c r="AC130" i="3"/>
  <c r="AC52" i="3"/>
  <c r="AG52" i="3" s="1"/>
  <c r="AC76" i="3"/>
  <c r="AC38" i="3"/>
  <c r="AC16" i="3"/>
  <c r="AD98" i="3"/>
  <c r="AD50" i="3"/>
  <c r="AC109" i="3"/>
  <c r="AG109" i="3" s="1"/>
  <c r="AD132" i="3"/>
  <c r="AC87" i="3"/>
  <c r="AG87" i="3" s="1"/>
  <c r="AC37" i="3"/>
  <c r="AG37" i="3" s="1"/>
  <c r="AC54" i="3"/>
  <c r="AC125" i="3"/>
  <c r="AG125" i="3" s="1"/>
  <c r="AC63" i="3"/>
  <c r="AC51" i="3"/>
  <c r="AG51" i="3" s="1"/>
  <c r="AC111" i="3"/>
  <c r="AG111" i="3" s="1"/>
  <c r="AC94" i="3"/>
  <c r="AG94" i="3" s="1"/>
  <c r="AC73" i="3"/>
  <c r="AG73" i="3" s="1"/>
  <c r="AC39" i="3"/>
  <c r="AG39" i="3" s="1"/>
  <c r="AC27" i="3"/>
  <c r="AG27" i="3" s="1"/>
  <c r="AC145" i="3"/>
  <c r="AC135" i="3"/>
  <c r="AG135" i="3" s="1"/>
  <c r="AC106" i="3"/>
  <c r="AG106" i="3" s="1"/>
  <c r="AC61" i="3"/>
  <c r="AG61" i="3" s="1"/>
  <c r="AD108" i="3"/>
  <c r="AD47" i="3"/>
  <c r="AD90" i="3"/>
  <c r="AD122" i="3"/>
  <c r="AD8" i="3"/>
  <c r="AC150" i="3"/>
  <c r="AG150" i="3" s="1"/>
  <c r="AC65" i="3"/>
  <c r="AC105" i="3"/>
  <c r="AG105" i="3" s="1"/>
  <c r="AC97" i="3"/>
  <c r="AC62" i="3"/>
  <c r="AG62" i="3" s="1"/>
  <c r="AC118" i="3"/>
  <c r="AG118" i="3" s="1"/>
  <c r="AC81" i="3"/>
  <c r="AG81" i="3" s="1"/>
  <c r="AC136" i="3"/>
  <c r="AC75" i="3"/>
  <c r="AC113" i="3"/>
  <c r="AG113" i="3" s="1"/>
  <c r="AC137" i="3"/>
  <c r="AG137" i="3" s="1"/>
  <c r="AC117" i="3"/>
  <c r="AC123" i="3"/>
  <c r="AG123" i="3" s="1"/>
  <c r="AC30" i="3"/>
  <c r="AC22" i="3"/>
  <c r="AG22" i="3" s="1"/>
  <c r="AC25" i="3"/>
  <c r="AG25" i="3" s="1"/>
  <c r="AC31" i="3"/>
  <c r="AC55" i="3"/>
  <c r="AC69" i="3"/>
  <c r="AD26" i="3"/>
  <c r="AC126" i="3"/>
  <c r="AC53" i="3"/>
  <c r="AC93" i="3"/>
  <c r="AC142" i="3"/>
  <c r="AC99" i="3"/>
  <c r="AC14" i="3"/>
  <c r="AG14" i="3" s="1"/>
  <c r="AC147" i="3"/>
  <c r="AG147" i="3" s="1"/>
  <c r="AC34" i="3"/>
  <c r="AG34" i="3" s="1"/>
  <c r="AC49" i="3"/>
  <c r="AG49" i="3" s="1"/>
  <c r="AD42" i="3"/>
  <c r="AD56" i="3"/>
  <c r="AD20" i="3"/>
  <c r="AD138" i="3"/>
  <c r="AD114" i="3"/>
  <c r="AC129" i="3"/>
  <c r="AG129" i="3" s="1"/>
  <c r="AC141" i="3"/>
  <c r="AG141" i="3" s="1"/>
  <c r="AD146" i="3"/>
  <c r="AC153" i="3"/>
  <c r="AG153" i="3" s="1"/>
  <c r="AC21" i="3"/>
  <c r="AG21" i="3" s="1"/>
  <c r="AC33" i="3"/>
  <c r="AG33" i="3" s="1"/>
  <c r="AC45" i="3"/>
  <c r="AG45" i="3" s="1"/>
  <c r="AC102" i="3"/>
  <c r="AG102" i="3" s="1"/>
  <c r="AC57" i="3"/>
  <c r="AG57" i="3" s="1"/>
  <c r="AD18" i="3"/>
  <c r="AD134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2" i="1"/>
  <c r="Q3" i="1"/>
  <c r="Q5" i="1"/>
  <c r="Q6" i="1"/>
  <c r="Q8" i="1"/>
  <c r="Q10" i="1"/>
  <c r="Q15" i="1"/>
  <c r="Q16" i="1"/>
  <c r="Q18" i="1"/>
  <c r="Q20" i="1"/>
  <c r="Q21" i="1"/>
  <c r="Q22" i="1"/>
  <c r="Q25" i="1"/>
  <c r="Q26" i="1"/>
  <c r="Q27" i="1"/>
  <c r="Q29" i="1"/>
  <c r="Q30" i="1"/>
  <c r="Q32" i="1"/>
  <c r="Q33" i="1"/>
  <c r="Q34" i="1"/>
  <c r="Q36" i="1"/>
  <c r="Q37" i="1"/>
  <c r="Q39" i="1"/>
  <c r="Q40" i="1"/>
  <c r="Q41" i="1"/>
  <c r="Q42" i="1"/>
  <c r="Q44" i="1"/>
  <c r="Q45" i="1"/>
  <c r="Q47" i="1"/>
  <c r="Q49" i="1"/>
  <c r="Q50" i="1"/>
  <c r="Q52" i="1"/>
  <c r="Q53" i="1"/>
  <c r="Q54" i="1"/>
  <c r="Q55" i="1"/>
  <c r="Q56" i="1"/>
  <c r="Q57" i="1"/>
  <c r="Q58" i="1"/>
  <c r="Q59" i="1"/>
  <c r="Q61" i="1"/>
  <c r="Q65" i="1"/>
  <c r="Q67" i="1"/>
  <c r="Q68" i="1"/>
  <c r="Q70" i="1"/>
  <c r="Q71" i="1"/>
  <c r="Q72" i="1"/>
  <c r="Q73" i="1"/>
  <c r="Q75" i="1"/>
  <c r="Q76" i="1"/>
  <c r="Q77" i="1"/>
  <c r="Q79" i="1"/>
  <c r="Q81" i="1"/>
  <c r="Q82" i="1"/>
  <c r="Q84" i="1"/>
  <c r="Q85" i="1"/>
  <c r="Q87" i="1"/>
  <c r="Q88" i="1"/>
  <c r="Q89" i="1"/>
  <c r="Q90" i="1"/>
  <c r="Q91" i="1"/>
  <c r="Q93" i="1"/>
  <c r="Q94" i="1"/>
  <c r="Q96" i="1"/>
  <c r="Q97" i="1"/>
  <c r="Q98" i="1"/>
  <c r="Q99" i="1"/>
  <c r="Q100" i="1"/>
  <c r="Q101" i="1"/>
  <c r="Q105" i="1"/>
  <c r="Q107" i="1"/>
  <c r="Q109" i="1"/>
  <c r="Q110" i="1"/>
  <c r="Q111" i="1"/>
  <c r="Q112" i="1"/>
  <c r="Q113" i="1"/>
  <c r="Q114" i="1"/>
  <c r="Q116" i="1"/>
  <c r="Q120" i="1"/>
  <c r="Q121" i="1"/>
  <c r="Q122" i="1"/>
  <c r="Q123" i="1"/>
  <c r="Q124" i="1"/>
  <c r="Q127" i="1"/>
  <c r="Q128" i="1"/>
  <c r="Q129" i="1"/>
  <c r="Q130" i="1"/>
  <c r="Q132" i="1"/>
  <c r="Q134" i="1"/>
  <c r="Q135" i="1"/>
  <c r="Q136" i="1"/>
  <c r="Q137" i="1"/>
  <c r="Q138" i="1"/>
  <c r="Q139" i="1"/>
  <c r="Q141" i="1"/>
  <c r="Q143" i="1"/>
  <c r="Q144" i="1"/>
  <c r="Q146" i="1"/>
  <c r="Q147" i="1"/>
  <c r="Q148" i="1"/>
  <c r="Q149" i="1"/>
  <c r="Q151" i="1"/>
  <c r="Q152" i="1"/>
  <c r="Q154" i="1"/>
  <c r="Q155" i="1"/>
  <c r="Q157" i="1"/>
  <c r="Q158" i="1"/>
  <c r="Q159" i="1"/>
  <c r="Q160" i="1"/>
  <c r="Q161" i="1"/>
  <c r="Q162" i="1"/>
  <c r="Q163" i="1"/>
  <c r="Q164" i="1"/>
  <c r="Q165" i="1"/>
  <c r="Q167" i="1"/>
  <c r="Q168" i="1"/>
  <c r="Q171" i="1"/>
  <c r="Q173" i="1"/>
  <c r="Q174" i="1"/>
  <c r="Q175" i="1"/>
  <c r="Q176" i="1"/>
  <c r="Q177" i="1"/>
  <c r="Q179" i="1"/>
  <c r="Q183" i="1"/>
  <c r="Q184" i="1"/>
  <c r="Q187" i="1"/>
  <c r="Q188" i="1"/>
  <c r="Q189" i="1"/>
  <c r="Q190" i="1"/>
  <c r="Q191" i="1"/>
  <c r="Q193" i="1"/>
  <c r="Q196" i="1"/>
  <c r="Q197" i="1"/>
  <c r="Q199" i="1"/>
  <c r="Q200" i="1"/>
  <c r="Q201" i="1"/>
  <c r="Q202" i="1"/>
  <c r="Q204" i="1"/>
  <c r="Q205" i="1"/>
  <c r="Q206" i="1"/>
  <c r="Q207" i="1"/>
  <c r="Q208" i="1"/>
  <c r="Q210" i="1"/>
  <c r="Q211" i="1"/>
  <c r="Q212" i="1"/>
  <c r="Q213" i="1"/>
  <c r="Q214" i="1"/>
  <c r="Q215" i="1"/>
  <c r="Q216" i="1"/>
  <c r="Q217" i="1"/>
  <c r="Q218" i="1"/>
  <c r="Q219" i="1"/>
  <c r="Q220" i="1"/>
  <c r="Q222" i="1"/>
  <c r="Q225" i="1"/>
  <c r="Q226" i="1"/>
  <c r="Q227" i="1"/>
  <c r="Q229" i="1"/>
  <c r="Q230" i="1"/>
  <c r="Q231" i="1"/>
  <c r="Q233" i="1"/>
  <c r="Q234" i="1"/>
  <c r="Q236" i="1"/>
  <c r="Q238" i="1"/>
  <c r="Q239" i="1"/>
  <c r="Q240" i="1"/>
  <c r="Q242" i="1"/>
  <c r="Q243" i="1"/>
  <c r="Q245" i="1"/>
  <c r="Q246" i="1"/>
  <c r="Q247" i="1"/>
  <c r="Q249" i="1"/>
  <c r="Q250" i="1"/>
  <c r="Q251" i="1"/>
  <c r="Q254" i="1"/>
  <c r="Q255" i="1"/>
  <c r="Q256" i="1"/>
  <c r="Q257" i="1"/>
  <c r="Q258" i="1"/>
  <c r="Q259" i="1"/>
  <c r="Q260" i="1"/>
  <c r="Q261" i="1"/>
  <c r="Q262" i="1"/>
  <c r="Q264" i="1"/>
  <c r="Q265" i="1"/>
  <c r="Q267" i="1"/>
  <c r="Q269" i="1"/>
  <c r="Q272" i="1"/>
  <c r="Q273" i="1"/>
  <c r="Q275" i="1"/>
  <c r="Q277" i="1"/>
  <c r="Q278" i="1"/>
  <c r="Q279" i="1"/>
  <c r="Q281" i="1"/>
  <c r="Q283" i="1"/>
  <c r="Q284" i="1"/>
  <c r="Q287" i="1"/>
  <c r="Q288" i="1"/>
  <c r="Q289" i="1"/>
  <c r="Q290" i="1"/>
  <c r="Q291" i="1"/>
  <c r="Q292" i="1"/>
  <c r="Q293" i="1"/>
  <c r="Q294" i="1"/>
  <c r="Q295" i="1"/>
  <c r="Q297" i="1"/>
  <c r="Q298" i="1"/>
  <c r="Q299" i="1"/>
  <c r="Q300" i="1"/>
  <c r="Q303" i="1"/>
  <c r="Q304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20" i="1"/>
  <c r="Q322" i="1"/>
  <c r="Q323" i="1"/>
  <c r="Q324" i="1"/>
  <c r="Q325" i="1"/>
  <c r="Q326" i="1"/>
  <c r="Q327" i="1"/>
  <c r="Q328" i="1"/>
  <c r="Q330" i="1"/>
  <c r="Q331" i="1"/>
  <c r="Q332" i="1"/>
  <c r="Q333" i="1"/>
  <c r="Q336" i="1"/>
  <c r="Q337" i="1"/>
  <c r="Q340" i="1"/>
  <c r="Q342" i="1"/>
  <c r="Q343" i="1"/>
  <c r="Q344" i="1"/>
  <c r="Q347" i="1"/>
  <c r="Q348" i="1"/>
  <c r="Q350" i="1"/>
  <c r="Q351" i="1"/>
  <c r="Q354" i="1"/>
  <c r="Q355" i="1"/>
  <c r="Q358" i="1"/>
  <c r="Q359" i="1"/>
  <c r="Q360" i="1"/>
  <c r="Q361" i="1"/>
  <c r="Q362" i="1"/>
  <c r="Q364" i="1"/>
  <c r="Q366" i="1"/>
  <c r="Q367" i="1"/>
  <c r="Q369" i="1"/>
  <c r="Q370" i="1"/>
  <c r="Q371" i="1"/>
  <c r="Q372" i="1"/>
  <c r="Q373" i="1"/>
  <c r="Q374" i="1"/>
  <c r="Q375" i="1"/>
  <c r="Q376" i="1"/>
  <c r="Q377" i="1"/>
  <c r="Q378" i="1"/>
  <c r="Q379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4" i="1"/>
  <c r="Q395" i="1"/>
  <c r="Q397" i="1"/>
  <c r="Q398" i="1"/>
  <c r="Q399" i="1"/>
  <c r="Q401" i="1"/>
  <c r="Q404" i="1"/>
  <c r="Q405" i="1"/>
  <c r="Q407" i="1"/>
  <c r="Q411" i="1"/>
  <c r="Q412" i="1"/>
  <c r="Q413" i="1"/>
  <c r="Q414" i="1"/>
  <c r="Q415" i="1"/>
  <c r="Q416" i="1"/>
  <c r="Q417" i="1"/>
  <c r="Q418" i="1"/>
  <c r="Q419" i="1"/>
  <c r="Q421" i="1"/>
  <c r="Q422" i="1"/>
  <c r="Q423" i="1"/>
  <c r="Q424" i="1"/>
  <c r="Q425" i="1"/>
  <c r="Q426" i="1"/>
  <c r="Q427" i="1"/>
  <c r="Q429" i="1"/>
  <c r="Q430" i="1"/>
  <c r="Q431" i="1"/>
  <c r="Q433" i="1"/>
  <c r="Q434" i="1"/>
  <c r="Q436" i="1"/>
  <c r="Q438" i="1"/>
  <c r="Q440" i="1"/>
  <c r="Q442" i="1"/>
  <c r="Q443" i="1"/>
  <c r="Q444" i="1"/>
  <c r="Q446" i="1"/>
  <c r="Q447" i="1"/>
  <c r="Q448" i="1"/>
  <c r="Q449" i="1"/>
  <c r="Q450" i="1"/>
  <c r="Q451" i="1"/>
  <c r="Q452" i="1"/>
  <c r="Q454" i="1"/>
  <c r="Q456" i="1"/>
  <c r="Q457" i="1"/>
  <c r="Q459" i="1"/>
  <c r="Q460" i="1"/>
  <c r="Q461" i="1"/>
  <c r="Q462" i="1"/>
  <c r="Q464" i="1"/>
  <c r="Q465" i="1"/>
  <c r="Q467" i="1"/>
  <c r="Q468" i="1"/>
  <c r="Q469" i="1"/>
  <c r="Q471" i="1"/>
  <c r="Q472" i="1"/>
  <c r="Q473" i="1"/>
  <c r="Q474" i="1"/>
  <c r="Q477" i="1"/>
  <c r="Q478" i="1"/>
  <c r="Q479" i="1"/>
  <c r="Q480" i="1"/>
  <c r="Q481" i="1"/>
  <c r="Q482" i="1"/>
  <c r="Q483" i="1"/>
  <c r="Q484" i="1"/>
  <c r="Q485" i="1"/>
  <c r="Q487" i="1"/>
  <c r="Q488" i="1"/>
  <c r="Q489" i="1"/>
  <c r="Q490" i="1"/>
  <c r="Q492" i="1"/>
  <c r="Q493" i="1"/>
  <c r="Q494" i="1"/>
  <c r="Q495" i="1"/>
  <c r="Q499" i="1"/>
  <c r="Q500" i="1"/>
  <c r="Q501" i="1"/>
  <c r="Q502" i="1"/>
  <c r="Q503" i="1"/>
  <c r="Q504" i="1"/>
  <c r="Q505" i="1"/>
  <c r="Q506" i="1"/>
  <c r="Q508" i="1"/>
  <c r="Q509" i="1"/>
  <c r="Q510" i="1"/>
  <c r="Q512" i="1"/>
  <c r="Q513" i="1"/>
  <c r="Q516" i="1"/>
  <c r="Q517" i="1"/>
  <c r="Q518" i="1"/>
  <c r="Q521" i="1"/>
  <c r="Q522" i="1"/>
  <c r="Q523" i="1"/>
  <c r="Q527" i="1"/>
  <c r="Q528" i="1"/>
  <c r="Q529" i="1"/>
  <c r="Q530" i="1"/>
  <c r="Q532" i="1"/>
  <c r="Q534" i="1"/>
  <c r="Q536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5" i="1"/>
  <c r="Q556" i="1"/>
  <c r="Q557" i="1"/>
  <c r="Q558" i="1"/>
  <c r="Q560" i="1"/>
  <c r="Q563" i="1"/>
  <c r="Q564" i="1"/>
  <c r="Q565" i="1"/>
  <c r="Q567" i="1"/>
  <c r="Q568" i="1"/>
  <c r="Q569" i="1"/>
  <c r="Q570" i="1"/>
  <c r="Q571" i="1"/>
  <c r="Q574" i="1"/>
  <c r="Q575" i="1"/>
  <c r="Q576" i="1"/>
  <c r="Q577" i="1"/>
  <c r="Q578" i="1"/>
  <c r="Q581" i="1"/>
  <c r="Q582" i="1"/>
  <c r="Q583" i="1"/>
  <c r="Q584" i="1"/>
  <c r="Q586" i="1"/>
  <c r="Q587" i="1"/>
  <c r="Q590" i="1"/>
  <c r="Q592" i="1"/>
  <c r="Q593" i="1"/>
  <c r="Q595" i="1"/>
  <c r="Q596" i="1"/>
  <c r="Q597" i="1"/>
  <c r="Q599" i="1"/>
  <c r="Q601" i="1"/>
  <c r="Q602" i="1"/>
  <c r="Q604" i="1"/>
  <c r="Q605" i="1"/>
  <c r="Q607" i="1"/>
  <c r="Q608" i="1"/>
  <c r="Q609" i="1"/>
  <c r="Q610" i="1"/>
  <c r="Q611" i="1"/>
  <c r="Q612" i="1"/>
  <c r="Q613" i="1"/>
  <c r="Q614" i="1"/>
  <c r="Q615" i="1"/>
  <c r="Q616" i="1"/>
  <c r="Q619" i="1"/>
  <c r="Q620" i="1"/>
  <c r="Q622" i="1"/>
  <c r="Q623" i="1"/>
  <c r="Q625" i="1"/>
  <c r="Q627" i="1"/>
  <c r="Q631" i="1"/>
  <c r="Q633" i="1"/>
  <c r="Q635" i="1"/>
  <c r="Q639" i="1"/>
  <c r="Q640" i="1"/>
  <c r="Q641" i="1"/>
  <c r="Q642" i="1"/>
  <c r="Q646" i="1"/>
  <c r="Q647" i="1"/>
  <c r="Q648" i="1"/>
  <c r="Q649" i="1"/>
  <c r="Q650" i="1"/>
  <c r="Q651" i="1"/>
  <c r="Q652" i="1"/>
  <c r="Q653" i="1"/>
  <c r="Q654" i="1"/>
  <c r="Q656" i="1"/>
  <c r="Q657" i="1"/>
  <c r="Q658" i="1"/>
  <c r="Q659" i="1"/>
  <c r="Q661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81" i="1"/>
  <c r="Q682" i="1"/>
  <c r="Q683" i="1"/>
  <c r="Q684" i="1"/>
  <c r="Q687" i="1"/>
  <c r="Q689" i="1"/>
  <c r="Q690" i="1"/>
  <c r="Q691" i="1"/>
  <c r="Q694" i="1"/>
  <c r="Q695" i="1"/>
  <c r="Q697" i="1"/>
  <c r="Q698" i="1"/>
  <c r="Q700" i="1"/>
  <c r="Q702" i="1"/>
  <c r="Q703" i="1"/>
  <c r="Q704" i="1"/>
  <c r="Q706" i="1"/>
  <c r="Q707" i="1"/>
  <c r="Q709" i="1"/>
  <c r="Q711" i="1"/>
  <c r="Q712" i="1"/>
  <c r="Q713" i="1"/>
  <c r="Q714" i="1"/>
  <c r="Q715" i="1"/>
  <c r="Q717" i="1"/>
  <c r="Q718" i="1"/>
  <c r="Q719" i="1"/>
  <c r="Q720" i="1"/>
  <c r="Q721" i="1"/>
  <c r="Q722" i="1"/>
  <c r="Q723" i="1"/>
  <c r="Q724" i="1"/>
  <c r="Q725" i="1"/>
  <c r="Q727" i="1"/>
  <c r="Q728" i="1"/>
  <c r="Q729" i="1"/>
  <c r="Q732" i="1"/>
  <c r="Q734" i="1"/>
  <c r="Q735" i="1"/>
  <c r="Q737" i="1"/>
  <c r="Q738" i="1"/>
  <c r="Q739" i="1"/>
  <c r="Q740" i="1"/>
  <c r="Q742" i="1"/>
  <c r="Q743" i="1"/>
  <c r="Q744" i="1"/>
  <c r="Q746" i="1"/>
  <c r="Q747" i="1"/>
  <c r="Q748" i="1"/>
  <c r="Q749" i="1"/>
  <c r="Q750" i="1"/>
  <c r="Q753" i="1"/>
  <c r="Q754" i="1"/>
  <c r="Q755" i="1"/>
  <c r="Q756" i="1"/>
  <c r="Q757" i="1"/>
  <c r="Q758" i="1"/>
  <c r="Q762" i="1"/>
  <c r="Q763" i="1"/>
  <c r="Q765" i="1"/>
  <c r="Q766" i="1"/>
  <c r="Q767" i="1"/>
  <c r="Q76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5" i="1"/>
  <c r="O346" i="1"/>
  <c r="O347" i="1"/>
  <c r="O348" i="1"/>
  <c r="O349" i="1"/>
  <c r="O350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Q2" i="1"/>
  <c r="P2" i="1"/>
  <c r="P3" i="1"/>
  <c r="P4" i="1"/>
  <c r="P5" i="1"/>
  <c r="P6" i="1"/>
  <c r="P7" i="1"/>
  <c r="P8" i="1"/>
  <c r="P10" i="1"/>
  <c r="P11" i="1"/>
  <c r="P12" i="1"/>
  <c r="P13" i="1"/>
  <c r="P14" i="1"/>
  <c r="P15" i="1"/>
  <c r="P16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2" i="1"/>
  <c r="P53" i="1"/>
  <c r="P54" i="1"/>
  <c r="P55" i="1"/>
  <c r="P56" i="1"/>
  <c r="P57" i="1"/>
  <c r="P58" i="1"/>
  <c r="P59" i="1"/>
  <c r="P60" i="1"/>
  <c r="P61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1" i="1"/>
  <c r="P82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4" i="1"/>
  <c r="P265" i="1"/>
  <c r="P266" i="1"/>
  <c r="P267" i="1"/>
  <c r="P269" i="1"/>
  <c r="P270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5" i="1"/>
  <c r="P336" i="1"/>
  <c r="P337" i="1"/>
  <c r="P339" i="1"/>
  <c r="P340" i="1"/>
  <c r="P341" i="1"/>
  <c r="P342" i="1"/>
  <c r="P343" i="1"/>
  <c r="P344" i="1"/>
  <c r="P345" i="1"/>
  <c r="P346" i="1"/>
  <c r="P347" i="1"/>
  <c r="P348" i="1"/>
  <c r="P350" i="1"/>
  <c r="P351" i="1"/>
  <c r="P352" i="1"/>
  <c r="P353" i="1"/>
  <c r="P354" i="1"/>
  <c r="P355" i="1"/>
  <c r="P356" i="1"/>
  <c r="P357" i="1"/>
  <c r="P358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9" i="1"/>
  <c r="P430" i="1"/>
  <c r="P431" i="1"/>
  <c r="P433" i="1"/>
  <c r="P434" i="1"/>
  <c r="P435" i="1"/>
  <c r="P436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7" i="1"/>
  <c r="P488" i="1"/>
  <c r="P489" i="1"/>
  <c r="P490" i="1"/>
  <c r="P491" i="1"/>
  <c r="P492" i="1"/>
  <c r="P493" i="1"/>
  <c r="P494" i="1"/>
  <c r="P495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5" i="1"/>
  <c r="P526" i="1"/>
  <c r="P527" i="1"/>
  <c r="P528" i="1"/>
  <c r="P529" i="1"/>
  <c r="P530" i="1"/>
  <c r="P531" i="1"/>
  <c r="P532" i="1"/>
  <c r="P533" i="1"/>
  <c r="P534" i="1"/>
  <c r="P536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2" i="1"/>
  <c r="P593" i="1"/>
  <c r="P594" i="1"/>
  <c r="P595" i="1"/>
  <c r="P596" i="1"/>
  <c r="P597" i="1"/>
  <c r="P598" i="1"/>
  <c r="P599" i="1"/>
  <c r="P600" i="1"/>
  <c r="P601" i="1"/>
  <c r="P602" i="1"/>
  <c r="P604" i="1"/>
  <c r="P605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700" i="1"/>
  <c r="P701" i="1"/>
  <c r="P702" i="1"/>
  <c r="P703" i="1"/>
  <c r="P704" i="1"/>
  <c r="P706" i="1"/>
  <c r="P707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Q80" i="1"/>
  <c r="P271" i="1"/>
  <c r="O504" i="1"/>
  <c r="L4" i="1"/>
  <c r="L7" i="1"/>
  <c r="L5" i="1"/>
  <c r="AD12" i="3" l="1"/>
  <c r="AD88" i="3"/>
  <c r="AD152" i="3"/>
  <c r="AD32" i="3"/>
  <c r="AD64" i="3"/>
  <c r="AD40" i="3"/>
  <c r="AD5" i="3"/>
  <c r="AD100" i="3"/>
  <c r="AD69" i="3"/>
  <c r="AG69" i="3"/>
  <c r="AD63" i="3"/>
  <c r="AG63" i="3"/>
  <c r="AD76" i="3"/>
  <c r="AG76" i="3"/>
  <c r="AD115" i="3"/>
  <c r="AG115" i="3"/>
  <c r="AD83" i="3"/>
  <c r="AG83" i="3"/>
  <c r="AD124" i="3"/>
  <c r="AG124" i="3"/>
  <c r="AD84" i="3"/>
  <c r="AD55" i="3"/>
  <c r="AG55" i="3"/>
  <c r="AD9" i="3"/>
  <c r="AG9" i="3"/>
  <c r="AD28" i="3"/>
  <c r="AG28" i="3"/>
  <c r="AD130" i="3"/>
  <c r="AG130" i="3"/>
  <c r="AD148" i="3"/>
  <c r="AG148" i="3"/>
  <c r="AD80" i="3"/>
  <c r="AG80" i="3"/>
  <c r="AD97" i="3"/>
  <c r="AG97" i="3"/>
  <c r="AD119" i="3"/>
  <c r="AG119" i="3"/>
  <c r="AI4" i="3"/>
  <c r="AG3" i="3"/>
  <c r="AI3" i="3"/>
  <c r="AD120" i="3"/>
  <c r="AG120" i="3"/>
  <c r="AD10" i="3"/>
  <c r="AG10" i="3"/>
  <c r="AD149" i="3"/>
  <c r="AG149" i="3"/>
  <c r="AD121" i="3"/>
  <c r="AG121" i="3"/>
  <c r="AD35" i="3"/>
  <c r="AG35" i="3"/>
  <c r="AD91" i="3"/>
  <c r="AG91" i="3"/>
  <c r="AD31" i="3"/>
  <c r="AG31" i="3"/>
  <c r="AD54" i="3"/>
  <c r="AG54" i="3"/>
  <c r="AD19" i="3"/>
  <c r="AG19" i="3"/>
  <c r="AD96" i="3"/>
  <c r="AG96" i="3"/>
  <c r="AD68" i="3"/>
  <c r="AG68" i="3"/>
  <c r="AD30" i="3"/>
  <c r="AG30" i="3"/>
  <c r="AD65" i="3"/>
  <c r="AG65" i="3"/>
  <c r="AD145" i="3"/>
  <c r="AG145" i="3"/>
  <c r="AD151" i="3"/>
  <c r="AG151" i="3"/>
  <c r="AD154" i="3"/>
  <c r="AG154" i="3"/>
  <c r="AD82" i="3"/>
  <c r="AG82" i="3"/>
  <c r="AD104" i="3"/>
  <c r="AG104" i="3"/>
  <c r="AD99" i="3"/>
  <c r="AG99" i="3"/>
  <c r="AD4" i="3"/>
  <c r="AG4" i="3"/>
  <c r="AD11" i="3"/>
  <c r="AG11" i="3"/>
  <c r="AD7" i="3"/>
  <c r="AG7" i="3"/>
  <c r="AD112" i="3"/>
  <c r="AG112" i="3"/>
  <c r="AD92" i="3"/>
  <c r="AG92" i="3"/>
  <c r="AD142" i="3"/>
  <c r="AG142" i="3"/>
  <c r="AD117" i="3"/>
  <c r="AG117" i="3"/>
  <c r="AD36" i="3"/>
  <c r="AG36" i="3"/>
  <c r="AD140" i="3"/>
  <c r="AG140" i="3"/>
  <c r="AD93" i="3"/>
  <c r="AG93" i="3"/>
  <c r="AD23" i="3"/>
  <c r="AD133" i="3"/>
  <c r="AG133" i="3"/>
  <c r="AD53" i="3"/>
  <c r="AG53" i="3"/>
  <c r="AD46" i="3"/>
  <c r="AG46" i="3"/>
  <c r="AD126" i="3"/>
  <c r="AG126" i="3"/>
  <c r="AD75" i="3"/>
  <c r="AG75" i="3"/>
  <c r="AD16" i="3"/>
  <c r="AG16" i="3"/>
  <c r="AD6" i="3"/>
  <c r="AG6" i="3"/>
  <c r="AD29" i="3"/>
  <c r="AG29" i="3"/>
  <c r="AD136" i="3"/>
  <c r="AG136" i="3"/>
  <c r="AD38" i="3"/>
  <c r="AG38" i="3"/>
  <c r="AD43" i="3"/>
  <c r="AG43" i="3"/>
  <c r="AD101" i="3"/>
  <c r="AG101" i="3"/>
  <c r="AD77" i="3"/>
  <c r="AG77" i="3"/>
  <c r="AD79" i="3"/>
  <c r="AG79" i="3"/>
  <c r="AD59" i="3"/>
  <c r="AG59" i="3"/>
  <c r="P606" i="1"/>
  <c r="P486" i="1"/>
  <c r="P174" i="1"/>
  <c r="O344" i="1"/>
  <c r="Q751" i="1"/>
  <c r="Q679" i="1"/>
  <c r="Q655" i="1"/>
  <c r="Q643" i="1"/>
  <c r="Q559" i="1"/>
  <c r="Q535" i="1"/>
  <c r="Q511" i="1"/>
  <c r="Q475" i="1"/>
  <c r="Q463" i="1"/>
  <c r="Q439" i="1"/>
  <c r="Q403" i="1"/>
  <c r="Q319" i="1"/>
  <c r="Q271" i="1"/>
  <c r="Q235" i="1"/>
  <c r="Q223" i="1"/>
  <c r="Q115" i="1"/>
  <c r="Q103" i="1"/>
  <c r="Q43" i="1"/>
  <c r="Q31" i="1"/>
  <c r="Q19" i="1"/>
  <c r="Q7" i="1"/>
  <c r="Q726" i="1"/>
  <c r="Q678" i="1"/>
  <c r="Q630" i="1"/>
  <c r="Q618" i="1"/>
  <c r="Q606" i="1"/>
  <c r="Q594" i="1"/>
  <c r="Q498" i="1"/>
  <c r="Q486" i="1"/>
  <c r="Q402" i="1"/>
  <c r="Q306" i="1"/>
  <c r="Q282" i="1"/>
  <c r="Q270" i="1"/>
  <c r="Q198" i="1"/>
  <c r="Q186" i="1"/>
  <c r="Q150" i="1"/>
  <c r="Q126" i="1"/>
  <c r="Q102" i="1"/>
  <c r="Q78" i="1"/>
  <c r="Q66" i="1"/>
  <c r="Q761" i="1"/>
  <c r="Q701" i="1"/>
  <c r="Q677" i="1"/>
  <c r="Q629" i="1"/>
  <c r="Q617" i="1"/>
  <c r="Q533" i="1"/>
  <c r="Q497" i="1"/>
  <c r="Q437" i="1"/>
  <c r="Q365" i="1"/>
  <c r="Q353" i="1"/>
  <c r="Q341" i="1"/>
  <c r="Q329" i="1"/>
  <c r="Q305" i="1"/>
  <c r="Q221" i="1"/>
  <c r="Q209" i="1"/>
  <c r="Q185" i="1"/>
  <c r="Q125" i="1"/>
  <c r="Q17" i="1"/>
  <c r="Q736" i="1"/>
  <c r="Q676" i="1"/>
  <c r="Q520" i="1"/>
  <c r="Q496" i="1"/>
  <c r="Q400" i="1"/>
  <c r="Q352" i="1"/>
  <c r="Q280" i="1"/>
  <c r="Q268" i="1"/>
  <c r="Q244" i="1"/>
  <c r="Q232" i="1"/>
  <c r="Q172" i="1"/>
  <c r="Q64" i="1"/>
  <c r="Q28" i="1"/>
  <c r="Q4" i="1"/>
  <c r="S686" i="1"/>
  <c r="S428" i="1"/>
  <c r="S524" i="1"/>
  <c r="S83" i="1"/>
  <c r="S708" i="1"/>
  <c r="S373" i="1"/>
  <c r="S11" i="1"/>
  <c r="S62" i="1"/>
  <c r="S51" i="1"/>
  <c r="S147" i="1"/>
  <c r="S496" i="1"/>
  <c r="P470" i="1"/>
  <c r="P338" i="1"/>
  <c r="P302" i="1"/>
  <c r="P62" i="1"/>
  <c r="O184" i="1"/>
  <c r="Q759" i="1"/>
  <c r="Q699" i="1"/>
  <c r="Q603" i="1"/>
  <c r="Q591" i="1"/>
  <c r="Q579" i="1"/>
  <c r="Q531" i="1"/>
  <c r="Q519" i="1"/>
  <c r="Q507" i="1"/>
  <c r="Q435" i="1"/>
  <c r="Q363" i="1"/>
  <c r="Q339" i="1"/>
  <c r="Q195" i="1"/>
  <c r="Q63" i="1"/>
  <c r="Q51" i="1"/>
  <c r="P195" i="1"/>
  <c r="Q688" i="1"/>
  <c r="Q628" i="1"/>
  <c r="Q580" i="1"/>
  <c r="Q710" i="1"/>
  <c r="Q686" i="1"/>
  <c r="Q662" i="1"/>
  <c r="Q638" i="1"/>
  <c r="Q626" i="1"/>
  <c r="Q566" i="1"/>
  <c r="Q554" i="1"/>
  <c r="Q470" i="1"/>
  <c r="Q458" i="1"/>
  <c r="Q410" i="1"/>
  <c r="Q338" i="1"/>
  <c r="Q302" i="1"/>
  <c r="Q266" i="1"/>
  <c r="Q194" i="1"/>
  <c r="Q182" i="1"/>
  <c r="Q170" i="1"/>
  <c r="Q86" i="1"/>
  <c r="Q74" i="1"/>
  <c r="Q62" i="1"/>
  <c r="Q38" i="1"/>
  <c r="Q14" i="1"/>
  <c r="P437" i="1"/>
  <c r="P591" i="1"/>
  <c r="P51" i="1"/>
  <c r="O77" i="1"/>
  <c r="Q760" i="1"/>
  <c r="P349" i="1"/>
  <c r="O351" i="1"/>
  <c r="P708" i="1"/>
  <c r="P432" i="1"/>
  <c r="Q745" i="1"/>
  <c r="Q733" i="1"/>
  <c r="Q685" i="1"/>
  <c r="Q637" i="1"/>
  <c r="Q589" i="1"/>
  <c r="Q445" i="1"/>
  <c r="Q409" i="1"/>
  <c r="Q349" i="1"/>
  <c r="Q301" i="1"/>
  <c r="Q253" i="1"/>
  <c r="Q241" i="1"/>
  <c r="Q181" i="1"/>
  <c r="Q169" i="1"/>
  <c r="Q145" i="1"/>
  <c r="Q133" i="1"/>
  <c r="Q13" i="1"/>
  <c r="P17" i="1"/>
  <c r="P268" i="1"/>
  <c r="Q12" i="1"/>
  <c r="P496" i="1"/>
  <c r="P455" i="1"/>
  <c r="P83" i="1"/>
  <c r="Q696" i="1"/>
  <c r="Q660" i="1"/>
  <c r="Q624" i="1"/>
  <c r="Q588" i="1"/>
  <c r="Q420" i="1"/>
  <c r="Q276" i="1"/>
  <c r="Q156" i="1"/>
  <c r="Q24" i="1"/>
  <c r="P334" i="1"/>
  <c r="Q731" i="1"/>
  <c r="Q539" i="1"/>
  <c r="Q515" i="1"/>
  <c r="Q491" i="1"/>
  <c r="Q455" i="1"/>
  <c r="Q335" i="1"/>
  <c r="Q263" i="1"/>
  <c r="Q203" i="1"/>
  <c r="Q131" i="1"/>
  <c r="Q119" i="1"/>
  <c r="Q95" i="1"/>
  <c r="Q83" i="1"/>
  <c r="Q35" i="1"/>
  <c r="Q23" i="1"/>
  <c r="Q11" i="1"/>
  <c r="P537" i="1"/>
  <c r="P9" i="1"/>
  <c r="Q730" i="1"/>
  <c r="Q634" i="1"/>
  <c r="Q598" i="1"/>
  <c r="Q562" i="1"/>
  <c r="Q538" i="1"/>
  <c r="Q526" i="1"/>
  <c r="Q514" i="1"/>
  <c r="Q466" i="1"/>
  <c r="Q406" i="1"/>
  <c r="Q346" i="1"/>
  <c r="Q334" i="1"/>
  <c r="Q286" i="1"/>
  <c r="Q274" i="1"/>
  <c r="Q178" i="1"/>
  <c r="Q166" i="1"/>
  <c r="Q142" i="1"/>
  <c r="Q118" i="1"/>
  <c r="Q106" i="1"/>
  <c r="Q46" i="1"/>
  <c r="P603" i="1"/>
  <c r="Q708" i="1"/>
  <c r="Q600" i="1"/>
  <c r="Q396" i="1"/>
  <c r="Q252" i="1"/>
  <c r="Q48" i="1"/>
  <c r="P705" i="1"/>
  <c r="P645" i="1"/>
  <c r="P621" i="1"/>
  <c r="P524" i="1"/>
  <c r="P428" i="1"/>
  <c r="P224" i="1"/>
  <c r="P80" i="1"/>
  <c r="Q741" i="1"/>
  <c r="Q705" i="1"/>
  <c r="Q693" i="1"/>
  <c r="Q645" i="1"/>
  <c r="Q621" i="1"/>
  <c r="Q585" i="1"/>
  <c r="Q573" i="1"/>
  <c r="Q561" i="1"/>
  <c r="Q537" i="1"/>
  <c r="Q525" i="1"/>
  <c r="Q453" i="1"/>
  <c r="Q441" i="1"/>
  <c r="Q393" i="1"/>
  <c r="Q357" i="1"/>
  <c r="Q345" i="1"/>
  <c r="Q321" i="1"/>
  <c r="Q285" i="1"/>
  <c r="Q237" i="1"/>
  <c r="Q153" i="1"/>
  <c r="Q117" i="1"/>
  <c r="Q69" i="1"/>
  <c r="Q9" i="1"/>
  <c r="P699" i="1"/>
  <c r="P359" i="1"/>
  <c r="P263" i="1"/>
  <c r="Q768" i="1"/>
  <c r="Q636" i="1"/>
  <c r="Q432" i="1"/>
  <c r="Q408" i="1"/>
  <c r="Q228" i="1"/>
  <c r="Q192" i="1"/>
  <c r="Q180" i="1"/>
  <c r="Q108" i="1"/>
  <c r="Q60" i="1"/>
  <c r="P535" i="1"/>
  <c r="Q764" i="1"/>
  <c r="Q752" i="1"/>
  <c r="Q716" i="1"/>
  <c r="Q692" i="1"/>
  <c r="Q680" i="1"/>
  <c r="Q644" i="1"/>
  <c r="Q632" i="1"/>
  <c r="Q572" i="1"/>
  <c r="Q524" i="1"/>
  <c r="Q476" i="1"/>
  <c r="Q428" i="1"/>
  <c r="Q380" i="1"/>
  <c r="Q368" i="1"/>
  <c r="Q356" i="1"/>
  <c r="Q296" i="1"/>
  <c r="Q248" i="1"/>
  <c r="Q224" i="1"/>
  <c r="Q140" i="1"/>
  <c r="Q104" i="1"/>
  <c r="Q92" i="1"/>
  <c r="AD128" i="3"/>
  <c r="AD103" i="3"/>
  <c r="AD44" i="3"/>
  <c r="AD89" i="3"/>
  <c r="AD86" i="3"/>
  <c r="AD2" i="3"/>
  <c r="AD13" i="3"/>
  <c r="AD15" i="3"/>
  <c r="AD144" i="3"/>
  <c r="AD37" i="3"/>
  <c r="AD139" i="3"/>
  <c r="AD95" i="3"/>
  <c r="AD17" i="3"/>
  <c r="AD3" i="3"/>
  <c r="AD24" i="3"/>
  <c r="AD111" i="3"/>
  <c r="AD41" i="3"/>
  <c r="AD116" i="3"/>
  <c r="AD143" i="3"/>
  <c r="AD39" i="3"/>
  <c r="AD67" i="3"/>
  <c r="AD87" i="3"/>
  <c r="AD127" i="3"/>
  <c r="AD48" i="3"/>
  <c r="AD85" i="3"/>
  <c r="AD72" i="3"/>
  <c r="AD61" i="3"/>
  <c r="AD106" i="3"/>
  <c r="AD135" i="3"/>
  <c r="AD107" i="3"/>
  <c r="AD110" i="3"/>
  <c r="AD125" i="3"/>
  <c r="AD60" i="3"/>
  <c r="AD131" i="3"/>
  <c r="AD137" i="3"/>
  <c r="AD52" i="3"/>
  <c r="AD70" i="3"/>
  <c r="AD25" i="3"/>
  <c r="AD51" i="3"/>
  <c r="AD22" i="3"/>
  <c r="AD58" i="3"/>
  <c r="AD147" i="3"/>
  <c r="AD113" i="3"/>
  <c r="AD109" i="3"/>
  <c r="AD62" i="3"/>
  <c r="AD27" i="3"/>
  <c r="AD73" i="3"/>
  <c r="AD94" i="3"/>
  <c r="AD14" i="3"/>
  <c r="AD49" i="3"/>
  <c r="AD123" i="3"/>
  <c r="AD150" i="3"/>
  <c r="AD34" i="3"/>
  <c r="AD105" i="3"/>
  <c r="AD81" i="3"/>
  <c r="AD118" i="3"/>
  <c r="AD57" i="3"/>
  <c r="AD102" i="3"/>
  <c r="AD141" i="3"/>
  <c r="AD45" i="3"/>
  <c r="AD129" i="3"/>
  <c r="AD33" i="3"/>
  <c r="AD21" i="3"/>
  <c r="AD153" i="3"/>
  <c r="AI10" i="3" l="1"/>
  <c r="AI6" i="3"/>
  <c r="AI9" i="3"/>
  <c r="AI11" i="3" s="1"/>
  <c r="AI8" i="3"/>
  <c r="AE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<sst xmlns="http://schemas.openxmlformats.org/spreadsheetml/2006/main" count="109" uniqueCount="62">
  <si>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</si>
  <si>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</si>
  <si>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</si>
  <si>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</si>
  <si>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</si>
  <si>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</si>
  <si>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</si>
  <si>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</si>
  <si>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</si>
  <si>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Jumlah Nilai 0</t>
  </si>
  <si>
    <t>Median</t>
  </si>
  <si>
    <t>Glucose_clean</t>
  </si>
  <si>
    <t>BP_clean</t>
  </si>
  <si>
    <t>Insulin_clean</t>
  </si>
  <si>
    <t>BMI_clean</t>
  </si>
  <si>
    <t>MISSING VALUE</t>
  </si>
  <si>
    <t>Atribute</t>
  </si>
  <si>
    <t>ST_clean</t>
  </si>
  <si>
    <t>MEDIAN TIAP ATRIBUT</t>
  </si>
  <si>
    <t>CLASS</t>
  </si>
  <si>
    <t>PRIOR</t>
  </si>
  <si>
    <t>Outcome 1</t>
  </si>
  <si>
    <t>Outcome 0</t>
  </si>
  <si>
    <t>CLASS 0</t>
  </si>
  <si>
    <t>CLASS 1</t>
  </si>
  <si>
    <t>PRIOR PROBABILITY</t>
  </si>
  <si>
    <t>MEAN AND STD DEV ATRIBUT PER CLASS</t>
  </si>
  <si>
    <t>MEAN</t>
  </si>
  <si>
    <t>STD DEVIASI</t>
  </si>
  <si>
    <t>PREG_0</t>
  </si>
  <si>
    <t>PREG_1</t>
  </si>
  <si>
    <t>Glucose_0</t>
  </si>
  <si>
    <t>Glucose_1</t>
  </si>
  <si>
    <t>BloodPressure_0</t>
  </si>
  <si>
    <t>BloodPressure_1</t>
  </si>
  <si>
    <t>SkinThickness_0</t>
  </si>
  <si>
    <t>SkinThickness_1</t>
  </si>
  <si>
    <t>Insulin_0</t>
  </si>
  <si>
    <t>Insulin_1</t>
  </si>
  <si>
    <t>BMI_0</t>
  </si>
  <si>
    <t>BMI_1</t>
  </si>
  <si>
    <t>DiabetesP_0</t>
  </si>
  <si>
    <t>DiabetesP_1</t>
  </si>
  <si>
    <t>Age_0</t>
  </si>
  <si>
    <t>Age_1</t>
  </si>
  <si>
    <t>Total_0</t>
  </si>
  <si>
    <t>Total_1</t>
  </si>
  <si>
    <t>Prediksi</t>
  </si>
  <si>
    <t>Hasil</t>
  </si>
  <si>
    <t>Akurasi</t>
  </si>
  <si>
    <t>EVALUASI MODEL CONFUSION MATRIX</t>
  </si>
  <si>
    <t>CM</t>
  </si>
  <si>
    <t>TOTAL</t>
  </si>
  <si>
    <t>TN</t>
  </si>
  <si>
    <t>FP</t>
  </si>
  <si>
    <t>FN</t>
  </si>
  <si>
    <t>TP</t>
  </si>
  <si>
    <t>ACCURACY</t>
  </si>
  <si>
    <t>PRECISSION</t>
  </si>
  <si>
    <t>RECAL</t>
  </si>
  <si>
    <t>F1 SCORE</t>
  </si>
  <si>
    <t>HASIL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</si>
</sst>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Font="1" applyBorder="1"/>
    <xf numFmtId="0" fontId="0" fillId="0" borderId="1" xfId="0" applyBorder="1"/>
    <xf numFmtId="0" fontId="1" fillId="3" borderId="0" xfId="0" applyFont="1" applyFill="1" applyBorder="1"/>
    <xf numFmtId="0" fontId="1" fillId="4" borderId="1" xfId="0" applyFont="1" applyFill="1" applyBorder="1"/>
    <xf numFmtId="0" fontId="1" fillId="0" borderId="0" xfId="0" applyFont="1" applyBorder="1" applyAlignment="1">
      <alignment vertical="top" textRotation="255"/>
    </xf>
    <xf numFmtId="0" fontId="1" fillId="3" borderId="1" xfId="0" applyFont="1" applyFill="1" applyBorder="1"/>
    <xf numFmtId="1" fontId="1" fillId="0" borderId="0" xfId="0" applyNumberFormat="1" applyFont="1"/>
    <xf numFmtId="1" fontId="0" fillId="0" borderId="0" xfId="0" applyNumberFormat="1"/>
    <xf numFmtId="0" fontId="1" fillId="5" borderId="1" xfId="0" applyFont="1" applyFill="1" applyBorder="1"/>
    <xf numFmtId="2" fontId="0" fillId="0" borderId="1" xfId="0" applyNumberFormat="1" applyBorder="1"/>
    <xf numFmtId="0" fontId="1" fillId="6" borderId="1" xfId="0" applyFont="1" applyFill="1" applyBorder="1"/>
    <xf numFmtId="2" fontId="0" fillId="0" borderId="0" xfId="0" applyNumberFormat="1"/>
    <xf numFmtId="0" fontId="0" fillId="3" borderId="1" xfId="0" applyFill="1" applyBorder="1"/>
    <xf numFmtId="10" fontId="0" fillId="3" borderId="1" xfId="0" applyNumberFormat="1" applyFill="1" applyBorder="1"/>
    <xf numFmtId="0" fontId="0" fillId="4" borderId="5" xfId="0" applyFill="1" applyBorder="1"/>
    <xf numFmtId="0" fontId="0" fillId="0" borderId="1" xfId="0" applyNumberFormat="1" applyBorder="1"/>
    <xf numFmtId="0" fontId="1" fillId="0" borderId="0" xfId="0" applyFont="1" applyAlignment="1">
      <alignment horizontal="center" vertical="top" textRotation="255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top" textRotation="255"/>
    </xf>
    <xf numFmtId="0" fontId="2" fillId="5" borderId="2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9A6F-236D-4556-9840-5E7F684693B6}">
  <dimension ref="A1:S769"/>
  <sheetViews>
    <sheetView zoomScale="68" workbookViewId="0">
      <selection activeCell="X14" sqref="X14"/>
    </sheetView>
  </sheetViews>
  <sheetFormatPr defaultRowHeight="14.4" x14ac:dyDescent="0.3"/>
  <cols>
    <col min="1" max="1" width="11.109375" bestFit="1" customWidth="1"/>
    <col min="3" max="4" width="13.109375" bestFit="1" customWidth="1"/>
    <col min="7" max="7" width="23.21875" bestFit="1" customWidth="1"/>
    <col min="11" max="11" width="13.109375" bestFit="1" customWidth="1"/>
    <col min="12" max="12" width="12.21875" bestFit="1" customWidth="1"/>
    <col min="14" max="14" width="12.6640625" bestFit="1" customWidth="1"/>
    <col min="15" max="15" width="13.109375" bestFit="1" customWidth="1"/>
    <col min="16" max="16" width="8.6640625" bestFit="1" customWidth="1"/>
    <col min="17" max="17" width="12.77734375" bestFit="1" customWidth="1"/>
    <col min="18" max="18" width="12" style="10" bestFit="1" customWidth="1"/>
    <col min="19" max="19" width="11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9"/>
      <c r="K1" s="20" t="s">
        <v>15</v>
      </c>
      <c r="L1" s="21"/>
      <c r="M1" s="7"/>
      <c r="O1" s="1" t="s">
        <v>11</v>
      </c>
      <c r="P1" s="1" t="s">
        <v>12</v>
      </c>
      <c r="Q1" s="1" t="s">
        <v>17</v>
      </c>
      <c r="R1" s="9" t="s">
        <v>13</v>
      </c>
      <c r="S1" s="1" t="s">
        <v>14</v>
      </c>
    </row>
    <row r="2" spans="1:1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  <c r="J2" s="19"/>
      <c r="K2" s="6" t="s">
        <v>16</v>
      </c>
      <c r="L2" s="6" t="s">
        <v>9</v>
      </c>
      <c r="M2" s="7"/>
      <c r="O2">
        <f>IF(B2=0,$L$11,B2)</f>
        <v>148</v>
      </c>
      <c r="P2">
        <f>IF(C2=0,$L$12,C2)</f>
        <v>72</v>
      </c>
      <c r="Q2">
        <f>IF(D2=0,$L$13,D2)</f>
        <v>35</v>
      </c>
      <c r="R2" s="10">
        <f>IF(E2=0,$L$14,E2)</f>
        <v>30.5</v>
      </c>
      <c r="S2">
        <f>IF(F2=0,$L$15,F2)</f>
        <v>33.6</v>
      </c>
    </row>
    <row r="3" spans="1:1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  <c r="J3" s="19"/>
      <c r="K3" s="3" t="s">
        <v>1</v>
      </c>
      <c r="L3" s="4">
        <f>COUNTIF(B3:B769,0)</f>
        <v>5</v>
      </c>
      <c r="M3" s="7"/>
      <c r="O3">
        <f t="shared" ref="O3:O66" si="0">IF(B3=0,$L$11,B3)</f>
        <v>85</v>
      </c>
      <c r="P3">
        <f t="shared" ref="P3:P66" si="1">IF(C3=0,$L$12,C3)</f>
        <v>66</v>
      </c>
      <c r="Q3">
        <f t="shared" ref="Q3:Q66" si="2">IF(D3=0,$L$13,D3)</f>
        <v>29</v>
      </c>
      <c r="R3" s="10">
        <f t="shared" ref="R3:R66" si="3">IF(E3=0,$L$14,E3)</f>
        <v>30.5</v>
      </c>
      <c r="S3">
        <f t="shared" ref="S3:S66" si="4">IF(F3=0,$L$15,F3)</f>
        <v>26.6</v>
      </c>
    </row>
    <row r="4" spans="1:1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  <c r="J4" s="19"/>
      <c r="K4" s="3" t="s">
        <v>2</v>
      </c>
      <c r="L4" s="4">
        <f>COUNTIF(C3:C769,0)</f>
        <v>35</v>
      </c>
      <c r="M4" s="7"/>
      <c r="O4">
        <f t="shared" si="0"/>
        <v>183</v>
      </c>
      <c r="P4">
        <f t="shared" si="1"/>
        <v>64</v>
      </c>
      <c r="Q4">
        <f t="shared" si="2"/>
        <v>23</v>
      </c>
      <c r="R4" s="10">
        <f t="shared" si="3"/>
        <v>30.5</v>
      </c>
      <c r="S4">
        <f t="shared" si="4"/>
        <v>23.3</v>
      </c>
    </row>
    <row r="5" spans="1:1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J5" s="19"/>
      <c r="K5" s="3" t="s">
        <v>3</v>
      </c>
      <c r="L5" s="4">
        <f>COUNTIF(D3:D769,0)</f>
        <v>227</v>
      </c>
      <c r="M5" s="7"/>
      <c r="O5">
        <f t="shared" si="0"/>
        <v>89</v>
      </c>
      <c r="P5">
        <f t="shared" si="1"/>
        <v>66</v>
      </c>
      <c r="Q5">
        <f t="shared" si="2"/>
        <v>23</v>
      </c>
      <c r="R5" s="10">
        <f t="shared" si="3"/>
        <v>94</v>
      </c>
      <c r="S5">
        <f t="shared" si="4"/>
        <v>28.1</v>
      </c>
    </row>
    <row r="6" spans="1:1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J6" s="19"/>
      <c r="K6" s="3" t="s">
        <v>4</v>
      </c>
      <c r="L6" s="4">
        <v>374</v>
      </c>
      <c r="M6" s="7"/>
      <c r="O6">
        <f t="shared" si="0"/>
        <v>137</v>
      </c>
      <c r="P6">
        <f t="shared" si="1"/>
        <v>40</v>
      </c>
      <c r="Q6">
        <f t="shared" si="2"/>
        <v>35</v>
      </c>
      <c r="R6" s="10">
        <f t="shared" si="3"/>
        <v>168</v>
      </c>
      <c r="S6">
        <f t="shared" si="4"/>
        <v>43.1</v>
      </c>
    </row>
    <row r="7" spans="1:1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  <c r="J7" s="19"/>
      <c r="K7" s="3" t="s">
        <v>5</v>
      </c>
      <c r="L7" s="4">
        <f>COUNTIF(F4:F769,0)</f>
        <v>11</v>
      </c>
      <c r="M7" s="7"/>
      <c r="O7">
        <f t="shared" si="0"/>
        <v>116</v>
      </c>
      <c r="P7">
        <f t="shared" si="1"/>
        <v>74</v>
      </c>
      <c r="Q7">
        <f t="shared" si="2"/>
        <v>23</v>
      </c>
      <c r="R7" s="10">
        <f t="shared" si="3"/>
        <v>30.5</v>
      </c>
      <c r="S7">
        <f t="shared" si="4"/>
        <v>25.6</v>
      </c>
    </row>
    <row r="8" spans="1:1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J8" s="19"/>
      <c r="K8" s="5"/>
      <c r="L8" s="5"/>
      <c r="M8" s="7"/>
      <c r="O8">
        <f t="shared" si="0"/>
        <v>78</v>
      </c>
      <c r="P8">
        <f t="shared" si="1"/>
        <v>50</v>
      </c>
      <c r="Q8">
        <f t="shared" si="2"/>
        <v>32</v>
      </c>
      <c r="R8" s="10">
        <f t="shared" si="3"/>
        <v>88</v>
      </c>
      <c r="S8">
        <f t="shared" si="4"/>
        <v>31</v>
      </c>
    </row>
    <row r="9" spans="1:1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  <c r="J9" s="19"/>
      <c r="K9" s="22" t="s">
        <v>18</v>
      </c>
      <c r="L9" s="22"/>
      <c r="M9" s="7"/>
      <c r="O9">
        <f t="shared" si="0"/>
        <v>115</v>
      </c>
      <c r="P9">
        <f t="shared" si="1"/>
        <v>72</v>
      </c>
      <c r="Q9">
        <f t="shared" si="2"/>
        <v>23</v>
      </c>
      <c r="R9" s="10">
        <f t="shared" si="3"/>
        <v>30.5</v>
      </c>
      <c r="S9">
        <f t="shared" si="4"/>
        <v>35.299999999999997</v>
      </c>
    </row>
    <row r="10" spans="1:1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J10" s="19"/>
      <c r="K10" s="6" t="s">
        <v>16</v>
      </c>
      <c r="L10" s="6" t="s">
        <v>10</v>
      </c>
      <c r="M10" s="7"/>
      <c r="O10">
        <f t="shared" si="0"/>
        <v>197</v>
      </c>
      <c r="P10">
        <f t="shared" si="1"/>
        <v>70</v>
      </c>
      <c r="Q10">
        <f t="shared" si="2"/>
        <v>45</v>
      </c>
      <c r="R10" s="10">
        <f t="shared" si="3"/>
        <v>543</v>
      </c>
      <c r="S10">
        <f t="shared" si="4"/>
        <v>30.5</v>
      </c>
    </row>
    <row r="11" spans="1:1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  <c r="J11" s="19"/>
      <c r="K11" s="3" t="s">
        <v>1</v>
      </c>
      <c r="L11" s="18">
        <f>MEDIAN(B2:B769)</f>
        <v>117</v>
      </c>
      <c r="M11" s="7"/>
      <c r="O11">
        <f t="shared" si="0"/>
        <v>125</v>
      </c>
      <c r="P11">
        <f t="shared" si="1"/>
        <v>96</v>
      </c>
      <c r="Q11">
        <f t="shared" si="2"/>
        <v>23</v>
      </c>
      <c r="R11" s="10">
        <f t="shared" si="3"/>
        <v>30.5</v>
      </c>
      <c r="S11">
        <f t="shared" si="4"/>
        <v>32</v>
      </c>
    </row>
    <row r="12" spans="1:1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  <c r="J12" s="19"/>
      <c r="K12" s="3" t="s">
        <v>2</v>
      </c>
      <c r="L12" s="18">
        <f>MEDIAN(C2:C769)</f>
        <v>72</v>
      </c>
      <c r="M12" s="7"/>
      <c r="O12">
        <f t="shared" si="0"/>
        <v>110</v>
      </c>
      <c r="P12">
        <f t="shared" si="1"/>
        <v>92</v>
      </c>
      <c r="Q12">
        <f t="shared" si="2"/>
        <v>23</v>
      </c>
      <c r="R12" s="10">
        <f t="shared" si="3"/>
        <v>30.5</v>
      </c>
      <c r="S12">
        <f t="shared" si="4"/>
        <v>37.6</v>
      </c>
    </row>
    <row r="13" spans="1:1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  <c r="J13" s="19"/>
      <c r="K13" s="3" t="s">
        <v>3</v>
      </c>
      <c r="L13" s="18">
        <f>MEDIAN(D2:D769)</f>
        <v>23</v>
      </c>
      <c r="M13" s="7"/>
      <c r="O13">
        <f t="shared" si="0"/>
        <v>168</v>
      </c>
      <c r="P13">
        <f t="shared" si="1"/>
        <v>74</v>
      </c>
      <c r="Q13">
        <f t="shared" si="2"/>
        <v>23</v>
      </c>
      <c r="R13" s="10">
        <f t="shared" si="3"/>
        <v>30.5</v>
      </c>
      <c r="S13">
        <f t="shared" si="4"/>
        <v>38</v>
      </c>
    </row>
    <row r="14" spans="1:1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  <c r="J14" s="19"/>
      <c r="K14" s="3" t="s">
        <v>4</v>
      </c>
      <c r="L14" s="18">
        <f>MEDIAN(E2:E769)</f>
        <v>30.5</v>
      </c>
      <c r="M14" s="7"/>
      <c r="O14">
        <f t="shared" si="0"/>
        <v>139</v>
      </c>
      <c r="P14">
        <f t="shared" si="1"/>
        <v>80</v>
      </c>
      <c r="Q14">
        <f t="shared" si="2"/>
        <v>23</v>
      </c>
      <c r="R14" s="10">
        <f t="shared" si="3"/>
        <v>30.5</v>
      </c>
      <c r="S14">
        <f t="shared" si="4"/>
        <v>27.1</v>
      </c>
    </row>
    <row r="15" spans="1:1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  <c r="J15" s="19"/>
      <c r="K15" s="3" t="s">
        <v>5</v>
      </c>
      <c r="L15" s="18">
        <f>MEDIAN(F2:F769)</f>
        <v>32</v>
      </c>
      <c r="M15" s="7"/>
      <c r="O15">
        <f t="shared" si="0"/>
        <v>189</v>
      </c>
      <c r="P15">
        <f t="shared" si="1"/>
        <v>60</v>
      </c>
      <c r="Q15">
        <f t="shared" si="2"/>
        <v>23</v>
      </c>
      <c r="R15" s="10">
        <f t="shared" si="3"/>
        <v>846</v>
      </c>
      <c r="S15">
        <f t="shared" si="4"/>
        <v>30.1</v>
      </c>
    </row>
    <row r="16" spans="1:1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  <c r="J16" s="19"/>
      <c r="M16" s="7"/>
      <c r="O16">
        <f t="shared" si="0"/>
        <v>166</v>
      </c>
      <c r="P16">
        <f t="shared" si="1"/>
        <v>72</v>
      </c>
      <c r="Q16">
        <f t="shared" si="2"/>
        <v>19</v>
      </c>
      <c r="R16" s="10">
        <f t="shared" si="3"/>
        <v>175</v>
      </c>
      <c r="S16">
        <f t="shared" si="4"/>
        <v>25.8</v>
      </c>
    </row>
    <row r="17" spans="1:1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  <c r="J17" s="19"/>
      <c r="M17" s="7"/>
      <c r="O17">
        <f t="shared" si="0"/>
        <v>100</v>
      </c>
      <c r="P17">
        <f t="shared" si="1"/>
        <v>72</v>
      </c>
      <c r="Q17">
        <f t="shared" si="2"/>
        <v>23</v>
      </c>
      <c r="R17" s="10">
        <f t="shared" si="3"/>
        <v>30.5</v>
      </c>
      <c r="S17">
        <f t="shared" si="4"/>
        <v>30</v>
      </c>
    </row>
    <row r="18" spans="1:1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  <c r="J18" s="19"/>
      <c r="M18" s="7"/>
      <c r="O18">
        <f t="shared" si="0"/>
        <v>118</v>
      </c>
      <c r="P18">
        <f t="shared" si="1"/>
        <v>84</v>
      </c>
      <c r="Q18">
        <f t="shared" si="2"/>
        <v>47</v>
      </c>
      <c r="R18" s="10">
        <f t="shared" si="3"/>
        <v>230</v>
      </c>
      <c r="S18">
        <f t="shared" si="4"/>
        <v>45.8</v>
      </c>
    </row>
    <row r="19" spans="1:1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  <c r="J19" s="19"/>
      <c r="M19" s="7"/>
      <c r="O19">
        <f t="shared" si="0"/>
        <v>107</v>
      </c>
      <c r="P19">
        <f t="shared" si="1"/>
        <v>74</v>
      </c>
      <c r="Q19">
        <f t="shared" si="2"/>
        <v>23</v>
      </c>
      <c r="R19" s="10">
        <f t="shared" si="3"/>
        <v>30.5</v>
      </c>
      <c r="S19">
        <f t="shared" si="4"/>
        <v>29.6</v>
      </c>
    </row>
    <row r="20" spans="1:1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  <c r="J20" s="19"/>
      <c r="M20" s="7"/>
      <c r="O20">
        <f t="shared" si="0"/>
        <v>103</v>
      </c>
      <c r="P20">
        <f t="shared" si="1"/>
        <v>30</v>
      </c>
      <c r="Q20">
        <f t="shared" si="2"/>
        <v>38</v>
      </c>
      <c r="R20" s="10">
        <f t="shared" si="3"/>
        <v>83</v>
      </c>
      <c r="S20">
        <f t="shared" si="4"/>
        <v>43.3</v>
      </c>
    </row>
    <row r="21" spans="1:1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  <c r="J21" s="19"/>
      <c r="M21" s="7"/>
      <c r="O21">
        <f t="shared" si="0"/>
        <v>115</v>
      </c>
      <c r="P21">
        <f t="shared" si="1"/>
        <v>70</v>
      </c>
      <c r="Q21">
        <f t="shared" si="2"/>
        <v>30</v>
      </c>
      <c r="R21" s="10">
        <f t="shared" si="3"/>
        <v>96</v>
      </c>
      <c r="S21">
        <f t="shared" si="4"/>
        <v>34.6</v>
      </c>
    </row>
    <row r="22" spans="1:1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  <c r="J22" s="19"/>
      <c r="M22" s="7"/>
      <c r="O22">
        <f t="shared" si="0"/>
        <v>126</v>
      </c>
      <c r="P22">
        <f t="shared" si="1"/>
        <v>88</v>
      </c>
      <c r="Q22">
        <f t="shared" si="2"/>
        <v>41</v>
      </c>
      <c r="R22" s="10">
        <f t="shared" si="3"/>
        <v>235</v>
      </c>
      <c r="S22">
        <f t="shared" si="4"/>
        <v>39.299999999999997</v>
      </c>
    </row>
    <row r="23" spans="1:1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  <c r="J23" s="19"/>
      <c r="M23" s="7"/>
      <c r="O23">
        <f t="shared" si="0"/>
        <v>99</v>
      </c>
      <c r="P23">
        <f t="shared" si="1"/>
        <v>84</v>
      </c>
      <c r="Q23">
        <f t="shared" si="2"/>
        <v>23</v>
      </c>
      <c r="R23" s="10">
        <f t="shared" si="3"/>
        <v>30.5</v>
      </c>
      <c r="S23">
        <f t="shared" si="4"/>
        <v>35.4</v>
      </c>
    </row>
    <row r="24" spans="1:1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  <c r="J24" s="19"/>
      <c r="M24" s="7"/>
      <c r="O24">
        <f t="shared" si="0"/>
        <v>196</v>
      </c>
      <c r="P24">
        <f t="shared" si="1"/>
        <v>90</v>
      </c>
      <c r="Q24">
        <f t="shared" si="2"/>
        <v>23</v>
      </c>
      <c r="R24" s="10">
        <f t="shared" si="3"/>
        <v>30.5</v>
      </c>
      <c r="S24">
        <f t="shared" si="4"/>
        <v>39.799999999999997</v>
      </c>
    </row>
    <row r="25" spans="1:1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  <c r="J25" s="19"/>
      <c r="M25" s="7"/>
      <c r="O25">
        <f t="shared" si="0"/>
        <v>119</v>
      </c>
      <c r="P25">
        <f t="shared" si="1"/>
        <v>80</v>
      </c>
      <c r="Q25">
        <f t="shared" si="2"/>
        <v>35</v>
      </c>
      <c r="R25" s="10">
        <f t="shared" si="3"/>
        <v>30.5</v>
      </c>
      <c r="S25">
        <f t="shared" si="4"/>
        <v>29</v>
      </c>
    </row>
    <row r="26" spans="1:1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J26" s="19"/>
      <c r="M26" s="7"/>
      <c r="O26">
        <f t="shared" si="0"/>
        <v>143</v>
      </c>
      <c r="P26">
        <f t="shared" si="1"/>
        <v>94</v>
      </c>
      <c r="Q26">
        <f t="shared" si="2"/>
        <v>33</v>
      </c>
      <c r="R26" s="10">
        <f t="shared" si="3"/>
        <v>146</v>
      </c>
      <c r="S26">
        <f t="shared" si="4"/>
        <v>36.6</v>
      </c>
    </row>
    <row r="27" spans="1:1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  <c r="J27" s="19"/>
      <c r="M27" s="7"/>
      <c r="O27">
        <f t="shared" si="0"/>
        <v>125</v>
      </c>
      <c r="P27">
        <f t="shared" si="1"/>
        <v>70</v>
      </c>
      <c r="Q27">
        <f t="shared" si="2"/>
        <v>26</v>
      </c>
      <c r="R27" s="10">
        <f t="shared" si="3"/>
        <v>115</v>
      </c>
      <c r="S27">
        <f t="shared" si="4"/>
        <v>31.1</v>
      </c>
    </row>
    <row r="28" spans="1:1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  <c r="J28" s="19"/>
      <c r="M28" s="7"/>
      <c r="O28">
        <f t="shared" si="0"/>
        <v>147</v>
      </c>
      <c r="P28">
        <f t="shared" si="1"/>
        <v>76</v>
      </c>
      <c r="Q28">
        <f t="shared" si="2"/>
        <v>23</v>
      </c>
      <c r="R28" s="10">
        <f t="shared" si="3"/>
        <v>30.5</v>
      </c>
      <c r="S28">
        <f t="shared" si="4"/>
        <v>39.4</v>
      </c>
    </row>
    <row r="29" spans="1:1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  <c r="J29" s="19"/>
      <c r="M29" s="7"/>
      <c r="O29">
        <f t="shared" si="0"/>
        <v>97</v>
      </c>
      <c r="P29">
        <f t="shared" si="1"/>
        <v>66</v>
      </c>
      <c r="Q29">
        <f t="shared" si="2"/>
        <v>15</v>
      </c>
      <c r="R29" s="10">
        <f t="shared" si="3"/>
        <v>140</v>
      </c>
      <c r="S29">
        <f t="shared" si="4"/>
        <v>23.2</v>
      </c>
    </row>
    <row r="30" spans="1:1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  <c r="J30" s="19"/>
      <c r="M30" s="7"/>
      <c r="O30">
        <f t="shared" si="0"/>
        <v>145</v>
      </c>
      <c r="P30">
        <f t="shared" si="1"/>
        <v>82</v>
      </c>
      <c r="Q30">
        <f t="shared" si="2"/>
        <v>19</v>
      </c>
      <c r="R30" s="10">
        <f t="shared" si="3"/>
        <v>110</v>
      </c>
      <c r="S30">
        <f t="shared" si="4"/>
        <v>22.2</v>
      </c>
    </row>
    <row r="31" spans="1:1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  <c r="J31" s="19"/>
      <c r="M31" s="7"/>
      <c r="O31">
        <f t="shared" si="0"/>
        <v>117</v>
      </c>
      <c r="P31">
        <f t="shared" si="1"/>
        <v>92</v>
      </c>
      <c r="Q31">
        <f t="shared" si="2"/>
        <v>23</v>
      </c>
      <c r="R31" s="10">
        <f t="shared" si="3"/>
        <v>30.5</v>
      </c>
      <c r="S31">
        <f t="shared" si="4"/>
        <v>34.1</v>
      </c>
    </row>
    <row r="32" spans="1:1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  <c r="J32" s="19"/>
      <c r="M32" s="7"/>
      <c r="O32">
        <f t="shared" si="0"/>
        <v>109</v>
      </c>
      <c r="P32">
        <f t="shared" si="1"/>
        <v>75</v>
      </c>
      <c r="Q32">
        <f t="shared" si="2"/>
        <v>26</v>
      </c>
      <c r="R32" s="10">
        <f t="shared" si="3"/>
        <v>30.5</v>
      </c>
      <c r="S32">
        <f t="shared" si="4"/>
        <v>36</v>
      </c>
    </row>
    <row r="33" spans="1:1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  <c r="J33" s="19"/>
      <c r="M33" s="7"/>
      <c r="O33">
        <f t="shared" si="0"/>
        <v>158</v>
      </c>
      <c r="P33">
        <f t="shared" si="1"/>
        <v>76</v>
      </c>
      <c r="Q33">
        <f t="shared" si="2"/>
        <v>36</v>
      </c>
      <c r="R33" s="10">
        <f t="shared" si="3"/>
        <v>245</v>
      </c>
      <c r="S33">
        <f t="shared" si="4"/>
        <v>31.6</v>
      </c>
    </row>
    <row r="34" spans="1:1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  <c r="J34" s="19"/>
      <c r="M34" s="7"/>
      <c r="O34">
        <f t="shared" si="0"/>
        <v>88</v>
      </c>
      <c r="P34">
        <f t="shared" si="1"/>
        <v>58</v>
      </c>
      <c r="Q34">
        <f t="shared" si="2"/>
        <v>11</v>
      </c>
      <c r="R34" s="10">
        <f t="shared" si="3"/>
        <v>54</v>
      </c>
      <c r="S34">
        <f t="shared" si="4"/>
        <v>24.8</v>
      </c>
    </row>
    <row r="35" spans="1:1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  <c r="J35" s="19"/>
      <c r="M35" s="7"/>
      <c r="O35">
        <f t="shared" si="0"/>
        <v>92</v>
      </c>
      <c r="P35">
        <f t="shared" si="1"/>
        <v>92</v>
      </c>
      <c r="Q35">
        <f t="shared" si="2"/>
        <v>23</v>
      </c>
      <c r="R35" s="10">
        <f t="shared" si="3"/>
        <v>30.5</v>
      </c>
      <c r="S35">
        <f t="shared" si="4"/>
        <v>19.899999999999999</v>
      </c>
    </row>
    <row r="36" spans="1:1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  <c r="J36" s="19"/>
      <c r="M36" s="7"/>
      <c r="O36">
        <f t="shared" si="0"/>
        <v>122</v>
      </c>
      <c r="P36">
        <f t="shared" si="1"/>
        <v>78</v>
      </c>
      <c r="Q36">
        <f t="shared" si="2"/>
        <v>31</v>
      </c>
      <c r="R36" s="10">
        <f t="shared" si="3"/>
        <v>30.5</v>
      </c>
      <c r="S36">
        <f t="shared" si="4"/>
        <v>27.6</v>
      </c>
    </row>
    <row r="37" spans="1:1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  <c r="J37" s="19"/>
      <c r="M37" s="7"/>
      <c r="O37">
        <f t="shared" si="0"/>
        <v>103</v>
      </c>
      <c r="P37">
        <f t="shared" si="1"/>
        <v>60</v>
      </c>
      <c r="Q37">
        <f t="shared" si="2"/>
        <v>33</v>
      </c>
      <c r="R37" s="10">
        <f t="shared" si="3"/>
        <v>192</v>
      </c>
      <c r="S37">
        <f t="shared" si="4"/>
        <v>24</v>
      </c>
    </row>
    <row r="38" spans="1:1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  <c r="J38" s="19"/>
      <c r="M38" s="7"/>
      <c r="O38">
        <f t="shared" si="0"/>
        <v>138</v>
      </c>
      <c r="P38">
        <f t="shared" si="1"/>
        <v>76</v>
      </c>
      <c r="Q38">
        <f t="shared" si="2"/>
        <v>23</v>
      </c>
      <c r="R38" s="10">
        <f t="shared" si="3"/>
        <v>30.5</v>
      </c>
      <c r="S38">
        <f t="shared" si="4"/>
        <v>33.200000000000003</v>
      </c>
    </row>
    <row r="39" spans="1:1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  <c r="J39" s="19"/>
      <c r="M39" s="7"/>
      <c r="O39">
        <f t="shared" si="0"/>
        <v>102</v>
      </c>
      <c r="P39">
        <f t="shared" si="1"/>
        <v>76</v>
      </c>
      <c r="Q39">
        <f t="shared" si="2"/>
        <v>37</v>
      </c>
      <c r="R39" s="10">
        <f t="shared" si="3"/>
        <v>30.5</v>
      </c>
      <c r="S39">
        <f t="shared" si="4"/>
        <v>32.9</v>
      </c>
    </row>
    <row r="40" spans="1:1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  <c r="J40" s="19"/>
      <c r="M40" s="7"/>
      <c r="O40">
        <f t="shared" si="0"/>
        <v>90</v>
      </c>
      <c r="P40">
        <f t="shared" si="1"/>
        <v>68</v>
      </c>
      <c r="Q40">
        <f t="shared" si="2"/>
        <v>42</v>
      </c>
      <c r="R40" s="10">
        <f t="shared" si="3"/>
        <v>30.5</v>
      </c>
      <c r="S40">
        <f t="shared" si="4"/>
        <v>38.200000000000003</v>
      </c>
    </row>
    <row r="41" spans="1:1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  <c r="J41" s="19"/>
      <c r="M41" s="7"/>
      <c r="O41">
        <f t="shared" si="0"/>
        <v>111</v>
      </c>
      <c r="P41">
        <f t="shared" si="1"/>
        <v>72</v>
      </c>
      <c r="Q41">
        <f t="shared" si="2"/>
        <v>47</v>
      </c>
      <c r="R41" s="10">
        <f t="shared" si="3"/>
        <v>207</v>
      </c>
      <c r="S41">
        <f t="shared" si="4"/>
        <v>37.1</v>
      </c>
    </row>
    <row r="42" spans="1:1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  <c r="J42" s="19"/>
      <c r="M42" s="7"/>
      <c r="O42">
        <f t="shared" si="0"/>
        <v>180</v>
      </c>
      <c r="P42">
        <f t="shared" si="1"/>
        <v>64</v>
      </c>
      <c r="Q42">
        <f t="shared" si="2"/>
        <v>25</v>
      </c>
      <c r="R42" s="10">
        <f t="shared" si="3"/>
        <v>70</v>
      </c>
      <c r="S42">
        <f t="shared" si="4"/>
        <v>34</v>
      </c>
    </row>
    <row r="43" spans="1:1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  <c r="J43" s="19"/>
      <c r="M43" s="7"/>
      <c r="O43">
        <f t="shared" si="0"/>
        <v>133</v>
      </c>
      <c r="P43">
        <f t="shared" si="1"/>
        <v>84</v>
      </c>
      <c r="Q43">
        <f t="shared" si="2"/>
        <v>23</v>
      </c>
      <c r="R43" s="10">
        <f t="shared" si="3"/>
        <v>30.5</v>
      </c>
      <c r="S43">
        <f t="shared" si="4"/>
        <v>40.200000000000003</v>
      </c>
    </row>
    <row r="44" spans="1:1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  <c r="J44" s="19"/>
      <c r="M44" s="7"/>
      <c r="O44">
        <f t="shared" si="0"/>
        <v>106</v>
      </c>
      <c r="P44">
        <f t="shared" si="1"/>
        <v>92</v>
      </c>
      <c r="Q44">
        <f t="shared" si="2"/>
        <v>18</v>
      </c>
      <c r="R44" s="10">
        <f t="shared" si="3"/>
        <v>30.5</v>
      </c>
      <c r="S44">
        <f t="shared" si="4"/>
        <v>22.7</v>
      </c>
    </row>
    <row r="45" spans="1:1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  <c r="J45" s="19"/>
      <c r="M45" s="7"/>
      <c r="O45">
        <f t="shared" si="0"/>
        <v>171</v>
      </c>
      <c r="P45">
        <f t="shared" si="1"/>
        <v>110</v>
      </c>
      <c r="Q45">
        <f t="shared" si="2"/>
        <v>24</v>
      </c>
      <c r="R45" s="10">
        <f t="shared" si="3"/>
        <v>240</v>
      </c>
      <c r="S45">
        <f t="shared" si="4"/>
        <v>45.4</v>
      </c>
    </row>
    <row r="46" spans="1:1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  <c r="J46" s="19"/>
      <c r="M46" s="7"/>
      <c r="O46">
        <f t="shared" si="0"/>
        <v>159</v>
      </c>
      <c r="P46">
        <f t="shared" si="1"/>
        <v>64</v>
      </c>
      <c r="Q46">
        <f t="shared" si="2"/>
        <v>23</v>
      </c>
      <c r="R46" s="10">
        <f t="shared" si="3"/>
        <v>30.5</v>
      </c>
      <c r="S46">
        <f t="shared" si="4"/>
        <v>27.4</v>
      </c>
    </row>
    <row r="47" spans="1:1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  <c r="J47" s="19"/>
      <c r="M47" s="7"/>
      <c r="O47">
        <f t="shared" si="0"/>
        <v>180</v>
      </c>
      <c r="P47">
        <f t="shared" si="1"/>
        <v>66</v>
      </c>
      <c r="Q47">
        <f t="shared" si="2"/>
        <v>39</v>
      </c>
      <c r="R47" s="10">
        <f t="shared" si="3"/>
        <v>30.5</v>
      </c>
      <c r="S47">
        <f t="shared" si="4"/>
        <v>42</v>
      </c>
    </row>
    <row r="48" spans="1:1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  <c r="J48" s="19"/>
      <c r="M48" s="7"/>
      <c r="O48">
        <f t="shared" si="0"/>
        <v>146</v>
      </c>
      <c r="P48">
        <f t="shared" si="1"/>
        <v>56</v>
      </c>
      <c r="Q48">
        <f t="shared" si="2"/>
        <v>23</v>
      </c>
      <c r="R48" s="10">
        <f t="shared" si="3"/>
        <v>30.5</v>
      </c>
      <c r="S48">
        <f t="shared" si="4"/>
        <v>29.7</v>
      </c>
    </row>
    <row r="49" spans="1:1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  <c r="J49" s="19"/>
      <c r="M49" s="7"/>
      <c r="O49">
        <f t="shared" si="0"/>
        <v>71</v>
      </c>
      <c r="P49">
        <f t="shared" si="1"/>
        <v>70</v>
      </c>
      <c r="Q49">
        <f t="shared" si="2"/>
        <v>27</v>
      </c>
      <c r="R49" s="10">
        <f t="shared" si="3"/>
        <v>30.5</v>
      </c>
      <c r="S49">
        <f t="shared" si="4"/>
        <v>28</v>
      </c>
    </row>
    <row r="50" spans="1:1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  <c r="J50" s="19"/>
      <c r="M50" s="7"/>
      <c r="O50">
        <f t="shared" si="0"/>
        <v>103</v>
      </c>
      <c r="P50">
        <f t="shared" si="1"/>
        <v>66</v>
      </c>
      <c r="Q50">
        <f t="shared" si="2"/>
        <v>32</v>
      </c>
      <c r="R50" s="10">
        <f t="shared" si="3"/>
        <v>30.5</v>
      </c>
      <c r="S50">
        <f t="shared" si="4"/>
        <v>39.1</v>
      </c>
    </row>
    <row r="51" spans="1:1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  <c r="J51" s="19"/>
      <c r="M51" s="7"/>
      <c r="O51">
        <f t="shared" si="0"/>
        <v>105</v>
      </c>
      <c r="P51">
        <f t="shared" si="1"/>
        <v>72</v>
      </c>
      <c r="Q51">
        <f t="shared" si="2"/>
        <v>23</v>
      </c>
      <c r="R51" s="10">
        <f t="shared" si="3"/>
        <v>30.5</v>
      </c>
      <c r="S51">
        <f t="shared" si="4"/>
        <v>32</v>
      </c>
    </row>
    <row r="52" spans="1:1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  <c r="J52" s="19"/>
      <c r="M52" s="7"/>
      <c r="O52">
        <f t="shared" si="0"/>
        <v>103</v>
      </c>
      <c r="P52">
        <f t="shared" si="1"/>
        <v>80</v>
      </c>
      <c r="Q52">
        <f t="shared" si="2"/>
        <v>11</v>
      </c>
      <c r="R52" s="10">
        <f t="shared" si="3"/>
        <v>82</v>
      </c>
      <c r="S52">
        <f t="shared" si="4"/>
        <v>19.399999999999999</v>
      </c>
    </row>
    <row r="53" spans="1:1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  <c r="J53" s="19"/>
      <c r="M53" s="7"/>
      <c r="O53">
        <f t="shared" si="0"/>
        <v>101</v>
      </c>
      <c r="P53">
        <f t="shared" si="1"/>
        <v>50</v>
      </c>
      <c r="Q53">
        <f t="shared" si="2"/>
        <v>15</v>
      </c>
      <c r="R53" s="10">
        <f t="shared" si="3"/>
        <v>36</v>
      </c>
      <c r="S53">
        <f t="shared" si="4"/>
        <v>24.2</v>
      </c>
    </row>
    <row r="54" spans="1:1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  <c r="J54" s="19"/>
      <c r="M54" s="7"/>
      <c r="O54">
        <f t="shared" si="0"/>
        <v>88</v>
      </c>
      <c r="P54">
        <f t="shared" si="1"/>
        <v>66</v>
      </c>
      <c r="Q54">
        <f t="shared" si="2"/>
        <v>21</v>
      </c>
      <c r="R54" s="10">
        <f t="shared" si="3"/>
        <v>23</v>
      </c>
      <c r="S54">
        <f t="shared" si="4"/>
        <v>24.4</v>
      </c>
    </row>
    <row r="55" spans="1:1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  <c r="J55" s="19"/>
      <c r="M55" s="7"/>
      <c r="O55">
        <f t="shared" si="0"/>
        <v>176</v>
      </c>
      <c r="P55">
        <f t="shared" si="1"/>
        <v>90</v>
      </c>
      <c r="Q55">
        <f t="shared" si="2"/>
        <v>34</v>
      </c>
      <c r="R55" s="10">
        <f t="shared" si="3"/>
        <v>300</v>
      </c>
      <c r="S55">
        <f t="shared" si="4"/>
        <v>33.700000000000003</v>
      </c>
    </row>
    <row r="56" spans="1:1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  <c r="J56" s="19"/>
      <c r="M56" s="7"/>
      <c r="O56">
        <f t="shared" si="0"/>
        <v>150</v>
      </c>
      <c r="P56">
        <f t="shared" si="1"/>
        <v>66</v>
      </c>
      <c r="Q56">
        <f t="shared" si="2"/>
        <v>42</v>
      </c>
      <c r="R56" s="10">
        <f t="shared" si="3"/>
        <v>342</v>
      </c>
      <c r="S56">
        <f t="shared" si="4"/>
        <v>34.700000000000003</v>
      </c>
    </row>
    <row r="57" spans="1:1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  <c r="J57" s="19"/>
      <c r="M57" s="7"/>
      <c r="O57">
        <f t="shared" si="0"/>
        <v>73</v>
      </c>
      <c r="P57">
        <f t="shared" si="1"/>
        <v>50</v>
      </c>
      <c r="Q57">
        <f t="shared" si="2"/>
        <v>10</v>
      </c>
      <c r="R57" s="10">
        <f t="shared" si="3"/>
        <v>30.5</v>
      </c>
      <c r="S57">
        <f t="shared" si="4"/>
        <v>23</v>
      </c>
    </row>
    <row r="58" spans="1:1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  <c r="J58" s="19"/>
      <c r="M58" s="7"/>
      <c r="O58">
        <f t="shared" si="0"/>
        <v>187</v>
      </c>
      <c r="P58">
        <f t="shared" si="1"/>
        <v>68</v>
      </c>
      <c r="Q58">
        <f t="shared" si="2"/>
        <v>39</v>
      </c>
      <c r="R58" s="10">
        <f t="shared" si="3"/>
        <v>304</v>
      </c>
      <c r="S58">
        <f t="shared" si="4"/>
        <v>37.700000000000003</v>
      </c>
    </row>
    <row r="59" spans="1:1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  <c r="J59" s="19"/>
      <c r="M59" s="7"/>
      <c r="O59">
        <f t="shared" si="0"/>
        <v>100</v>
      </c>
      <c r="P59">
        <f t="shared" si="1"/>
        <v>88</v>
      </c>
      <c r="Q59">
        <f t="shared" si="2"/>
        <v>60</v>
      </c>
      <c r="R59" s="10">
        <f t="shared" si="3"/>
        <v>110</v>
      </c>
      <c r="S59">
        <f t="shared" si="4"/>
        <v>46.8</v>
      </c>
    </row>
    <row r="60" spans="1:1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  <c r="J60" s="19"/>
      <c r="M60" s="7"/>
      <c r="O60">
        <f t="shared" si="0"/>
        <v>146</v>
      </c>
      <c r="P60">
        <f t="shared" si="1"/>
        <v>82</v>
      </c>
      <c r="Q60">
        <f t="shared" si="2"/>
        <v>23</v>
      </c>
      <c r="R60" s="10">
        <f t="shared" si="3"/>
        <v>30.5</v>
      </c>
      <c r="S60">
        <f t="shared" si="4"/>
        <v>40.5</v>
      </c>
    </row>
    <row r="61" spans="1:1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  <c r="J61" s="19"/>
      <c r="M61" s="7"/>
      <c r="O61">
        <f t="shared" si="0"/>
        <v>105</v>
      </c>
      <c r="P61">
        <f t="shared" si="1"/>
        <v>64</v>
      </c>
      <c r="Q61">
        <f t="shared" si="2"/>
        <v>41</v>
      </c>
      <c r="R61" s="10">
        <f t="shared" si="3"/>
        <v>142</v>
      </c>
      <c r="S61">
        <f t="shared" si="4"/>
        <v>41.5</v>
      </c>
    </row>
    <row r="62" spans="1:1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  <c r="J62" s="19"/>
      <c r="M62" s="7"/>
      <c r="O62">
        <f t="shared" si="0"/>
        <v>84</v>
      </c>
      <c r="P62">
        <f t="shared" si="1"/>
        <v>72</v>
      </c>
      <c r="Q62">
        <f t="shared" si="2"/>
        <v>23</v>
      </c>
      <c r="R62" s="10">
        <f t="shared" si="3"/>
        <v>30.5</v>
      </c>
      <c r="S62">
        <f t="shared" si="4"/>
        <v>32</v>
      </c>
    </row>
    <row r="63" spans="1:1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  <c r="J63" s="19"/>
      <c r="M63" s="7"/>
      <c r="O63">
        <f t="shared" si="0"/>
        <v>133</v>
      </c>
      <c r="P63">
        <f t="shared" si="1"/>
        <v>72</v>
      </c>
      <c r="Q63">
        <f t="shared" si="2"/>
        <v>23</v>
      </c>
      <c r="R63" s="10">
        <f t="shared" si="3"/>
        <v>30.5</v>
      </c>
      <c r="S63">
        <f t="shared" si="4"/>
        <v>32.9</v>
      </c>
    </row>
    <row r="64" spans="1:1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  <c r="J64" s="19"/>
      <c r="M64" s="7"/>
      <c r="O64">
        <f t="shared" si="0"/>
        <v>44</v>
      </c>
      <c r="P64">
        <f t="shared" si="1"/>
        <v>62</v>
      </c>
      <c r="Q64">
        <f t="shared" si="2"/>
        <v>23</v>
      </c>
      <c r="R64" s="10">
        <f t="shared" si="3"/>
        <v>30.5</v>
      </c>
      <c r="S64">
        <f t="shared" si="4"/>
        <v>25</v>
      </c>
    </row>
    <row r="65" spans="1:1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  <c r="J65" s="19"/>
      <c r="M65" s="7"/>
      <c r="O65">
        <f t="shared" si="0"/>
        <v>141</v>
      </c>
      <c r="P65">
        <f t="shared" si="1"/>
        <v>58</v>
      </c>
      <c r="Q65">
        <f t="shared" si="2"/>
        <v>34</v>
      </c>
      <c r="R65" s="10">
        <f t="shared" si="3"/>
        <v>128</v>
      </c>
      <c r="S65">
        <f t="shared" si="4"/>
        <v>25.4</v>
      </c>
    </row>
    <row r="66" spans="1:1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  <c r="J66" s="19"/>
      <c r="M66" s="7"/>
      <c r="O66">
        <f t="shared" si="0"/>
        <v>114</v>
      </c>
      <c r="P66">
        <f t="shared" si="1"/>
        <v>66</v>
      </c>
      <c r="Q66">
        <f t="shared" si="2"/>
        <v>23</v>
      </c>
      <c r="R66" s="10">
        <f t="shared" si="3"/>
        <v>30.5</v>
      </c>
      <c r="S66">
        <f t="shared" si="4"/>
        <v>32.799999999999997</v>
      </c>
    </row>
    <row r="67" spans="1:1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  <c r="J67" s="19"/>
      <c r="M67" s="7"/>
      <c r="O67">
        <f t="shared" ref="O67:O130" si="5">IF(B67=0,$L$11,B67)</f>
        <v>99</v>
      </c>
      <c r="P67">
        <f t="shared" ref="P67:P130" si="6">IF(C67=0,$L$12,C67)</f>
        <v>74</v>
      </c>
      <c r="Q67">
        <f t="shared" ref="Q67:Q130" si="7">IF(D67=0,$L$13,D67)</f>
        <v>27</v>
      </c>
      <c r="R67" s="10">
        <f t="shared" ref="R67:R130" si="8">IF(E67=0,$L$14,E67)</f>
        <v>30.5</v>
      </c>
      <c r="S67">
        <f t="shared" ref="S67:S130" si="9">IF(F67=0,$L$15,F67)</f>
        <v>29</v>
      </c>
    </row>
    <row r="68" spans="1:1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  <c r="J68" s="19"/>
      <c r="M68" s="7"/>
      <c r="O68">
        <f t="shared" si="5"/>
        <v>109</v>
      </c>
      <c r="P68">
        <f t="shared" si="6"/>
        <v>88</v>
      </c>
      <c r="Q68">
        <f t="shared" si="7"/>
        <v>30</v>
      </c>
      <c r="R68" s="10">
        <f t="shared" si="8"/>
        <v>30.5</v>
      </c>
      <c r="S68">
        <f t="shared" si="9"/>
        <v>32.5</v>
      </c>
    </row>
    <row r="69" spans="1:1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  <c r="J69" s="19"/>
      <c r="M69" s="7"/>
      <c r="O69">
        <f t="shared" si="5"/>
        <v>109</v>
      </c>
      <c r="P69">
        <f t="shared" si="6"/>
        <v>92</v>
      </c>
      <c r="Q69">
        <f t="shared" si="7"/>
        <v>23</v>
      </c>
      <c r="R69" s="10">
        <f t="shared" si="8"/>
        <v>30.5</v>
      </c>
      <c r="S69">
        <f t="shared" si="9"/>
        <v>42.7</v>
      </c>
    </row>
    <row r="70" spans="1:1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  <c r="J70" s="19"/>
      <c r="M70" s="7"/>
      <c r="O70">
        <f t="shared" si="5"/>
        <v>95</v>
      </c>
      <c r="P70">
        <f t="shared" si="6"/>
        <v>66</v>
      </c>
      <c r="Q70">
        <f t="shared" si="7"/>
        <v>13</v>
      </c>
      <c r="R70" s="10">
        <f t="shared" si="8"/>
        <v>38</v>
      </c>
      <c r="S70">
        <f t="shared" si="9"/>
        <v>19.600000000000001</v>
      </c>
    </row>
    <row r="71" spans="1:1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  <c r="J71" s="19"/>
      <c r="M71" s="7"/>
      <c r="O71">
        <f t="shared" si="5"/>
        <v>146</v>
      </c>
      <c r="P71">
        <f t="shared" si="6"/>
        <v>85</v>
      </c>
      <c r="Q71">
        <f t="shared" si="7"/>
        <v>27</v>
      </c>
      <c r="R71" s="10">
        <f t="shared" si="8"/>
        <v>100</v>
      </c>
      <c r="S71">
        <f t="shared" si="9"/>
        <v>28.9</v>
      </c>
    </row>
    <row r="72" spans="1:1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  <c r="J72" s="19"/>
      <c r="M72" s="7"/>
      <c r="O72">
        <f t="shared" si="5"/>
        <v>100</v>
      </c>
      <c r="P72">
        <f t="shared" si="6"/>
        <v>66</v>
      </c>
      <c r="Q72">
        <f t="shared" si="7"/>
        <v>20</v>
      </c>
      <c r="R72" s="10">
        <f t="shared" si="8"/>
        <v>90</v>
      </c>
      <c r="S72">
        <f t="shared" si="9"/>
        <v>32.9</v>
      </c>
    </row>
    <row r="73" spans="1:1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  <c r="J73" s="19"/>
      <c r="M73" s="7"/>
      <c r="O73">
        <f t="shared" si="5"/>
        <v>139</v>
      </c>
      <c r="P73">
        <f t="shared" si="6"/>
        <v>64</v>
      </c>
      <c r="Q73">
        <f t="shared" si="7"/>
        <v>35</v>
      </c>
      <c r="R73" s="10">
        <f t="shared" si="8"/>
        <v>140</v>
      </c>
      <c r="S73">
        <f t="shared" si="9"/>
        <v>28.6</v>
      </c>
    </row>
    <row r="74" spans="1:1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  <c r="J74" s="19"/>
      <c r="M74" s="7"/>
      <c r="O74">
        <f t="shared" si="5"/>
        <v>126</v>
      </c>
      <c r="P74">
        <f t="shared" si="6"/>
        <v>90</v>
      </c>
      <c r="Q74">
        <f t="shared" si="7"/>
        <v>23</v>
      </c>
      <c r="R74" s="10">
        <f t="shared" si="8"/>
        <v>30.5</v>
      </c>
      <c r="S74">
        <f t="shared" si="9"/>
        <v>43.4</v>
      </c>
    </row>
    <row r="75" spans="1:1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  <c r="J75" s="19"/>
      <c r="M75" s="7"/>
      <c r="O75">
        <f t="shared" si="5"/>
        <v>129</v>
      </c>
      <c r="P75">
        <f t="shared" si="6"/>
        <v>86</v>
      </c>
      <c r="Q75">
        <f t="shared" si="7"/>
        <v>20</v>
      </c>
      <c r="R75" s="10">
        <f t="shared" si="8"/>
        <v>270</v>
      </c>
      <c r="S75">
        <f t="shared" si="9"/>
        <v>35.1</v>
      </c>
    </row>
    <row r="76" spans="1:1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  <c r="J76" s="19"/>
      <c r="M76" s="7"/>
      <c r="O76">
        <f t="shared" si="5"/>
        <v>79</v>
      </c>
      <c r="P76">
        <f t="shared" si="6"/>
        <v>75</v>
      </c>
      <c r="Q76">
        <f t="shared" si="7"/>
        <v>30</v>
      </c>
      <c r="R76" s="10">
        <f t="shared" si="8"/>
        <v>30.5</v>
      </c>
      <c r="S76">
        <f t="shared" si="9"/>
        <v>32</v>
      </c>
    </row>
    <row r="77" spans="1:1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  <c r="J77" s="19"/>
      <c r="M77" s="7"/>
      <c r="O77">
        <f t="shared" si="5"/>
        <v>117</v>
      </c>
      <c r="P77">
        <f t="shared" si="6"/>
        <v>48</v>
      </c>
      <c r="Q77">
        <f t="shared" si="7"/>
        <v>20</v>
      </c>
      <c r="R77" s="10">
        <f t="shared" si="8"/>
        <v>30.5</v>
      </c>
      <c r="S77">
        <f t="shared" si="9"/>
        <v>24.7</v>
      </c>
    </row>
    <row r="78" spans="1:1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  <c r="J78" s="19"/>
      <c r="M78" s="7"/>
      <c r="O78">
        <f t="shared" si="5"/>
        <v>62</v>
      </c>
      <c r="P78">
        <f t="shared" si="6"/>
        <v>78</v>
      </c>
      <c r="Q78">
        <f t="shared" si="7"/>
        <v>23</v>
      </c>
      <c r="R78" s="10">
        <f t="shared" si="8"/>
        <v>30.5</v>
      </c>
      <c r="S78">
        <f t="shared" si="9"/>
        <v>32.6</v>
      </c>
    </row>
    <row r="79" spans="1:1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  <c r="J79" s="19"/>
      <c r="M79" s="7"/>
      <c r="O79">
        <f t="shared" si="5"/>
        <v>95</v>
      </c>
      <c r="P79">
        <f t="shared" si="6"/>
        <v>72</v>
      </c>
      <c r="Q79">
        <f t="shared" si="7"/>
        <v>33</v>
      </c>
      <c r="R79" s="10">
        <f t="shared" si="8"/>
        <v>30.5</v>
      </c>
      <c r="S79">
        <f t="shared" si="9"/>
        <v>37.700000000000003</v>
      </c>
    </row>
    <row r="80" spans="1:1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  <c r="J80" s="19"/>
      <c r="M80" s="7"/>
      <c r="O80">
        <f t="shared" si="5"/>
        <v>131</v>
      </c>
      <c r="P80">
        <f t="shared" si="6"/>
        <v>72</v>
      </c>
      <c r="Q80">
        <f t="shared" si="7"/>
        <v>23</v>
      </c>
      <c r="R80" s="10">
        <f t="shared" si="8"/>
        <v>30.5</v>
      </c>
      <c r="S80">
        <f t="shared" si="9"/>
        <v>43.2</v>
      </c>
    </row>
    <row r="81" spans="1:1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  <c r="J81" s="19"/>
      <c r="M81" s="7"/>
      <c r="O81">
        <f t="shared" si="5"/>
        <v>112</v>
      </c>
      <c r="P81">
        <f t="shared" si="6"/>
        <v>66</v>
      </c>
      <c r="Q81">
        <f t="shared" si="7"/>
        <v>22</v>
      </c>
      <c r="R81" s="10">
        <f t="shared" si="8"/>
        <v>30.5</v>
      </c>
      <c r="S81">
        <f t="shared" si="9"/>
        <v>25</v>
      </c>
    </row>
    <row r="82" spans="1:1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  <c r="J82" s="19"/>
      <c r="M82" s="7"/>
      <c r="O82">
        <f t="shared" si="5"/>
        <v>113</v>
      </c>
      <c r="P82">
        <f t="shared" si="6"/>
        <v>44</v>
      </c>
      <c r="Q82">
        <f t="shared" si="7"/>
        <v>13</v>
      </c>
      <c r="R82" s="10">
        <f t="shared" si="8"/>
        <v>30.5</v>
      </c>
      <c r="S82">
        <f t="shared" si="9"/>
        <v>22.4</v>
      </c>
    </row>
    <row r="83" spans="1:1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  <c r="J83" s="19"/>
      <c r="M83" s="7"/>
      <c r="O83">
        <f t="shared" si="5"/>
        <v>74</v>
      </c>
      <c r="P83">
        <f t="shared" si="6"/>
        <v>72</v>
      </c>
      <c r="Q83">
        <f t="shared" si="7"/>
        <v>23</v>
      </c>
      <c r="R83" s="10">
        <f t="shared" si="8"/>
        <v>30.5</v>
      </c>
      <c r="S83">
        <f t="shared" si="9"/>
        <v>32</v>
      </c>
    </row>
    <row r="84" spans="1:1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  <c r="J84" s="19"/>
      <c r="M84" s="7"/>
      <c r="O84">
        <f t="shared" si="5"/>
        <v>83</v>
      </c>
      <c r="P84">
        <f t="shared" si="6"/>
        <v>78</v>
      </c>
      <c r="Q84">
        <f t="shared" si="7"/>
        <v>26</v>
      </c>
      <c r="R84" s="10">
        <f t="shared" si="8"/>
        <v>71</v>
      </c>
      <c r="S84">
        <f t="shared" si="9"/>
        <v>29.3</v>
      </c>
    </row>
    <row r="85" spans="1:1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  <c r="J85" s="19"/>
      <c r="M85" s="7"/>
      <c r="O85">
        <f t="shared" si="5"/>
        <v>101</v>
      </c>
      <c r="P85">
        <f t="shared" si="6"/>
        <v>65</v>
      </c>
      <c r="Q85">
        <f t="shared" si="7"/>
        <v>28</v>
      </c>
      <c r="R85" s="10">
        <f t="shared" si="8"/>
        <v>30.5</v>
      </c>
      <c r="S85">
        <f t="shared" si="9"/>
        <v>24.6</v>
      </c>
    </row>
    <row r="86" spans="1:1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  <c r="J86" s="19"/>
      <c r="M86" s="7"/>
      <c r="O86">
        <f t="shared" si="5"/>
        <v>137</v>
      </c>
      <c r="P86">
        <f t="shared" si="6"/>
        <v>108</v>
      </c>
      <c r="Q86">
        <f t="shared" si="7"/>
        <v>23</v>
      </c>
      <c r="R86" s="10">
        <f t="shared" si="8"/>
        <v>30.5</v>
      </c>
      <c r="S86">
        <f t="shared" si="9"/>
        <v>48.8</v>
      </c>
    </row>
    <row r="87" spans="1:1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  <c r="J87" s="19"/>
      <c r="M87" s="7"/>
      <c r="O87">
        <f t="shared" si="5"/>
        <v>110</v>
      </c>
      <c r="P87">
        <f t="shared" si="6"/>
        <v>74</v>
      </c>
      <c r="Q87">
        <f t="shared" si="7"/>
        <v>29</v>
      </c>
      <c r="R87" s="10">
        <f t="shared" si="8"/>
        <v>125</v>
      </c>
      <c r="S87">
        <f t="shared" si="9"/>
        <v>32.4</v>
      </c>
    </row>
    <row r="88" spans="1:1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  <c r="J88" s="19"/>
      <c r="M88" s="7"/>
      <c r="O88">
        <f t="shared" si="5"/>
        <v>106</v>
      </c>
      <c r="P88">
        <f t="shared" si="6"/>
        <v>72</v>
      </c>
      <c r="Q88">
        <f t="shared" si="7"/>
        <v>54</v>
      </c>
      <c r="R88" s="10">
        <f t="shared" si="8"/>
        <v>30.5</v>
      </c>
      <c r="S88">
        <f t="shared" si="9"/>
        <v>36.6</v>
      </c>
    </row>
    <row r="89" spans="1:1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  <c r="J89" s="19"/>
      <c r="M89" s="7"/>
      <c r="O89">
        <f t="shared" si="5"/>
        <v>100</v>
      </c>
      <c r="P89">
        <f t="shared" si="6"/>
        <v>68</v>
      </c>
      <c r="Q89">
        <f t="shared" si="7"/>
        <v>25</v>
      </c>
      <c r="R89" s="10">
        <f t="shared" si="8"/>
        <v>71</v>
      </c>
      <c r="S89">
        <f t="shared" si="9"/>
        <v>38.5</v>
      </c>
    </row>
    <row r="90" spans="1:1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  <c r="J90" s="19"/>
      <c r="M90" s="7"/>
      <c r="O90">
        <f t="shared" si="5"/>
        <v>136</v>
      </c>
      <c r="P90">
        <f t="shared" si="6"/>
        <v>70</v>
      </c>
      <c r="Q90">
        <f t="shared" si="7"/>
        <v>32</v>
      </c>
      <c r="R90" s="10">
        <f t="shared" si="8"/>
        <v>110</v>
      </c>
      <c r="S90">
        <f t="shared" si="9"/>
        <v>37.1</v>
      </c>
    </row>
    <row r="91" spans="1:1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  <c r="J91" s="19"/>
      <c r="M91" s="7"/>
      <c r="O91">
        <f t="shared" si="5"/>
        <v>107</v>
      </c>
      <c r="P91">
        <f t="shared" si="6"/>
        <v>68</v>
      </c>
      <c r="Q91">
        <f t="shared" si="7"/>
        <v>19</v>
      </c>
      <c r="R91" s="10">
        <f t="shared" si="8"/>
        <v>30.5</v>
      </c>
      <c r="S91">
        <f t="shared" si="9"/>
        <v>26.5</v>
      </c>
    </row>
    <row r="92" spans="1:1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  <c r="J92" s="19"/>
      <c r="M92" s="7"/>
      <c r="O92">
        <f t="shared" si="5"/>
        <v>80</v>
      </c>
      <c r="P92">
        <f t="shared" si="6"/>
        <v>55</v>
      </c>
      <c r="Q92">
        <f t="shared" si="7"/>
        <v>23</v>
      </c>
      <c r="R92" s="10">
        <f t="shared" si="8"/>
        <v>30.5</v>
      </c>
      <c r="S92">
        <f t="shared" si="9"/>
        <v>19.100000000000001</v>
      </c>
    </row>
    <row r="93" spans="1:1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  <c r="J93" s="19"/>
      <c r="M93" s="7"/>
      <c r="O93">
        <f t="shared" si="5"/>
        <v>123</v>
      </c>
      <c r="P93">
        <f t="shared" si="6"/>
        <v>80</v>
      </c>
      <c r="Q93">
        <f t="shared" si="7"/>
        <v>15</v>
      </c>
      <c r="R93" s="10">
        <f t="shared" si="8"/>
        <v>176</v>
      </c>
      <c r="S93">
        <f t="shared" si="9"/>
        <v>32</v>
      </c>
    </row>
    <row r="94" spans="1:1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  <c r="J94" s="19"/>
      <c r="M94" s="7"/>
      <c r="O94">
        <f t="shared" si="5"/>
        <v>81</v>
      </c>
      <c r="P94">
        <f t="shared" si="6"/>
        <v>78</v>
      </c>
      <c r="Q94">
        <f t="shared" si="7"/>
        <v>40</v>
      </c>
      <c r="R94" s="10">
        <f t="shared" si="8"/>
        <v>48</v>
      </c>
      <c r="S94">
        <f t="shared" si="9"/>
        <v>46.7</v>
      </c>
    </row>
    <row r="95" spans="1:1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  <c r="J95" s="19"/>
      <c r="M95" s="7"/>
      <c r="O95">
        <f t="shared" si="5"/>
        <v>134</v>
      </c>
      <c r="P95">
        <f t="shared" si="6"/>
        <v>72</v>
      </c>
      <c r="Q95">
        <f t="shared" si="7"/>
        <v>23</v>
      </c>
      <c r="R95" s="10">
        <f t="shared" si="8"/>
        <v>30.5</v>
      </c>
      <c r="S95">
        <f t="shared" si="9"/>
        <v>23.8</v>
      </c>
    </row>
    <row r="96" spans="1:1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  <c r="J96" s="19"/>
      <c r="M96" s="7"/>
      <c r="O96">
        <f t="shared" si="5"/>
        <v>142</v>
      </c>
      <c r="P96">
        <f t="shared" si="6"/>
        <v>82</v>
      </c>
      <c r="Q96">
        <f t="shared" si="7"/>
        <v>18</v>
      </c>
      <c r="R96" s="10">
        <f t="shared" si="8"/>
        <v>64</v>
      </c>
      <c r="S96">
        <f t="shared" si="9"/>
        <v>24.7</v>
      </c>
    </row>
    <row r="97" spans="1:1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  <c r="J97" s="19"/>
      <c r="M97" s="7"/>
      <c r="O97">
        <f t="shared" si="5"/>
        <v>144</v>
      </c>
      <c r="P97">
        <f t="shared" si="6"/>
        <v>72</v>
      </c>
      <c r="Q97">
        <f t="shared" si="7"/>
        <v>27</v>
      </c>
      <c r="R97" s="10">
        <f t="shared" si="8"/>
        <v>228</v>
      </c>
      <c r="S97">
        <f t="shared" si="9"/>
        <v>33.9</v>
      </c>
    </row>
    <row r="98" spans="1:1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  <c r="J98" s="19"/>
      <c r="M98" s="7"/>
      <c r="O98">
        <f t="shared" si="5"/>
        <v>92</v>
      </c>
      <c r="P98">
        <f t="shared" si="6"/>
        <v>62</v>
      </c>
      <c r="Q98">
        <f t="shared" si="7"/>
        <v>28</v>
      </c>
      <c r="R98" s="10">
        <f t="shared" si="8"/>
        <v>30.5</v>
      </c>
      <c r="S98">
        <f t="shared" si="9"/>
        <v>31.6</v>
      </c>
    </row>
    <row r="99" spans="1:1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  <c r="J99" s="19"/>
      <c r="M99" s="7"/>
      <c r="O99">
        <f t="shared" si="5"/>
        <v>71</v>
      </c>
      <c r="P99">
        <f t="shared" si="6"/>
        <v>48</v>
      </c>
      <c r="Q99">
        <f t="shared" si="7"/>
        <v>18</v>
      </c>
      <c r="R99" s="10">
        <f t="shared" si="8"/>
        <v>76</v>
      </c>
      <c r="S99">
        <f t="shared" si="9"/>
        <v>20.399999999999999</v>
      </c>
    </row>
    <row r="100" spans="1:1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  <c r="J100" s="19"/>
      <c r="M100" s="7"/>
      <c r="O100">
        <f t="shared" si="5"/>
        <v>93</v>
      </c>
      <c r="P100">
        <f t="shared" si="6"/>
        <v>50</v>
      </c>
      <c r="Q100">
        <f t="shared" si="7"/>
        <v>30</v>
      </c>
      <c r="R100" s="10">
        <f t="shared" si="8"/>
        <v>64</v>
      </c>
      <c r="S100">
        <f t="shared" si="9"/>
        <v>28.7</v>
      </c>
    </row>
    <row r="101" spans="1:1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  <c r="J101" s="19"/>
      <c r="M101" s="7"/>
      <c r="O101">
        <f t="shared" si="5"/>
        <v>122</v>
      </c>
      <c r="P101">
        <f t="shared" si="6"/>
        <v>90</v>
      </c>
      <c r="Q101">
        <f t="shared" si="7"/>
        <v>51</v>
      </c>
      <c r="R101" s="10">
        <f t="shared" si="8"/>
        <v>220</v>
      </c>
      <c r="S101">
        <f t="shared" si="9"/>
        <v>49.7</v>
      </c>
    </row>
    <row r="102" spans="1:1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  <c r="J102" s="19"/>
      <c r="M102" s="7"/>
      <c r="O102">
        <f t="shared" si="5"/>
        <v>163</v>
      </c>
      <c r="P102">
        <f t="shared" si="6"/>
        <v>72</v>
      </c>
      <c r="Q102">
        <f t="shared" si="7"/>
        <v>23</v>
      </c>
      <c r="R102" s="10">
        <f t="shared" si="8"/>
        <v>30.5</v>
      </c>
      <c r="S102">
        <f t="shared" si="9"/>
        <v>39</v>
      </c>
    </row>
    <row r="103" spans="1:1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  <c r="J103" s="19"/>
      <c r="M103" s="7"/>
      <c r="O103">
        <f t="shared" si="5"/>
        <v>151</v>
      </c>
      <c r="P103">
        <f t="shared" si="6"/>
        <v>60</v>
      </c>
      <c r="Q103">
        <f t="shared" si="7"/>
        <v>23</v>
      </c>
      <c r="R103" s="10">
        <f t="shared" si="8"/>
        <v>30.5</v>
      </c>
      <c r="S103">
        <f t="shared" si="9"/>
        <v>26.1</v>
      </c>
    </row>
    <row r="104" spans="1:1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  <c r="J104" s="19"/>
      <c r="M104" s="7"/>
      <c r="O104">
        <f t="shared" si="5"/>
        <v>125</v>
      </c>
      <c r="P104">
        <f t="shared" si="6"/>
        <v>96</v>
      </c>
      <c r="Q104">
        <f t="shared" si="7"/>
        <v>23</v>
      </c>
      <c r="R104" s="10">
        <f t="shared" si="8"/>
        <v>30.5</v>
      </c>
      <c r="S104">
        <f t="shared" si="9"/>
        <v>22.5</v>
      </c>
    </row>
    <row r="105" spans="1:1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  <c r="J105" s="19"/>
      <c r="M105" s="7"/>
      <c r="O105">
        <f t="shared" si="5"/>
        <v>81</v>
      </c>
      <c r="P105">
        <f t="shared" si="6"/>
        <v>72</v>
      </c>
      <c r="Q105">
        <f t="shared" si="7"/>
        <v>18</v>
      </c>
      <c r="R105" s="10">
        <f t="shared" si="8"/>
        <v>40</v>
      </c>
      <c r="S105">
        <f t="shared" si="9"/>
        <v>26.6</v>
      </c>
    </row>
    <row r="106" spans="1:1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  <c r="J106" s="19"/>
      <c r="M106" s="7"/>
      <c r="O106">
        <f t="shared" si="5"/>
        <v>85</v>
      </c>
      <c r="P106">
        <f t="shared" si="6"/>
        <v>65</v>
      </c>
      <c r="Q106">
        <f t="shared" si="7"/>
        <v>23</v>
      </c>
      <c r="R106" s="10">
        <f t="shared" si="8"/>
        <v>30.5</v>
      </c>
      <c r="S106">
        <f t="shared" si="9"/>
        <v>39.6</v>
      </c>
    </row>
    <row r="107" spans="1:1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  <c r="J107" s="19"/>
      <c r="M107" s="7"/>
      <c r="O107">
        <f t="shared" si="5"/>
        <v>126</v>
      </c>
      <c r="P107">
        <f t="shared" si="6"/>
        <v>56</v>
      </c>
      <c r="Q107">
        <f t="shared" si="7"/>
        <v>29</v>
      </c>
      <c r="R107" s="10">
        <f t="shared" si="8"/>
        <v>152</v>
      </c>
      <c r="S107">
        <f t="shared" si="9"/>
        <v>28.7</v>
      </c>
    </row>
    <row r="108" spans="1:1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  <c r="J108" s="19"/>
      <c r="M108" s="7"/>
      <c r="O108">
        <f t="shared" si="5"/>
        <v>96</v>
      </c>
      <c r="P108">
        <f t="shared" si="6"/>
        <v>122</v>
      </c>
      <c r="Q108">
        <f t="shared" si="7"/>
        <v>23</v>
      </c>
      <c r="R108" s="10">
        <f t="shared" si="8"/>
        <v>30.5</v>
      </c>
      <c r="S108">
        <f t="shared" si="9"/>
        <v>22.4</v>
      </c>
    </row>
    <row r="109" spans="1:1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  <c r="J109" s="19"/>
      <c r="M109" s="7"/>
      <c r="O109">
        <f t="shared" si="5"/>
        <v>144</v>
      </c>
      <c r="P109">
        <f t="shared" si="6"/>
        <v>58</v>
      </c>
      <c r="Q109">
        <f t="shared" si="7"/>
        <v>28</v>
      </c>
      <c r="R109" s="10">
        <f t="shared" si="8"/>
        <v>140</v>
      </c>
      <c r="S109">
        <f t="shared" si="9"/>
        <v>29.5</v>
      </c>
    </row>
    <row r="110" spans="1:1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  <c r="J110" s="19"/>
      <c r="M110" s="7"/>
      <c r="O110">
        <f t="shared" si="5"/>
        <v>83</v>
      </c>
      <c r="P110">
        <f t="shared" si="6"/>
        <v>58</v>
      </c>
      <c r="Q110">
        <f t="shared" si="7"/>
        <v>31</v>
      </c>
      <c r="R110" s="10">
        <f t="shared" si="8"/>
        <v>18</v>
      </c>
      <c r="S110">
        <f t="shared" si="9"/>
        <v>34.299999999999997</v>
      </c>
    </row>
    <row r="111" spans="1:1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  <c r="J111" s="19"/>
      <c r="M111" s="7"/>
      <c r="O111">
        <f t="shared" si="5"/>
        <v>95</v>
      </c>
      <c r="P111">
        <f t="shared" si="6"/>
        <v>85</v>
      </c>
      <c r="Q111">
        <f t="shared" si="7"/>
        <v>25</v>
      </c>
      <c r="R111" s="10">
        <f t="shared" si="8"/>
        <v>36</v>
      </c>
      <c r="S111">
        <f t="shared" si="9"/>
        <v>37.4</v>
      </c>
    </row>
    <row r="112" spans="1:1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  <c r="J112" s="19"/>
      <c r="M112" s="7"/>
      <c r="O112">
        <f t="shared" si="5"/>
        <v>171</v>
      </c>
      <c r="P112">
        <f t="shared" si="6"/>
        <v>72</v>
      </c>
      <c r="Q112">
        <f t="shared" si="7"/>
        <v>33</v>
      </c>
      <c r="R112" s="10">
        <f t="shared" si="8"/>
        <v>135</v>
      </c>
      <c r="S112">
        <f t="shared" si="9"/>
        <v>33.299999999999997</v>
      </c>
    </row>
    <row r="113" spans="1:1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  <c r="J113" s="19"/>
      <c r="M113" s="7"/>
      <c r="O113">
        <f t="shared" si="5"/>
        <v>155</v>
      </c>
      <c r="P113">
        <f t="shared" si="6"/>
        <v>62</v>
      </c>
      <c r="Q113">
        <f t="shared" si="7"/>
        <v>26</v>
      </c>
      <c r="R113" s="10">
        <f t="shared" si="8"/>
        <v>495</v>
      </c>
      <c r="S113">
        <f t="shared" si="9"/>
        <v>34</v>
      </c>
    </row>
    <row r="114" spans="1:1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  <c r="J114" s="19"/>
      <c r="M114" s="7"/>
      <c r="O114">
        <f t="shared" si="5"/>
        <v>89</v>
      </c>
      <c r="P114">
        <f t="shared" si="6"/>
        <v>76</v>
      </c>
      <c r="Q114">
        <f t="shared" si="7"/>
        <v>34</v>
      </c>
      <c r="R114" s="10">
        <f t="shared" si="8"/>
        <v>37</v>
      </c>
      <c r="S114">
        <f t="shared" si="9"/>
        <v>31.2</v>
      </c>
    </row>
    <row r="115" spans="1:1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  <c r="J115" s="19"/>
      <c r="M115" s="7"/>
      <c r="O115">
        <f t="shared" si="5"/>
        <v>76</v>
      </c>
      <c r="P115">
        <f t="shared" si="6"/>
        <v>62</v>
      </c>
      <c r="Q115">
        <f t="shared" si="7"/>
        <v>23</v>
      </c>
      <c r="R115" s="10">
        <f t="shared" si="8"/>
        <v>30.5</v>
      </c>
      <c r="S115">
        <f t="shared" si="9"/>
        <v>34</v>
      </c>
    </row>
    <row r="116" spans="1:1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  <c r="J116" s="19"/>
      <c r="M116" s="7"/>
      <c r="O116">
        <f t="shared" si="5"/>
        <v>160</v>
      </c>
      <c r="P116">
        <f t="shared" si="6"/>
        <v>54</v>
      </c>
      <c r="Q116">
        <f t="shared" si="7"/>
        <v>32</v>
      </c>
      <c r="R116" s="10">
        <f t="shared" si="8"/>
        <v>175</v>
      </c>
      <c r="S116">
        <f t="shared" si="9"/>
        <v>30.5</v>
      </c>
    </row>
    <row r="117" spans="1:1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  <c r="J117" s="19"/>
      <c r="M117" s="7"/>
      <c r="O117">
        <f t="shared" si="5"/>
        <v>146</v>
      </c>
      <c r="P117">
        <f t="shared" si="6"/>
        <v>92</v>
      </c>
      <c r="Q117">
        <f t="shared" si="7"/>
        <v>23</v>
      </c>
      <c r="R117" s="10">
        <f t="shared" si="8"/>
        <v>30.5</v>
      </c>
      <c r="S117">
        <f t="shared" si="9"/>
        <v>31.2</v>
      </c>
    </row>
    <row r="118" spans="1:1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  <c r="J118" s="19"/>
      <c r="M118" s="7"/>
      <c r="O118">
        <f t="shared" si="5"/>
        <v>124</v>
      </c>
      <c r="P118">
        <f t="shared" si="6"/>
        <v>74</v>
      </c>
      <c r="Q118">
        <f t="shared" si="7"/>
        <v>23</v>
      </c>
      <c r="R118" s="10">
        <f t="shared" si="8"/>
        <v>30.5</v>
      </c>
      <c r="S118">
        <f t="shared" si="9"/>
        <v>34</v>
      </c>
    </row>
    <row r="119" spans="1:1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  <c r="J119" s="19"/>
      <c r="M119" s="7"/>
      <c r="O119">
        <f t="shared" si="5"/>
        <v>78</v>
      </c>
      <c r="P119">
        <f t="shared" si="6"/>
        <v>48</v>
      </c>
      <c r="Q119">
        <f t="shared" si="7"/>
        <v>23</v>
      </c>
      <c r="R119" s="10">
        <f t="shared" si="8"/>
        <v>30.5</v>
      </c>
      <c r="S119">
        <f t="shared" si="9"/>
        <v>33.700000000000003</v>
      </c>
    </row>
    <row r="120" spans="1:1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  <c r="J120" s="19"/>
      <c r="M120" s="7"/>
      <c r="O120">
        <f t="shared" si="5"/>
        <v>97</v>
      </c>
      <c r="P120">
        <f t="shared" si="6"/>
        <v>60</v>
      </c>
      <c r="Q120">
        <f t="shared" si="7"/>
        <v>23</v>
      </c>
      <c r="R120" s="10">
        <f t="shared" si="8"/>
        <v>30.5</v>
      </c>
      <c r="S120">
        <f t="shared" si="9"/>
        <v>28.2</v>
      </c>
    </row>
    <row r="121" spans="1:1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  <c r="J121" s="19"/>
      <c r="M121" s="7"/>
      <c r="O121">
        <f t="shared" si="5"/>
        <v>99</v>
      </c>
      <c r="P121">
        <f t="shared" si="6"/>
        <v>76</v>
      </c>
      <c r="Q121">
        <f t="shared" si="7"/>
        <v>15</v>
      </c>
      <c r="R121" s="10">
        <f t="shared" si="8"/>
        <v>51</v>
      </c>
      <c r="S121">
        <f t="shared" si="9"/>
        <v>23.2</v>
      </c>
    </row>
    <row r="122" spans="1:1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  <c r="J122" s="19"/>
      <c r="M122" s="7"/>
      <c r="O122">
        <f t="shared" si="5"/>
        <v>162</v>
      </c>
      <c r="P122">
        <f t="shared" si="6"/>
        <v>76</v>
      </c>
      <c r="Q122">
        <f t="shared" si="7"/>
        <v>56</v>
      </c>
      <c r="R122" s="10">
        <f t="shared" si="8"/>
        <v>100</v>
      </c>
      <c r="S122">
        <f t="shared" si="9"/>
        <v>53.2</v>
      </c>
    </row>
    <row r="123" spans="1:1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  <c r="J123" s="19"/>
      <c r="M123" s="7"/>
      <c r="O123">
        <f t="shared" si="5"/>
        <v>111</v>
      </c>
      <c r="P123">
        <f t="shared" si="6"/>
        <v>64</v>
      </c>
      <c r="Q123">
        <f t="shared" si="7"/>
        <v>39</v>
      </c>
      <c r="R123" s="10">
        <f t="shared" si="8"/>
        <v>30.5</v>
      </c>
      <c r="S123">
        <f t="shared" si="9"/>
        <v>34.200000000000003</v>
      </c>
    </row>
    <row r="124" spans="1:1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  <c r="J124" s="19"/>
      <c r="M124" s="7"/>
      <c r="O124">
        <f t="shared" si="5"/>
        <v>107</v>
      </c>
      <c r="P124">
        <f t="shared" si="6"/>
        <v>74</v>
      </c>
      <c r="Q124">
        <f t="shared" si="7"/>
        <v>30</v>
      </c>
      <c r="R124" s="10">
        <f t="shared" si="8"/>
        <v>100</v>
      </c>
      <c r="S124">
        <f t="shared" si="9"/>
        <v>33.6</v>
      </c>
    </row>
    <row r="125" spans="1:1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  <c r="J125" s="19"/>
      <c r="M125" s="7"/>
      <c r="O125">
        <f t="shared" si="5"/>
        <v>132</v>
      </c>
      <c r="P125">
        <f t="shared" si="6"/>
        <v>80</v>
      </c>
      <c r="Q125">
        <f t="shared" si="7"/>
        <v>23</v>
      </c>
      <c r="R125" s="10">
        <f t="shared" si="8"/>
        <v>30.5</v>
      </c>
      <c r="S125">
        <f t="shared" si="9"/>
        <v>26.8</v>
      </c>
    </row>
    <row r="126" spans="1:1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  <c r="J126" s="19"/>
      <c r="M126" s="7"/>
      <c r="O126">
        <f t="shared" si="5"/>
        <v>113</v>
      </c>
      <c r="P126">
        <f t="shared" si="6"/>
        <v>76</v>
      </c>
      <c r="Q126">
        <f t="shared" si="7"/>
        <v>23</v>
      </c>
      <c r="R126" s="10">
        <f t="shared" si="8"/>
        <v>30.5</v>
      </c>
      <c r="S126">
        <f t="shared" si="9"/>
        <v>33.299999999999997</v>
      </c>
    </row>
    <row r="127" spans="1:1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  <c r="J127" s="19"/>
      <c r="M127" s="7"/>
      <c r="O127">
        <f t="shared" si="5"/>
        <v>88</v>
      </c>
      <c r="P127">
        <f t="shared" si="6"/>
        <v>30</v>
      </c>
      <c r="Q127">
        <f t="shared" si="7"/>
        <v>42</v>
      </c>
      <c r="R127" s="10">
        <f t="shared" si="8"/>
        <v>99</v>
      </c>
      <c r="S127">
        <f t="shared" si="9"/>
        <v>55</v>
      </c>
    </row>
    <row r="128" spans="1:1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  <c r="J128" s="19"/>
      <c r="M128" s="7"/>
      <c r="O128">
        <f t="shared" si="5"/>
        <v>120</v>
      </c>
      <c r="P128">
        <f t="shared" si="6"/>
        <v>70</v>
      </c>
      <c r="Q128">
        <f t="shared" si="7"/>
        <v>30</v>
      </c>
      <c r="R128" s="10">
        <f t="shared" si="8"/>
        <v>135</v>
      </c>
      <c r="S128">
        <f t="shared" si="9"/>
        <v>42.9</v>
      </c>
    </row>
    <row r="129" spans="1:1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  <c r="J129" s="19"/>
      <c r="M129" s="7"/>
      <c r="O129">
        <f t="shared" si="5"/>
        <v>118</v>
      </c>
      <c r="P129">
        <f t="shared" si="6"/>
        <v>58</v>
      </c>
      <c r="Q129">
        <f t="shared" si="7"/>
        <v>36</v>
      </c>
      <c r="R129" s="10">
        <f t="shared" si="8"/>
        <v>94</v>
      </c>
      <c r="S129">
        <f t="shared" si="9"/>
        <v>33.299999999999997</v>
      </c>
    </row>
    <row r="130" spans="1:1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  <c r="J130" s="19"/>
      <c r="M130" s="7"/>
      <c r="O130">
        <f t="shared" si="5"/>
        <v>117</v>
      </c>
      <c r="P130">
        <f t="shared" si="6"/>
        <v>88</v>
      </c>
      <c r="Q130">
        <f t="shared" si="7"/>
        <v>24</v>
      </c>
      <c r="R130" s="10">
        <f t="shared" si="8"/>
        <v>145</v>
      </c>
      <c r="S130">
        <f t="shared" si="9"/>
        <v>34.5</v>
      </c>
    </row>
    <row r="131" spans="1:1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  <c r="J131" s="19"/>
      <c r="M131" s="7"/>
      <c r="O131">
        <f t="shared" ref="O131:O194" si="10">IF(B131=0,$L$11,B131)</f>
        <v>105</v>
      </c>
      <c r="P131">
        <f t="shared" ref="P131:P194" si="11">IF(C131=0,$L$12,C131)</f>
        <v>84</v>
      </c>
      <c r="Q131">
        <f t="shared" ref="Q131:Q194" si="12">IF(D131=0,$L$13,D131)</f>
        <v>23</v>
      </c>
      <c r="R131" s="10">
        <f t="shared" ref="R131:R194" si="13">IF(E131=0,$L$14,E131)</f>
        <v>30.5</v>
      </c>
      <c r="S131">
        <f t="shared" ref="S131:S194" si="14">IF(F131=0,$L$15,F131)</f>
        <v>27.9</v>
      </c>
    </row>
    <row r="132" spans="1:1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  <c r="J132" s="19"/>
      <c r="M132" s="7"/>
      <c r="O132">
        <f t="shared" si="10"/>
        <v>173</v>
      </c>
      <c r="P132">
        <f t="shared" si="11"/>
        <v>70</v>
      </c>
      <c r="Q132">
        <f t="shared" si="12"/>
        <v>14</v>
      </c>
      <c r="R132" s="10">
        <f t="shared" si="13"/>
        <v>168</v>
      </c>
      <c r="S132">
        <f t="shared" si="14"/>
        <v>29.7</v>
      </c>
    </row>
    <row r="133" spans="1:1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  <c r="J133" s="19"/>
      <c r="M133" s="7"/>
      <c r="O133">
        <f t="shared" si="10"/>
        <v>122</v>
      </c>
      <c r="P133">
        <f t="shared" si="11"/>
        <v>56</v>
      </c>
      <c r="Q133">
        <f t="shared" si="12"/>
        <v>23</v>
      </c>
      <c r="R133" s="10">
        <f t="shared" si="13"/>
        <v>30.5</v>
      </c>
      <c r="S133">
        <f t="shared" si="14"/>
        <v>33.299999999999997</v>
      </c>
    </row>
    <row r="134" spans="1:1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  <c r="J134" s="19"/>
      <c r="M134" s="7"/>
      <c r="O134">
        <f t="shared" si="10"/>
        <v>170</v>
      </c>
      <c r="P134">
        <f t="shared" si="11"/>
        <v>64</v>
      </c>
      <c r="Q134">
        <f t="shared" si="12"/>
        <v>37</v>
      </c>
      <c r="R134" s="10">
        <f t="shared" si="13"/>
        <v>225</v>
      </c>
      <c r="S134">
        <f t="shared" si="14"/>
        <v>34.5</v>
      </c>
    </row>
    <row r="135" spans="1:1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  <c r="J135" s="19"/>
      <c r="M135" s="7"/>
      <c r="O135">
        <f t="shared" si="10"/>
        <v>84</v>
      </c>
      <c r="P135">
        <f t="shared" si="11"/>
        <v>74</v>
      </c>
      <c r="Q135">
        <f t="shared" si="12"/>
        <v>31</v>
      </c>
      <c r="R135" s="10">
        <f t="shared" si="13"/>
        <v>30.5</v>
      </c>
      <c r="S135">
        <f t="shared" si="14"/>
        <v>38.299999999999997</v>
      </c>
    </row>
    <row r="136" spans="1:1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  <c r="J136" s="19"/>
      <c r="M136" s="7"/>
      <c r="O136">
        <f t="shared" si="10"/>
        <v>96</v>
      </c>
      <c r="P136">
        <f t="shared" si="11"/>
        <v>68</v>
      </c>
      <c r="Q136">
        <f t="shared" si="12"/>
        <v>13</v>
      </c>
      <c r="R136" s="10">
        <f t="shared" si="13"/>
        <v>49</v>
      </c>
      <c r="S136">
        <f t="shared" si="14"/>
        <v>21.1</v>
      </c>
    </row>
    <row r="137" spans="1:1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  <c r="J137" s="19"/>
      <c r="M137" s="7"/>
      <c r="O137">
        <f t="shared" si="10"/>
        <v>125</v>
      </c>
      <c r="P137">
        <f t="shared" si="11"/>
        <v>60</v>
      </c>
      <c r="Q137">
        <f t="shared" si="12"/>
        <v>20</v>
      </c>
      <c r="R137" s="10">
        <f t="shared" si="13"/>
        <v>140</v>
      </c>
      <c r="S137">
        <f t="shared" si="14"/>
        <v>33.799999999999997</v>
      </c>
    </row>
    <row r="138" spans="1:1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  <c r="J138" s="19"/>
      <c r="M138" s="7"/>
      <c r="O138">
        <f t="shared" si="10"/>
        <v>100</v>
      </c>
      <c r="P138">
        <f t="shared" si="11"/>
        <v>70</v>
      </c>
      <c r="Q138">
        <f t="shared" si="12"/>
        <v>26</v>
      </c>
      <c r="R138" s="10">
        <f t="shared" si="13"/>
        <v>50</v>
      </c>
      <c r="S138">
        <f t="shared" si="14"/>
        <v>30.8</v>
      </c>
    </row>
    <row r="139" spans="1:1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  <c r="J139" s="19"/>
      <c r="M139" s="7"/>
      <c r="O139">
        <f t="shared" si="10"/>
        <v>93</v>
      </c>
      <c r="P139">
        <f t="shared" si="11"/>
        <v>60</v>
      </c>
      <c r="Q139">
        <f t="shared" si="12"/>
        <v>25</v>
      </c>
      <c r="R139" s="10">
        <f t="shared" si="13"/>
        <v>92</v>
      </c>
      <c r="S139">
        <f t="shared" si="14"/>
        <v>28.7</v>
      </c>
    </row>
    <row r="140" spans="1:1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  <c r="J140" s="19"/>
      <c r="M140" s="7"/>
      <c r="O140">
        <f t="shared" si="10"/>
        <v>129</v>
      </c>
      <c r="P140">
        <f t="shared" si="11"/>
        <v>80</v>
      </c>
      <c r="Q140">
        <f t="shared" si="12"/>
        <v>23</v>
      </c>
      <c r="R140" s="10">
        <f t="shared" si="13"/>
        <v>30.5</v>
      </c>
      <c r="S140">
        <f t="shared" si="14"/>
        <v>31.2</v>
      </c>
    </row>
    <row r="141" spans="1:1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  <c r="J141" s="19"/>
      <c r="M141" s="7"/>
      <c r="O141">
        <f t="shared" si="10"/>
        <v>105</v>
      </c>
      <c r="P141">
        <f t="shared" si="11"/>
        <v>72</v>
      </c>
      <c r="Q141">
        <f t="shared" si="12"/>
        <v>29</v>
      </c>
      <c r="R141" s="10">
        <f t="shared" si="13"/>
        <v>325</v>
      </c>
      <c r="S141">
        <f t="shared" si="14"/>
        <v>36.9</v>
      </c>
    </row>
    <row r="142" spans="1:1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  <c r="J142" s="19"/>
      <c r="M142" s="7"/>
      <c r="O142">
        <f t="shared" si="10"/>
        <v>128</v>
      </c>
      <c r="P142">
        <f t="shared" si="11"/>
        <v>78</v>
      </c>
      <c r="Q142">
        <f t="shared" si="12"/>
        <v>23</v>
      </c>
      <c r="R142" s="10">
        <f t="shared" si="13"/>
        <v>30.5</v>
      </c>
      <c r="S142">
        <f t="shared" si="14"/>
        <v>21.1</v>
      </c>
    </row>
    <row r="143" spans="1:1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  <c r="J143" s="19"/>
      <c r="M143" s="7"/>
      <c r="O143">
        <f t="shared" si="10"/>
        <v>106</v>
      </c>
      <c r="P143">
        <f t="shared" si="11"/>
        <v>82</v>
      </c>
      <c r="Q143">
        <f t="shared" si="12"/>
        <v>30</v>
      </c>
      <c r="R143" s="10">
        <f t="shared" si="13"/>
        <v>30.5</v>
      </c>
      <c r="S143">
        <f t="shared" si="14"/>
        <v>39.5</v>
      </c>
    </row>
    <row r="144" spans="1:1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  <c r="J144" s="19"/>
      <c r="M144" s="7"/>
      <c r="O144">
        <f t="shared" si="10"/>
        <v>108</v>
      </c>
      <c r="P144">
        <f t="shared" si="11"/>
        <v>52</v>
      </c>
      <c r="Q144">
        <f t="shared" si="12"/>
        <v>26</v>
      </c>
      <c r="R144" s="10">
        <f t="shared" si="13"/>
        <v>63</v>
      </c>
      <c r="S144">
        <f t="shared" si="14"/>
        <v>32.5</v>
      </c>
    </row>
    <row r="145" spans="1:1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  <c r="J145" s="19"/>
      <c r="M145" s="7"/>
      <c r="O145">
        <f t="shared" si="10"/>
        <v>108</v>
      </c>
      <c r="P145">
        <f t="shared" si="11"/>
        <v>66</v>
      </c>
      <c r="Q145">
        <f t="shared" si="12"/>
        <v>23</v>
      </c>
      <c r="R145" s="10">
        <f t="shared" si="13"/>
        <v>30.5</v>
      </c>
      <c r="S145">
        <f t="shared" si="14"/>
        <v>32.4</v>
      </c>
    </row>
    <row r="146" spans="1:1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  <c r="J146" s="19"/>
      <c r="M146" s="7"/>
      <c r="O146">
        <f t="shared" si="10"/>
        <v>154</v>
      </c>
      <c r="P146">
        <f t="shared" si="11"/>
        <v>62</v>
      </c>
      <c r="Q146">
        <f t="shared" si="12"/>
        <v>31</v>
      </c>
      <c r="R146" s="10">
        <f t="shared" si="13"/>
        <v>284</v>
      </c>
      <c r="S146">
        <f t="shared" si="14"/>
        <v>32.799999999999997</v>
      </c>
    </row>
    <row r="147" spans="1:1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  <c r="J147" s="19"/>
      <c r="M147" s="7"/>
      <c r="O147">
        <f t="shared" si="10"/>
        <v>102</v>
      </c>
      <c r="P147">
        <f t="shared" si="11"/>
        <v>75</v>
      </c>
      <c r="Q147">
        <f t="shared" si="12"/>
        <v>23</v>
      </c>
      <c r="R147" s="10">
        <f t="shared" si="13"/>
        <v>30.5</v>
      </c>
      <c r="S147">
        <f t="shared" si="14"/>
        <v>32</v>
      </c>
    </row>
    <row r="148" spans="1:1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  <c r="J148" s="19"/>
      <c r="M148" s="7"/>
      <c r="O148">
        <f t="shared" si="10"/>
        <v>57</v>
      </c>
      <c r="P148">
        <f t="shared" si="11"/>
        <v>80</v>
      </c>
      <c r="Q148">
        <f t="shared" si="12"/>
        <v>37</v>
      </c>
      <c r="R148" s="10">
        <f t="shared" si="13"/>
        <v>30.5</v>
      </c>
      <c r="S148">
        <f t="shared" si="14"/>
        <v>32.799999999999997</v>
      </c>
    </row>
    <row r="149" spans="1:1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  <c r="J149" s="19"/>
      <c r="M149" s="7"/>
      <c r="O149">
        <f t="shared" si="10"/>
        <v>106</v>
      </c>
      <c r="P149">
        <f t="shared" si="11"/>
        <v>64</v>
      </c>
      <c r="Q149">
        <f t="shared" si="12"/>
        <v>35</v>
      </c>
      <c r="R149" s="10">
        <f t="shared" si="13"/>
        <v>119</v>
      </c>
      <c r="S149">
        <f t="shared" si="14"/>
        <v>30.5</v>
      </c>
    </row>
    <row r="150" spans="1:1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  <c r="J150" s="19"/>
      <c r="M150" s="7"/>
      <c r="O150">
        <f t="shared" si="10"/>
        <v>147</v>
      </c>
      <c r="P150">
        <f t="shared" si="11"/>
        <v>78</v>
      </c>
      <c r="Q150">
        <f t="shared" si="12"/>
        <v>23</v>
      </c>
      <c r="R150" s="10">
        <f t="shared" si="13"/>
        <v>30.5</v>
      </c>
      <c r="S150">
        <f t="shared" si="14"/>
        <v>33.700000000000003</v>
      </c>
    </row>
    <row r="151" spans="1:1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  <c r="J151" s="19"/>
      <c r="M151" s="7"/>
      <c r="O151">
        <f t="shared" si="10"/>
        <v>90</v>
      </c>
      <c r="P151">
        <f t="shared" si="11"/>
        <v>70</v>
      </c>
      <c r="Q151">
        <f t="shared" si="12"/>
        <v>17</v>
      </c>
      <c r="R151" s="10">
        <f t="shared" si="13"/>
        <v>30.5</v>
      </c>
      <c r="S151">
        <f t="shared" si="14"/>
        <v>27.3</v>
      </c>
    </row>
    <row r="152" spans="1:1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  <c r="J152" s="19"/>
      <c r="M152" s="7"/>
      <c r="O152">
        <f t="shared" si="10"/>
        <v>136</v>
      </c>
      <c r="P152">
        <f t="shared" si="11"/>
        <v>74</v>
      </c>
      <c r="Q152">
        <f t="shared" si="12"/>
        <v>50</v>
      </c>
      <c r="R152" s="10">
        <f t="shared" si="13"/>
        <v>204</v>
      </c>
      <c r="S152">
        <f t="shared" si="14"/>
        <v>37.4</v>
      </c>
    </row>
    <row r="153" spans="1:1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  <c r="J153" s="19"/>
      <c r="M153" s="7"/>
      <c r="O153">
        <f t="shared" si="10"/>
        <v>114</v>
      </c>
      <c r="P153">
        <f t="shared" si="11"/>
        <v>65</v>
      </c>
      <c r="Q153">
        <f t="shared" si="12"/>
        <v>23</v>
      </c>
      <c r="R153" s="10">
        <f t="shared" si="13"/>
        <v>30.5</v>
      </c>
      <c r="S153">
        <f t="shared" si="14"/>
        <v>21.9</v>
      </c>
    </row>
    <row r="154" spans="1:1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  <c r="J154" s="19"/>
      <c r="M154" s="7"/>
      <c r="O154">
        <f t="shared" si="10"/>
        <v>156</v>
      </c>
      <c r="P154">
        <f t="shared" si="11"/>
        <v>86</v>
      </c>
      <c r="Q154">
        <f t="shared" si="12"/>
        <v>28</v>
      </c>
      <c r="R154" s="10">
        <f t="shared" si="13"/>
        <v>155</v>
      </c>
      <c r="S154">
        <f t="shared" si="14"/>
        <v>34.299999999999997</v>
      </c>
    </row>
    <row r="155" spans="1:1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  <c r="J155" s="19"/>
      <c r="M155" s="7"/>
      <c r="O155">
        <f t="shared" si="10"/>
        <v>153</v>
      </c>
      <c r="P155">
        <f t="shared" si="11"/>
        <v>82</v>
      </c>
      <c r="Q155">
        <f t="shared" si="12"/>
        <v>42</v>
      </c>
      <c r="R155" s="10">
        <f t="shared" si="13"/>
        <v>485</v>
      </c>
      <c r="S155">
        <f t="shared" si="14"/>
        <v>40.6</v>
      </c>
    </row>
    <row r="156" spans="1:1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  <c r="J156" s="19"/>
      <c r="M156" s="7"/>
      <c r="O156">
        <f t="shared" si="10"/>
        <v>188</v>
      </c>
      <c r="P156">
        <f t="shared" si="11"/>
        <v>78</v>
      </c>
      <c r="Q156">
        <f t="shared" si="12"/>
        <v>23</v>
      </c>
      <c r="R156" s="10">
        <f t="shared" si="13"/>
        <v>30.5</v>
      </c>
      <c r="S156">
        <f t="shared" si="14"/>
        <v>47.9</v>
      </c>
    </row>
    <row r="157" spans="1:1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  <c r="J157" s="19"/>
      <c r="M157" s="7"/>
      <c r="O157">
        <f t="shared" si="10"/>
        <v>152</v>
      </c>
      <c r="P157">
        <f t="shared" si="11"/>
        <v>88</v>
      </c>
      <c r="Q157">
        <f t="shared" si="12"/>
        <v>44</v>
      </c>
      <c r="R157" s="10">
        <f t="shared" si="13"/>
        <v>30.5</v>
      </c>
      <c r="S157">
        <f t="shared" si="14"/>
        <v>50</v>
      </c>
    </row>
    <row r="158" spans="1:1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  <c r="J158" s="19"/>
      <c r="M158" s="7"/>
      <c r="O158">
        <f t="shared" si="10"/>
        <v>99</v>
      </c>
      <c r="P158">
        <f t="shared" si="11"/>
        <v>52</v>
      </c>
      <c r="Q158">
        <f t="shared" si="12"/>
        <v>15</v>
      </c>
      <c r="R158" s="10">
        <f t="shared" si="13"/>
        <v>94</v>
      </c>
      <c r="S158">
        <f t="shared" si="14"/>
        <v>24.6</v>
      </c>
    </row>
    <row r="159" spans="1:1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  <c r="J159" s="19"/>
      <c r="M159" s="7"/>
      <c r="O159">
        <f t="shared" si="10"/>
        <v>109</v>
      </c>
      <c r="P159">
        <f t="shared" si="11"/>
        <v>56</v>
      </c>
      <c r="Q159">
        <f t="shared" si="12"/>
        <v>21</v>
      </c>
      <c r="R159" s="10">
        <f t="shared" si="13"/>
        <v>135</v>
      </c>
      <c r="S159">
        <f t="shared" si="14"/>
        <v>25.2</v>
      </c>
    </row>
    <row r="160" spans="1:1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  <c r="J160" s="19"/>
      <c r="M160" s="7"/>
      <c r="O160">
        <f t="shared" si="10"/>
        <v>88</v>
      </c>
      <c r="P160">
        <f t="shared" si="11"/>
        <v>74</v>
      </c>
      <c r="Q160">
        <f t="shared" si="12"/>
        <v>19</v>
      </c>
      <c r="R160" s="10">
        <f t="shared" si="13"/>
        <v>53</v>
      </c>
      <c r="S160">
        <f t="shared" si="14"/>
        <v>29</v>
      </c>
    </row>
    <row r="161" spans="1:1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  <c r="J161" s="19"/>
      <c r="M161" s="7"/>
      <c r="O161">
        <f t="shared" si="10"/>
        <v>163</v>
      </c>
      <c r="P161">
        <f t="shared" si="11"/>
        <v>72</v>
      </c>
      <c r="Q161">
        <f t="shared" si="12"/>
        <v>41</v>
      </c>
      <c r="R161" s="10">
        <f t="shared" si="13"/>
        <v>114</v>
      </c>
      <c r="S161">
        <f t="shared" si="14"/>
        <v>40.9</v>
      </c>
    </row>
    <row r="162" spans="1:1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  <c r="J162" s="19"/>
      <c r="M162" s="7"/>
      <c r="O162">
        <f t="shared" si="10"/>
        <v>151</v>
      </c>
      <c r="P162">
        <f t="shared" si="11"/>
        <v>90</v>
      </c>
      <c r="Q162">
        <f t="shared" si="12"/>
        <v>38</v>
      </c>
      <c r="R162" s="10">
        <f t="shared" si="13"/>
        <v>30.5</v>
      </c>
      <c r="S162">
        <f t="shared" si="14"/>
        <v>29.7</v>
      </c>
    </row>
    <row r="163" spans="1:1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  <c r="J163" s="19"/>
      <c r="M163" s="7"/>
      <c r="O163">
        <f t="shared" si="10"/>
        <v>102</v>
      </c>
      <c r="P163">
        <f t="shared" si="11"/>
        <v>74</v>
      </c>
      <c r="Q163">
        <f t="shared" si="12"/>
        <v>40</v>
      </c>
      <c r="R163" s="10">
        <f t="shared" si="13"/>
        <v>105</v>
      </c>
      <c r="S163">
        <f t="shared" si="14"/>
        <v>37.200000000000003</v>
      </c>
    </row>
    <row r="164" spans="1:1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  <c r="J164" s="19"/>
      <c r="M164" s="7"/>
      <c r="O164">
        <f t="shared" si="10"/>
        <v>114</v>
      </c>
      <c r="P164">
        <f t="shared" si="11"/>
        <v>80</v>
      </c>
      <c r="Q164">
        <f t="shared" si="12"/>
        <v>34</v>
      </c>
      <c r="R164" s="10">
        <f t="shared" si="13"/>
        <v>285</v>
      </c>
      <c r="S164">
        <f t="shared" si="14"/>
        <v>44.2</v>
      </c>
    </row>
    <row r="165" spans="1:1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  <c r="J165" s="19"/>
      <c r="M165" s="7"/>
      <c r="O165">
        <f t="shared" si="10"/>
        <v>100</v>
      </c>
      <c r="P165">
        <f t="shared" si="11"/>
        <v>64</v>
      </c>
      <c r="Q165">
        <f t="shared" si="12"/>
        <v>23</v>
      </c>
      <c r="R165" s="10">
        <f t="shared" si="13"/>
        <v>30.5</v>
      </c>
      <c r="S165">
        <f t="shared" si="14"/>
        <v>29.7</v>
      </c>
    </row>
    <row r="166" spans="1:1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  <c r="J166" s="19"/>
      <c r="M166" s="7"/>
      <c r="O166">
        <f t="shared" si="10"/>
        <v>131</v>
      </c>
      <c r="P166">
        <f t="shared" si="11"/>
        <v>88</v>
      </c>
      <c r="Q166">
        <f t="shared" si="12"/>
        <v>23</v>
      </c>
      <c r="R166" s="10">
        <f t="shared" si="13"/>
        <v>30.5</v>
      </c>
      <c r="S166">
        <f t="shared" si="14"/>
        <v>31.6</v>
      </c>
    </row>
    <row r="167" spans="1:1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  <c r="J167" s="19"/>
      <c r="M167" s="7"/>
      <c r="O167">
        <f t="shared" si="10"/>
        <v>104</v>
      </c>
      <c r="P167">
        <f t="shared" si="11"/>
        <v>74</v>
      </c>
      <c r="Q167">
        <f t="shared" si="12"/>
        <v>18</v>
      </c>
      <c r="R167" s="10">
        <f t="shared" si="13"/>
        <v>156</v>
      </c>
      <c r="S167">
        <f t="shared" si="14"/>
        <v>29.9</v>
      </c>
    </row>
    <row r="168" spans="1:1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  <c r="J168" s="19"/>
      <c r="M168" s="7"/>
      <c r="O168">
        <f t="shared" si="10"/>
        <v>148</v>
      </c>
      <c r="P168">
        <f t="shared" si="11"/>
        <v>66</v>
      </c>
      <c r="Q168">
        <f t="shared" si="12"/>
        <v>25</v>
      </c>
      <c r="R168" s="10">
        <f t="shared" si="13"/>
        <v>30.5</v>
      </c>
      <c r="S168">
        <f t="shared" si="14"/>
        <v>32.5</v>
      </c>
    </row>
    <row r="169" spans="1:1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  <c r="J169" s="19"/>
      <c r="M169" s="7"/>
      <c r="O169">
        <f t="shared" si="10"/>
        <v>120</v>
      </c>
      <c r="P169">
        <f t="shared" si="11"/>
        <v>68</v>
      </c>
      <c r="Q169">
        <f t="shared" si="12"/>
        <v>23</v>
      </c>
      <c r="R169" s="10">
        <f t="shared" si="13"/>
        <v>30.5</v>
      </c>
      <c r="S169">
        <f t="shared" si="14"/>
        <v>29.6</v>
      </c>
    </row>
    <row r="170" spans="1:1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  <c r="J170" s="19"/>
      <c r="M170" s="7"/>
      <c r="O170">
        <f t="shared" si="10"/>
        <v>110</v>
      </c>
      <c r="P170">
        <f t="shared" si="11"/>
        <v>66</v>
      </c>
      <c r="Q170">
        <f t="shared" si="12"/>
        <v>23</v>
      </c>
      <c r="R170" s="10">
        <f t="shared" si="13"/>
        <v>30.5</v>
      </c>
      <c r="S170">
        <f t="shared" si="14"/>
        <v>31.9</v>
      </c>
    </row>
    <row r="171" spans="1:1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  <c r="J171" s="19"/>
      <c r="M171" s="7"/>
      <c r="O171">
        <f t="shared" si="10"/>
        <v>111</v>
      </c>
      <c r="P171">
        <f t="shared" si="11"/>
        <v>90</v>
      </c>
      <c r="Q171">
        <f t="shared" si="12"/>
        <v>12</v>
      </c>
      <c r="R171" s="10">
        <f t="shared" si="13"/>
        <v>78</v>
      </c>
      <c r="S171">
        <f t="shared" si="14"/>
        <v>28.4</v>
      </c>
    </row>
    <row r="172" spans="1:1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  <c r="J172" s="19"/>
      <c r="M172" s="7"/>
      <c r="O172">
        <f t="shared" si="10"/>
        <v>102</v>
      </c>
      <c r="P172">
        <f t="shared" si="11"/>
        <v>82</v>
      </c>
      <c r="Q172">
        <f t="shared" si="12"/>
        <v>23</v>
      </c>
      <c r="R172" s="10">
        <f t="shared" si="13"/>
        <v>30.5</v>
      </c>
      <c r="S172">
        <f t="shared" si="14"/>
        <v>30.8</v>
      </c>
    </row>
    <row r="173" spans="1:1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  <c r="J173" s="19"/>
      <c r="M173" s="7"/>
      <c r="O173">
        <f t="shared" si="10"/>
        <v>134</v>
      </c>
      <c r="P173">
        <f t="shared" si="11"/>
        <v>70</v>
      </c>
      <c r="Q173">
        <f t="shared" si="12"/>
        <v>23</v>
      </c>
      <c r="R173" s="10">
        <f t="shared" si="13"/>
        <v>130</v>
      </c>
      <c r="S173">
        <f t="shared" si="14"/>
        <v>35.4</v>
      </c>
    </row>
    <row r="174" spans="1:1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  <c r="J174" s="19"/>
      <c r="M174" s="7"/>
      <c r="O174">
        <f t="shared" si="10"/>
        <v>87</v>
      </c>
      <c r="P174">
        <f t="shared" si="11"/>
        <v>72</v>
      </c>
      <c r="Q174">
        <f t="shared" si="12"/>
        <v>23</v>
      </c>
      <c r="R174" s="10">
        <f t="shared" si="13"/>
        <v>30.5</v>
      </c>
      <c r="S174">
        <f t="shared" si="14"/>
        <v>28.9</v>
      </c>
    </row>
    <row r="175" spans="1:1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  <c r="J175" s="19"/>
      <c r="M175" s="7"/>
      <c r="O175">
        <f t="shared" si="10"/>
        <v>79</v>
      </c>
      <c r="P175">
        <f t="shared" si="11"/>
        <v>60</v>
      </c>
      <c r="Q175">
        <f t="shared" si="12"/>
        <v>42</v>
      </c>
      <c r="R175" s="10">
        <f t="shared" si="13"/>
        <v>48</v>
      </c>
      <c r="S175">
        <f t="shared" si="14"/>
        <v>43.5</v>
      </c>
    </row>
    <row r="176" spans="1:1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  <c r="J176" s="19"/>
      <c r="M176" s="7"/>
      <c r="O176">
        <f t="shared" si="10"/>
        <v>75</v>
      </c>
      <c r="P176">
        <f t="shared" si="11"/>
        <v>64</v>
      </c>
      <c r="Q176">
        <f t="shared" si="12"/>
        <v>24</v>
      </c>
      <c r="R176" s="10">
        <f t="shared" si="13"/>
        <v>55</v>
      </c>
      <c r="S176">
        <f t="shared" si="14"/>
        <v>29.7</v>
      </c>
    </row>
    <row r="177" spans="1:1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  <c r="J177" s="19"/>
      <c r="M177" s="7"/>
      <c r="O177">
        <f t="shared" si="10"/>
        <v>179</v>
      </c>
      <c r="P177">
        <f t="shared" si="11"/>
        <v>72</v>
      </c>
      <c r="Q177">
        <f t="shared" si="12"/>
        <v>42</v>
      </c>
      <c r="R177" s="10">
        <f t="shared" si="13"/>
        <v>130</v>
      </c>
      <c r="S177">
        <f t="shared" si="14"/>
        <v>32.700000000000003</v>
      </c>
    </row>
    <row r="178" spans="1:1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  <c r="J178" s="19"/>
      <c r="M178" s="7"/>
      <c r="O178">
        <f t="shared" si="10"/>
        <v>85</v>
      </c>
      <c r="P178">
        <f t="shared" si="11"/>
        <v>78</v>
      </c>
      <c r="Q178">
        <f t="shared" si="12"/>
        <v>23</v>
      </c>
      <c r="R178" s="10">
        <f t="shared" si="13"/>
        <v>30.5</v>
      </c>
      <c r="S178">
        <f t="shared" si="14"/>
        <v>31.2</v>
      </c>
    </row>
    <row r="179" spans="1:1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  <c r="J179" s="19"/>
      <c r="M179" s="7"/>
      <c r="O179">
        <f t="shared" si="10"/>
        <v>129</v>
      </c>
      <c r="P179">
        <f t="shared" si="11"/>
        <v>110</v>
      </c>
      <c r="Q179">
        <f t="shared" si="12"/>
        <v>46</v>
      </c>
      <c r="R179" s="10">
        <f t="shared" si="13"/>
        <v>130</v>
      </c>
      <c r="S179">
        <f t="shared" si="14"/>
        <v>67.099999999999994</v>
      </c>
    </row>
    <row r="180" spans="1:1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  <c r="J180" s="19"/>
      <c r="M180" s="7"/>
      <c r="O180">
        <f t="shared" si="10"/>
        <v>143</v>
      </c>
      <c r="P180">
        <f t="shared" si="11"/>
        <v>78</v>
      </c>
      <c r="Q180">
        <f t="shared" si="12"/>
        <v>23</v>
      </c>
      <c r="R180" s="10">
        <f t="shared" si="13"/>
        <v>30.5</v>
      </c>
      <c r="S180">
        <f t="shared" si="14"/>
        <v>45</v>
      </c>
    </row>
    <row r="181" spans="1:1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  <c r="J181" s="19"/>
      <c r="M181" s="7"/>
      <c r="O181">
        <f t="shared" si="10"/>
        <v>130</v>
      </c>
      <c r="P181">
        <f t="shared" si="11"/>
        <v>82</v>
      </c>
      <c r="Q181">
        <f t="shared" si="12"/>
        <v>23</v>
      </c>
      <c r="R181" s="10">
        <f t="shared" si="13"/>
        <v>30.5</v>
      </c>
      <c r="S181">
        <f t="shared" si="14"/>
        <v>39.1</v>
      </c>
    </row>
    <row r="182" spans="1:1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  <c r="J182" s="19"/>
      <c r="M182" s="7"/>
      <c r="O182">
        <f t="shared" si="10"/>
        <v>87</v>
      </c>
      <c r="P182">
        <f t="shared" si="11"/>
        <v>80</v>
      </c>
      <c r="Q182">
        <f t="shared" si="12"/>
        <v>23</v>
      </c>
      <c r="R182" s="10">
        <f t="shared" si="13"/>
        <v>30.5</v>
      </c>
      <c r="S182">
        <f t="shared" si="14"/>
        <v>23.2</v>
      </c>
    </row>
    <row r="183" spans="1:1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  <c r="J183" s="19"/>
      <c r="M183" s="7"/>
      <c r="O183">
        <f t="shared" si="10"/>
        <v>119</v>
      </c>
      <c r="P183">
        <f t="shared" si="11"/>
        <v>64</v>
      </c>
      <c r="Q183">
        <f t="shared" si="12"/>
        <v>18</v>
      </c>
      <c r="R183" s="10">
        <f t="shared" si="13"/>
        <v>92</v>
      </c>
      <c r="S183">
        <f t="shared" si="14"/>
        <v>34.9</v>
      </c>
    </row>
    <row r="184" spans="1:1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  <c r="J184" s="19"/>
      <c r="M184" s="7"/>
      <c r="O184">
        <f t="shared" si="10"/>
        <v>117</v>
      </c>
      <c r="P184">
        <f t="shared" si="11"/>
        <v>74</v>
      </c>
      <c r="Q184">
        <f t="shared" si="12"/>
        <v>20</v>
      </c>
      <c r="R184" s="10">
        <f t="shared" si="13"/>
        <v>23</v>
      </c>
      <c r="S184">
        <f t="shared" si="14"/>
        <v>27.7</v>
      </c>
    </row>
    <row r="185" spans="1:1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  <c r="J185" s="19"/>
      <c r="M185" s="7"/>
      <c r="O185">
        <f t="shared" si="10"/>
        <v>73</v>
      </c>
      <c r="P185">
        <f t="shared" si="11"/>
        <v>60</v>
      </c>
      <c r="Q185">
        <f t="shared" si="12"/>
        <v>23</v>
      </c>
      <c r="R185" s="10">
        <f t="shared" si="13"/>
        <v>30.5</v>
      </c>
      <c r="S185">
        <f t="shared" si="14"/>
        <v>26.8</v>
      </c>
    </row>
    <row r="186" spans="1:1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  <c r="J186" s="19"/>
      <c r="M186" s="7"/>
      <c r="O186">
        <f t="shared" si="10"/>
        <v>141</v>
      </c>
      <c r="P186">
        <f t="shared" si="11"/>
        <v>74</v>
      </c>
      <c r="Q186">
        <f t="shared" si="12"/>
        <v>23</v>
      </c>
      <c r="R186" s="10">
        <f t="shared" si="13"/>
        <v>30.5</v>
      </c>
      <c r="S186">
        <f t="shared" si="14"/>
        <v>27.6</v>
      </c>
    </row>
    <row r="187" spans="1:1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  <c r="J187" s="19"/>
      <c r="M187" s="7"/>
      <c r="O187">
        <f t="shared" si="10"/>
        <v>194</v>
      </c>
      <c r="P187">
        <f t="shared" si="11"/>
        <v>68</v>
      </c>
      <c r="Q187">
        <f t="shared" si="12"/>
        <v>28</v>
      </c>
      <c r="R187" s="10">
        <f t="shared" si="13"/>
        <v>30.5</v>
      </c>
      <c r="S187">
        <f t="shared" si="14"/>
        <v>35.9</v>
      </c>
    </row>
    <row r="188" spans="1:1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  <c r="J188" s="19"/>
      <c r="M188" s="7"/>
      <c r="O188">
        <f t="shared" si="10"/>
        <v>181</v>
      </c>
      <c r="P188">
        <f t="shared" si="11"/>
        <v>68</v>
      </c>
      <c r="Q188">
        <f t="shared" si="12"/>
        <v>36</v>
      </c>
      <c r="R188" s="10">
        <f t="shared" si="13"/>
        <v>495</v>
      </c>
      <c r="S188">
        <f t="shared" si="14"/>
        <v>30.1</v>
      </c>
    </row>
    <row r="189" spans="1:1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  <c r="J189" s="19"/>
      <c r="M189" s="7"/>
      <c r="O189">
        <f t="shared" si="10"/>
        <v>128</v>
      </c>
      <c r="P189">
        <f t="shared" si="11"/>
        <v>98</v>
      </c>
      <c r="Q189">
        <f t="shared" si="12"/>
        <v>41</v>
      </c>
      <c r="R189" s="10">
        <f t="shared" si="13"/>
        <v>58</v>
      </c>
      <c r="S189">
        <f t="shared" si="14"/>
        <v>32</v>
      </c>
    </row>
    <row r="190" spans="1:1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  <c r="J190" s="19"/>
      <c r="M190" s="7"/>
      <c r="O190">
        <f t="shared" si="10"/>
        <v>109</v>
      </c>
      <c r="P190">
        <f t="shared" si="11"/>
        <v>76</v>
      </c>
      <c r="Q190">
        <f t="shared" si="12"/>
        <v>39</v>
      </c>
      <c r="R190" s="10">
        <f t="shared" si="13"/>
        <v>114</v>
      </c>
      <c r="S190">
        <f t="shared" si="14"/>
        <v>27.9</v>
      </c>
    </row>
    <row r="191" spans="1:1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  <c r="J191" s="19"/>
      <c r="M191" s="7"/>
      <c r="O191">
        <f t="shared" si="10"/>
        <v>139</v>
      </c>
      <c r="P191">
        <f t="shared" si="11"/>
        <v>80</v>
      </c>
      <c r="Q191">
        <f t="shared" si="12"/>
        <v>35</v>
      </c>
      <c r="R191" s="10">
        <f t="shared" si="13"/>
        <v>160</v>
      </c>
      <c r="S191">
        <f t="shared" si="14"/>
        <v>31.6</v>
      </c>
    </row>
    <row r="192" spans="1:1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  <c r="J192" s="19"/>
      <c r="M192" s="7"/>
      <c r="O192">
        <f t="shared" si="10"/>
        <v>111</v>
      </c>
      <c r="P192">
        <f t="shared" si="11"/>
        <v>62</v>
      </c>
      <c r="Q192">
        <f t="shared" si="12"/>
        <v>23</v>
      </c>
      <c r="R192" s="10">
        <f t="shared" si="13"/>
        <v>30.5</v>
      </c>
      <c r="S192">
        <f t="shared" si="14"/>
        <v>22.6</v>
      </c>
    </row>
    <row r="193" spans="1:1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  <c r="J193" s="19"/>
      <c r="M193" s="7"/>
      <c r="O193">
        <f t="shared" si="10"/>
        <v>123</v>
      </c>
      <c r="P193">
        <f t="shared" si="11"/>
        <v>70</v>
      </c>
      <c r="Q193">
        <f t="shared" si="12"/>
        <v>44</v>
      </c>
      <c r="R193" s="10">
        <f t="shared" si="13"/>
        <v>94</v>
      </c>
      <c r="S193">
        <f t="shared" si="14"/>
        <v>33.1</v>
      </c>
    </row>
    <row r="194" spans="1:1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  <c r="J194" s="19"/>
      <c r="M194" s="7"/>
      <c r="O194">
        <f t="shared" si="10"/>
        <v>159</v>
      </c>
      <c r="P194">
        <f t="shared" si="11"/>
        <v>66</v>
      </c>
      <c r="Q194">
        <f t="shared" si="12"/>
        <v>23</v>
      </c>
      <c r="R194" s="10">
        <f t="shared" si="13"/>
        <v>30.5</v>
      </c>
      <c r="S194">
        <f t="shared" si="14"/>
        <v>30.4</v>
      </c>
    </row>
    <row r="195" spans="1:1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  <c r="J195" s="19"/>
      <c r="M195" s="7"/>
      <c r="O195">
        <f t="shared" ref="O195:O258" si="15">IF(B195=0,$L$11,B195)</f>
        <v>135</v>
      </c>
      <c r="P195">
        <f t="shared" ref="P195:P258" si="16">IF(C195=0,$L$12,C195)</f>
        <v>72</v>
      </c>
      <c r="Q195">
        <f t="shared" ref="Q195:Q258" si="17">IF(D195=0,$L$13,D195)</f>
        <v>23</v>
      </c>
      <c r="R195" s="10">
        <f t="shared" ref="R195:R258" si="18">IF(E195=0,$L$14,E195)</f>
        <v>30.5</v>
      </c>
      <c r="S195">
        <f t="shared" ref="S195:S258" si="19">IF(F195=0,$L$15,F195)</f>
        <v>52.3</v>
      </c>
    </row>
    <row r="196" spans="1:1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  <c r="J196" s="19"/>
      <c r="M196" s="7"/>
      <c r="O196">
        <f t="shared" si="15"/>
        <v>85</v>
      </c>
      <c r="P196">
        <f t="shared" si="16"/>
        <v>55</v>
      </c>
      <c r="Q196">
        <f t="shared" si="17"/>
        <v>20</v>
      </c>
      <c r="R196" s="10">
        <f t="shared" si="18"/>
        <v>30.5</v>
      </c>
      <c r="S196">
        <f t="shared" si="19"/>
        <v>24.4</v>
      </c>
    </row>
    <row r="197" spans="1:1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  <c r="J197" s="19"/>
      <c r="M197" s="7"/>
      <c r="O197">
        <f t="shared" si="15"/>
        <v>158</v>
      </c>
      <c r="P197">
        <f t="shared" si="16"/>
        <v>84</v>
      </c>
      <c r="Q197">
        <f t="shared" si="17"/>
        <v>41</v>
      </c>
      <c r="R197" s="10">
        <f t="shared" si="18"/>
        <v>210</v>
      </c>
      <c r="S197">
        <f t="shared" si="19"/>
        <v>39.4</v>
      </c>
    </row>
    <row r="198" spans="1:1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  <c r="J198" s="19"/>
      <c r="M198" s="7"/>
      <c r="O198">
        <f t="shared" si="15"/>
        <v>105</v>
      </c>
      <c r="P198">
        <f t="shared" si="16"/>
        <v>58</v>
      </c>
      <c r="Q198">
        <f t="shared" si="17"/>
        <v>23</v>
      </c>
      <c r="R198" s="10">
        <f t="shared" si="18"/>
        <v>30.5</v>
      </c>
      <c r="S198">
        <f t="shared" si="19"/>
        <v>24.3</v>
      </c>
    </row>
    <row r="199" spans="1:1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  <c r="J199" s="19"/>
      <c r="M199" s="7"/>
      <c r="O199">
        <f t="shared" si="15"/>
        <v>107</v>
      </c>
      <c r="P199">
        <f t="shared" si="16"/>
        <v>62</v>
      </c>
      <c r="Q199">
        <f t="shared" si="17"/>
        <v>13</v>
      </c>
      <c r="R199" s="10">
        <f t="shared" si="18"/>
        <v>48</v>
      </c>
      <c r="S199">
        <f t="shared" si="19"/>
        <v>22.9</v>
      </c>
    </row>
    <row r="200" spans="1:1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  <c r="J200" s="19"/>
      <c r="M200" s="7"/>
      <c r="O200">
        <f t="shared" si="15"/>
        <v>109</v>
      </c>
      <c r="P200">
        <f t="shared" si="16"/>
        <v>64</v>
      </c>
      <c r="Q200">
        <f t="shared" si="17"/>
        <v>44</v>
      </c>
      <c r="R200" s="10">
        <f t="shared" si="18"/>
        <v>99</v>
      </c>
      <c r="S200">
        <f t="shared" si="19"/>
        <v>34.799999999999997</v>
      </c>
    </row>
    <row r="201" spans="1:1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  <c r="J201" s="19"/>
      <c r="M201" s="7"/>
      <c r="O201">
        <f t="shared" si="15"/>
        <v>148</v>
      </c>
      <c r="P201">
        <f t="shared" si="16"/>
        <v>60</v>
      </c>
      <c r="Q201">
        <f t="shared" si="17"/>
        <v>27</v>
      </c>
      <c r="R201" s="10">
        <f t="shared" si="18"/>
        <v>318</v>
      </c>
      <c r="S201">
        <f t="shared" si="19"/>
        <v>30.9</v>
      </c>
    </row>
    <row r="202" spans="1:1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  <c r="J202" s="19"/>
      <c r="M202" s="7"/>
      <c r="O202">
        <f t="shared" si="15"/>
        <v>113</v>
      </c>
      <c r="P202">
        <f t="shared" si="16"/>
        <v>80</v>
      </c>
      <c r="Q202">
        <f t="shared" si="17"/>
        <v>16</v>
      </c>
      <c r="R202" s="10">
        <f t="shared" si="18"/>
        <v>30.5</v>
      </c>
      <c r="S202">
        <f t="shared" si="19"/>
        <v>31</v>
      </c>
    </row>
    <row r="203" spans="1:1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  <c r="J203" s="19"/>
      <c r="M203" s="7"/>
      <c r="O203">
        <f t="shared" si="15"/>
        <v>138</v>
      </c>
      <c r="P203">
        <f t="shared" si="16"/>
        <v>82</v>
      </c>
      <c r="Q203">
        <f t="shared" si="17"/>
        <v>23</v>
      </c>
      <c r="R203" s="10">
        <f t="shared" si="18"/>
        <v>30.5</v>
      </c>
      <c r="S203">
        <f t="shared" si="19"/>
        <v>40.1</v>
      </c>
    </row>
    <row r="204" spans="1:1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  <c r="J204" s="19"/>
      <c r="M204" s="7"/>
      <c r="O204">
        <f t="shared" si="15"/>
        <v>108</v>
      </c>
      <c r="P204">
        <f t="shared" si="16"/>
        <v>68</v>
      </c>
      <c r="Q204">
        <f t="shared" si="17"/>
        <v>20</v>
      </c>
      <c r="R204" s="10">
        <f t="shared" si="18"/>
        <v>30.5</v>
      </c>
      <c r="S204">
        <f t="shared" si="19"/>
        <v>27.3</v>
      </c>
    </row>
    <row r="205" spans="1:1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  <c r="J205" s="19"/>
      <c r="M205" s="7"/>
      <c r="O205">
        <f t="shared" si="15"/>
        <v>99</v>
      </c>
      <c r="P205">
        <f t="shared" si="16"/>
        <v>70</v>
      </c>
      <c r="Q205">
        <f t="shared" si="17"/>
        <v>16</v>
      </c>
      <c r="R205" s="10">
        <f t="shared" si="18"/>
        <v>44</v>
      </c>
      <c r="S205">
        <f t="shared" si="19"/>
        <v>20.399999999999999</v>
      </c>
    </row>
    <row r="206" spans="1:1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  <c r="J206" s="19"/>
      <c r="M206" s="7"/>
      <c r="O206">
        <f t="shared" si="15"/>
        <v>103</v>
      </c>
      <c r="P206">
        <f t="shared" si="16"/>
        <v>72</v>
      </c>
      <c r="Q206">
        <f t="shared" si="17"/>
        <v>32</v>
      </c>
      <c r="R206" s="10">
        <f t="shared" si="18"/>
        <v>190</v>
      </c>
      <c r="S206">
        <f t="shared" si="19"/>
        <v>37.700000000000003</v>
      </c>
    </row>
    <row r="207" spans="1:1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  <c r="J207" s="19"/>
      <c r="M207" s="7"/>
      <c r="O207">
        <f t="shared" si="15"/>
        <v>111</v>
      </c>
      <c r="P207">
        <f t="shared" si="16"/>
        <v>72</v>
      </c>
      <c r="Q207">
        <f t="shared" si="17"/>
        <v>28</v>
      </c>
      <c r="R207" s="10">
        <f t="shared" si="18"/>
        <v>30.5</v>
      </c>
      <c r="S207">
        <f t="shared" si="19"/>
        <v>23.9</v>
      </c>
    </row>
    <row r="208" spans="1:1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  <c r="J208" s="19"/>
      <c r="M208" s="7"/>
      <c r="O208">
        <f t="shared" si="15"/>
        <v>196</v>
      </c>
      <c r="P208">
        <f t="shared" si="16"/>
        <v>76</v>
      </c>
      <c r="Q208">
        <f t="shared" si="17"/>
        <v>29</v>
      </c>
      <c r="R208" s="10">
        <f t="shared" si="18"/>
        <v>280</v>
      </c>
      <c r="S208">
        <f t="shared" si="19"/>
        <v>37.5</v>
      </c>
    </row>
    <row r="209" spans="1:1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  <c r="J209" s="19"/>
      <c r="M209" s="7"/>
      <c r="O209">
        <f t="shared" si="15"/>
        <v>162</v>
      </c>
      <c r="P209">
        <f t="shared" si="16"/>
        <v>104</v>
      </c>
      <c r="Q209">
        <f t="shared" si="17"/>
        <v>23</v>
      </c>
      <c r="R209" s="10">
        <f t="shared" si="18"/>
        <v>30.5</v>
      </c>
      <c r="S209">
        <f t="shared" si="19"/>
        <v>37.700000000000003</v>
      </c>
    </row>
    <row r="210" spans="1:1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  <c r="J210" s="19"/>
      <c r="M210" s="7"/>
      <c r="O210">
        <f t="shared" si="15"/>
        <v>96</v>
      </c>
      <c r="P210">
        <f t="shared" si="16"/>
        <v>64</v>
      </c>
      <c r="Q210">
        <f t="shared" si="17"/>
        <v>27</v>
      </c>
      <c r="R210" s="10">
        <f t="shared" si="18"/>
        <v>87</v>
      </c>
      <c r="S210">
        <f t="shared" si="19"/>
        <v>33.200000000000003</v>
      </c>
    </row>
    <row r="211" spans="1:1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  <c r="J211" s="19"/>
      <c r="M211" s="7"/>
      <c r="O211">
        <f t="shared" si="15"/>
        <v>184</v>
      </c>
      <c r="P211">
        <f t="shared" si="16"/>
        <v>84</v>
      </c>
      <c r="Q211">
        <f t="shared" si="17"/>
        <v>33</v>
      </c>
      <c r="R211" s="10">
        <f t="shared" si="18"/>
        <v>30.5</v>
      </c>
      <c r="S211">
        <f t="shared" si="19"/>
        <v>35.5</v>
      </c>
    </row>
    <row r="212" spans="1:1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  <c r="J212" s="19"/>
      <c r="M212" s="7"/>
      <c r="O212">
        <f t="shared" si="15"/>
        <v>81</v>
      </c>
      <c r="P212">
        <f t="shared" si="16"/>
        <v>60</v>
      </c>
      <c r="Q212">
        <f t="shared" si="17"/>
        <v>22</v>
      </c>
      <c r="R212" s="10">
        <f t="shared" si="18"/>
        <v>30.5</v>
      </c>
      <c r="S212">
        <f t="shared" si="19"/>
        <v>27.7</v>
      </c>
    </row>
    <row r="213" spans="1:1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  <c r="J213" s="19"/>
      <c r="M213" s="7"/>
      <c r="O213">
        <f t="shared" si="15"/>
        <v>147</v>
      </c>
      <c r="P213">
        <f t="shared" si="16"/>
        <v>85</v>
      </c>
      <c r="Q213">
        <f t="shared" si="17"/>
        <v>54</v>
      </c>
      <c r="R213" s="10">
        <f t="shared" si="18"/>
        <v>30.5</v>
      </c>
      <c r="S213">
        <f t="shared" si="19"/>
        <v>42.8</v>
      </c>
    </row>
    <row r="214" spans="1:1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  <c r="J214" s="19"/>
      <c r="M214" s="7"/>
      <c r="O214">
        <f t="shared" si="15"/>
        <v>179</v>
      </c>
      <c r="P214">
        <f t="shared" si="16"/>
        <v>95</v>
      </c>
      <c r="Q214">
        <f t="shared" si="17"/>
        <v>31</v>
      </c>
      <c r="R214" s="10">
        <f t="shared" si="18"/>
        <v>30.5</v>
      </c>
      <c r="S214">
        <f t="shared" si="19"/>
        <v>34.200000000000003</v>
      </c>
    </row>
    <row r="215" spans="1:1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  <c r="J215" s="19"/>
      <c r="M215" s="7"/>
      <c r="O215">
        <f t="shared" si="15"/>
        <v>140</v>
      </c>
      <c r="P215">
        <f t="shared" si="16"/>
        <v>65</v>
      </c>
      <c r="Q215">
        <f t="shared" si="17"/>
        <v>26</v>
      </c>
      <c r="R215" s="10">
        <f t="shared" si="18"/>
        <v>130</v>
      </c>
      <c r="S215">
        <f t="shared" si="19"/>
        <v>42.6</v>
      </c>
    </row>
    <row r="216" spans="1:1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  <c r="J216" s="19"/>
      <c r="M216" s="7"/>
      <c r="O216">
        <f t="shared" si="15"/>
        <v>112</v>
      </c>
      <c r="P216">
        <f t="shared" si="16"/>
        <v>82</v>
      </c>
      <c r="Q216">
        <f t="shared" si="17"/>
        <v>32</v>
      </c>
      <c r="R216" s="10">
        <f t="shared" si="18"/>
        <v>175</v>
      </c>
      <c r="S216">
        <f t="shared" si="19"/>
        <v>34.200000000000003</v>
      </c>
    </row>
    <row r="217" spans="1:1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  <c r="J217" s="19"/>
      <c r="M217" s="7"/>
      <c r="O217">
        <f t="shared" si="15"/>
        <v>151</v>
      </c>
      <c r="P217">
        <f t="shared" si="16"/>
        <v>70</v>
      </c>
      <c r="Q217">
        <f t="shared" si="17"/>
        <v>40</v>
      </c>
      <c r="R217" s="10">
        <f t="shared" si="18"/>
        <v>271</v>
      </c>
      <c r="S217">
        <f t="shared" si="19"/>
        <v>41.8</v>
      </c>
    </row>
    <row r="218" spans="1:1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  <c r="J218" s="19"/>
      <c r="M218" s="7"/>
      <c r="O218">
        <f t="shared" si="15"/>
        <v>109</v>
      </c>
      <c r="P218">
        <f t="shared" si="16"/>
        <v>62</v>
      </c>
      <c r="Q218">
        <f t="shared" si="17"/>
        <v>41</v>
      </c>
      <c r="R218" s="10">
        <f t="shared" si="18"/>
        <v>129</v>
      </c>
      <c r="S218">
        <f t="shared" si="19"/>
        <v>35.799999999999997</v>
      </c>
    </row>
    <row r="219" spans="1:1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  <c r="J219" s="19"/>
      <c r="M219" s="7"/>
      <c r="O219">
        <f t="shared" si="15"/>
        <v>125</v>
      </c>
      <c r="P219">
        <f t="shared" si="16"/>
        <v>68</v>
      </c>
      <c r="Q219">
        <f t="shared" si="17"/>
        <v>30</v>
      </c>
      <c r="R219" s="10">
        <f t="shared" si="18"/>
        <v>120</v>
      </c>
      <c r="S219">
        <f t="shared" si="19"/>
        <v>30</v>
      </c>
    </row>
    <row r="220" spans="1:1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  <c r="J220" s="19"/>
      <c r="M220" s="7"/>
      <c r="O220">
        <f t="shared" si="15"/>
        <v>85</v>
      </c>
      <c r="P220">
        <f t="shared" si="16"/>
        <v>74</v>
      </c>
      <c r="Q220">
        <f t="shared" si="17"/>
        <v>22</v>
      </c>
      <c r="R220" s="10">
        <f t="shared" si="18"/>
        <v>30.5</v>
      </c>
      <c r="S220">
        <f t="shared" si="19"/>
        <v>29</v>
      </c>
    </row>
    <row r="221" spans="1:1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  <c r="J221" s="19"/>
      <c r="M221" s="7"/>
      <c r="O221">
        <f t="shared" si="15"/>
        <v>112</v>
      </c>
      <c r="P221">
        <f t="shared" si="16"/>
        <v>66</v>
      </c>
      <c r="Q221">
        <f t="shared" si="17"/>
        <v>23</v>
      </c>
      <c r="R221" s="10">
        <f t="shared" si="18"/>
        <v>30.5</v>
      </c>
      <c r="S221">
        <f t="shared" si="19"/>
        <v>37.799999999999997</v>
      </c>
    </row>
    <row r="222" spans="1:1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  <c r="J222" s="19"/>
      <c r="M222" s="7"/>
      <c r="O222">
        <f t="shared" si="15"/>
        <v>177</v>
      </c>
      <c r="P222">
        <f t="shared" si="16"/>
        <v>60</v>
      </c>
      <c r="Q222">
        <f t="shared" si="17"/>
        <v>29</v>
      </c>
      <c r="R222" s="10">
        <f t="shared" si="18"/>
        <v>478</v>
      </c>
      <c r="S222">
        <f t="shared" si="19"/>
        <v>34.6</v>
      </c>
    </row>
    <row r="223" spans="1:1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  <c r="J223" s="19"/>
      <c r="M223" s="7"/>
      <c r="O223">
        <f t="shared" si="15"/>
        <v>158</v>
      </c>
      <c r="P223">
        <f t="shared" si="16"/>
        <v>90</v>
      </c>
      <c r="Q223">
        <f t="shared" si="17"/>
        <v>23</v>
      </c>
      <c r="R223" s="10">
        <f t="shared" si="18"/>
        <v>30.5</v>
      </c>
      <c r="S223">
        <f t="shared" si="19"/>
        <v>31.6</v>
      </c>
    </row>
    <row r="224" spans="1:1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  <c r="J224" s="19"/>
      <c r="M224" s="7"/>
      <c r="O224">
        <f t="shared" si="15"/>
        <v>119</v>
      </c>
      <c r="P224">
        <f t="shared" si="16"/>
        <v>72</v>
      </c>
      <c r="Q224">
        <f t="shared" si="17"/>
        <v>23</v>
      </c>
      <c r="R224" s="10">
        <f t="shared" si="18"/>
        <v>30.5</v>
      </c>
      <c r="S224">
        <f t="shared" si="19"/>
        <v>25.2</v>
      </c>
    </row>
    <row r="225" spans="1:1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  <c r="J225" s="19"/>
      <c r="M225" s="7"/>
      <c r="O225">
        <f t="shared" si="15"/>
        <v>142</v>
      </c>
      <c r="P225">
        <f t="shared" si="16"/>
        <v>60</v>
      </c>
      <c r="Q225">
        <f t="shared" si="17"/>
        <v>33</v>
      </c>
      <c r="R225" s="10">
        <f t="shared" si="18"/>
        <v>190</v>
      </c>
      <c r="S225">
        <f t="shared" si="19"/>
        <v>28.8</v>
      </c>
    </row>
    <row r="226" spans="1:1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  <c r="J226" s="19"/>
      <c r="M226" s="7"/>
      <c r="O226">
        <f t="shared" si="15"/>
        <v>100</v>
      </c>
      <c r="P226">
        <f t="shared" si="16"/>
        <v>66</v>
      </c>
      <c r="Q226">
        <f t="shared" si="17"/>
        <v>15</v>
      </c>
      <c r="R226" s="10">
        <f t="shared" si="18"/>
        <v>56</v>
      </c>
      <c r="S226">
        <f t="shared" si="19"/>
        <v>23.6</v>
      </c>
    </row>
    <row r="227" spans="1:1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  <c r="J227" s="19"/>
      <c r="M227" s="7"/>
      <c r="O227">
        <f t="shared" si="15"/>
        <v>87</v>
      </c>
      <c r="P227">
        <f t="shared" si="16"/>
        <v>78</v>
      </c>
      <c r="Q227">
        <f t="shared" si="17"/>
        <v>27</v>
      </c>
      <c r="R227" s="10">
        <f t="shared" si="18"/>
        <v>32</v>
      </c>
      <c r="S227">
        <f t="shared" si="19"/>
        <v>34.6</v>
      </c>
    </row>
    <row r="228" spans="1:1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  <c r="J228" s="19"/>
      <c r="M228" s="7"/>
      <c r="O228">
        <f t="shared" si="15"/>
        <v>101</v>
      </c>
      <c r="P228">
        <f t="shared" si="16"/>
        <v>76</v>
      </c>
      <c r="Q228">
        <f t="shared" si="17"/>
        <v>23</v>
      </c>
      <c r="R228" s="10">
        <f t="shared" si="18"/>
        <v>30.5</v>
      </c>
      <c r="S228">
        <f t="shared" si="19"/>
        <v>35.700000000000003</v>
      </c>
    </row>
    <row r="229" spans="1:1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  <c r="J229" s="19"/>
      <c r="M229" s="7"/>
      <c r="O229">
        <f t="shared" si="15"/>
        <v>162</v>
      </c>
      <c r="P229">
        <f t="shared" si="16"/>
        <v>52</v>
      </c>
      <c r="Q229">
        <f t="shared" si="17"/>
        <v>38</v>
      </c>
      <c r="R229" s="10">
        <f t="shared" si="18"/>
        <v>30.5</v>
      </c>
      <c r="S229">
        <f t="shared" si="19"/>
        <v>37.200000000000003</v>
      </c>
    </row>
    <row r="230" spans="1:1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  <c r="J230" s="19"/>
      <c r="M230" s="7"/>
      <c r="O230">
        <f t="shared" si="15"/>
        <v>197</v>
      </c>
      <c r="P230">
        <f t="shared" si="16"/>
        <v>70</v>
      </c>
      <c r="Q230">
        <f t="shared" si="17"/>
        <v>39</v>
      </c>
      <c r="R230" s="10">
        <f t="shared" si="18"/>
        <v>744</v>
      </c>
      <c r="S230">
        <f t="shared" si="19"/>
        <v>36.700000000000003</v>
      </c>
    </row>
    <row r="231" spans="1:1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  <c r="J231" s="19"/>
      <c r="M231" s="7"/>
      <c r="O231">
        <f t="shared" si="15"/>
        <v>117</v>
      </c>
      <c r="P231">
        <f t="shared" si="16"/>
        <v>80</v>
      </c>
      <c r="Q231">
        <f t="shared" si="17"/>
        <v>31</v>
      </c>
      <c r="R231" s="10">
        <f t="shared" si="18"/>
        <v>53</v>
      </c>
      <c r="S231">
        <f t="shared" si="19"/>
        <v>45.2</v>
      </c>
    </row>
    <row r="232" spans="1:1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  <c r="J232" s="19"/>
      <c r="M232" s="7"/>
      <c r="O232">
        <f t="shared" si="15"/>
        <v>142</v>
      </c>
      <c r="P232">
        <f t="shared" si="16"/>
        <v>86</v>
      </c>
      <c r="Q232">
        <f t="shared" si="17"/>
        <v>23</v>
      </c>
      <c r="R232" s="10">
        <f t="shared" si="18"/>
        <v>30.5</v>
      </c>
      <c r="S232">
        <f t="shared" si="19"/>
        <v>44</v>
      </c>
    </row>
    <row r="233" spans="1:1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  <c r="J233" s="19"/>
      <c r="M233" s="7"/>
      <c r="O233">
        <f t="shared" si="15"/>
        <v>134</v>
      </c>
      <c r="P233">
        <f t="shared" si="16"/>
        <v>80</v>
      </c>
      <c r="Q233">
        <f t="shared" si="17"/>
        <v>37</v>
      </c>
      <c r="R233" s="10">
        <f t="shared" si="18"/>
        <v>370</v>
      </c>
      <c r="S233">
        <f t="shared" si="19"/>
        <v>46.2</v>
      </c>
    </row>
    <row r="234" spans="1:1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  <c r="J234" s="19"/>
      <c r="M234" s="7"/>
      <c r="O234">
        <f t="shared" si="15"/>
        <v>79</v>
      </c>
      <c r="P234">
        <f t="shared" si="16"/>
        <v>80</v>
      </c>
      <c r="Q234">
        <f t="shared" si="17"/>
        <v>25</v>
      </c>
      <c r="R234" s="10">
        <f t="shared" si="18"/>
        <v>37</v>
      </c>
      <c r="S234">
        <f t="shared" si="19"/>
        <v>25.4</v>
      </c>
    </row>
    <row r="235" spans="1:1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  <c r="J235" s="19"/>
      <c r="M235" s="7"/>
      <c r="O235">
        <f t="shared" si="15"/>
        <v>122</v>
      </c>
      <c r="P235">
        <f t="shared" si="16"/>
        <v>68</v>
      </c>
      <c r="Q235">
        <f t="shared" si="17"/>
        <v>23</v>
      </c>
      <c r="R235" s="10">
        <f t="shared" si="18"/>
        <v>30.5</v>
      </c>
      <c r="S235">
        <f t="shared" si="19"/>
        <v>35</v>
      </c>
    </row>
    <row r="236" spans="1:1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  <c r="J236" s="19"/>
      <c r="M236" s="7"/>
      <c r="O236">
        <f t="shared" si="15"/>
        <v>74</v>
      </c>
      <c r="P236">
        <f t="shared" si="16"/>
        <v>68</v>
      </c>
      <c r="Q236">
        <f t="shared" si="17"/>
        <v>28</v>
      </c>
      <c r="R236" s="10">
        <f t="shared" si="18"/>
        <v>45</v>
      </c>
      <c r="S236">
        <f t="shared" si="19"/>
        <v>29.7</v>
      </c>
    </row>
    <row r="237" spans="1:1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  <c r="J237" s="19"/>
      <c r="M237" s="7"/>
      <c r="O237">
        <f t="shared" si="15"/>
        <v>171</v>
      </c>
      <c r="P237">
        <f t="shared" si="16"/>
        <v>72</v>
      </c>
      <c r="Q237">
        <f t="shared" si="17"/>
        <v>23</v>
      </c>
      <c r="R237" s="10">
        <f t="shared" si="18"/>
        <v>30.5</v>
      </c>
      <c r="S237">
        <f t="shared" si="19"/>
        <v>43.6</v>
      </c>
    </row>
    <row r="238" spans="1:1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  <c r="J238" s="19"/>
      <c r="M238" s="7"/>
      <c r="O238">
        <f t="shared" si="15"/>
        <v>181</v>
      </c>
      <c r="P238">
        <f t="shared" si="16"/>
        <v>84</v>
      </c>
      <c r="Q238">
        <f t="shared" si="17"/>
        <v>21</v>
      </c>
      <c r="R238" s="10">
        <f t="shared" si="18"/>
        <v>192</v>
      </c>
      <c r="S238">
        <f t="shared" si="19"/>
        <v>35.9</v>
      </c>
    </row>
    <row r="239" spans="1:1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  <c r="J239" s="19"/>
      <c r="M239" s="7"/>
      <c r="O239">
        <f t="shared" si="15"/>
        <v>179</v>
      </c>
      <c r="P239">
        <f t="shared" si="16"/>
        <v>90</v>
      </c>
      <c r="Q239">
        <f t="shared" si="17"/>
        <v>27</v>
      </c>
      <c r="R239" s="10">
        <f t="shared" si="18"/>
        <v>30.5</v>
      </c>
      <c r="S239">
        <f t="shared" si="19"/>
        <v>44.1</v>
      </c>
    </row>
    <row r="240" spans="1:1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  <c r="J240" s="19"/>
      <c r="M240" s="7"/>
      <c r="O240">
        <f t="shared" si="15"/>
        <v>164</v>
      </c>
      <c r="P240">
        <f t="shared" si="16"/>
        <v>84</v>
      </c>
      <c r="Q240">
        <f t="shared" si="17"/>
        <v>21</v>
      </c>
      <c r="R240" s="10">
        <f t="shared" si="18"/>
        <v>30.5</v>
      </c>
      <c r="S240">
        <f t="shared" si="19"/>
        <v>30.8</v>
      </c>
    </row>
    <row r="241" spans="1:1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  <c r="J241" s="19"/>
      <c r="M241" s="7"/>
      <c r="O241">
        <f t="shared" si="15"/>
        <v>104</v>
      </c>
      <c r="P241">
        <f t="shared" si="16"/>
        <v>76</v>
      </c>
      <c r="Q241">
        <f t="shared" si="17"/>
        <v>23</v>
      </c>
      <c r="R241" s="10">
        <f t="shared" si="18"/>
        <v>30.5</v>
      </c>
      <c r="S241">
        <f t="shared" si="19"/>
        <v>18.399999999999999</v>
      </c>
    </row>
    <row r="242" spans="1:1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  <c r="J242" s="19"/>
      <c r="M242" s="7"/>
      <c r="O242">
        <f t="shared" si="15"/>
        <v>91</v>
      </c>
      <c r="P242">
        <f t="shared" si="16"/>
        <v>64</v>
      </c>
      <c r="Q242">
        <f t="shared" si="17"/>
        <v>24</v>
      </c>
      <c r="R242" s="10">
        <f t="shared" si="18"/>
        <v>30.5</v>
      </c>
      <c r="S242">
        <f t="shared" si="19"/>
        <v>29.2</v>
      </c>
    </row>
    <row r="243" spans="1:1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  <c r="J243" s="19"/>
      <c r="M243" s="7"/>
      <c r="O243">
        <f t="shared" si="15"/>
        <v>91</v>
      </c>
      <c r="P243">
        <f t="shared" si="16"/>
        <v>70</v>
      </c>
      <c r="Q243">
        <f t="shared" si="17"/>
        <v>32</v>
      </c>
      <c r="R243" s="10">
        <f t="shared" si="18"/>
        <v>88</v>
      </c>
      <c r="S243">
        <f t="shared" si="19"/>
        <v>33.1</v>
      </c>
    </row>
    <row r="244" spans="1:1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  <c r="J244" s="19"/>
      <c r="M244" s="7"/>
      <c r="O244">
        <f t="shared" si="15"/>
        <v>139</v>
      </c>
      <c r="P244">
        <f t="shared" si="16"/>
        <v>54</v>
      </c>
      <c r="Q244">
        <f t="shared" si="17"/>
        <v>23</v>
      </c>
      <c r="R244" s="10">
        <f t="shared" si="18"/>
        <v>30.5</v>
      </c>
      <c r="S244">
        <f t="shared" si="19"/>
        <v>25.6</v>
      </c>
    </row>
    <row r="245" spans="1:1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  <c r="J245" s="19"/>
      <c r="M245" s="7"/>
      <c r="O245">
        <f t="shared" si="15"/>
        <v>119</v>
      </c>
      <c r="P245">
        <f t="shared" si="16"/>
        <v>50</v>
      </c>
      <c r="Q245">
        <f t="shared" si="17"/>
        <v>22</v>
      </c>
      <c r="R245" s="10">
        <f t="shared" si="18"/>
        <v>176</v>
      </c>
      <c r="S245">
        <f t="shared" si="19"/>
        <v>27.1</v>
      </c>
    </row>
    <row r="246" spans="1:1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  <c r="J246" s="19"/>
      <c r="M246" s="7"/>
      <c r="O246">
        <f t="shared" si="15"/>
        <v>146</v>
      </c>
      <c r="P246">
        <f t="shared" si="16"/>
        <v>76</v>
      </c>
      <c r="Q246">
        <f t="shared" si="17"/>
        <v>35</v>
      </c>
      <c r="R246" s="10">
        <f t="shared" si="18"/>
        <v>194</v>
      </c>
      <c r="S246">
        <f t="shared" si="19"/>
        <v>38.200000000000003</v>
      </c>
    </row>
    <row r="247" spans="1:1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  <c r="J247" s="19"/>
      <c r="M247" s="7"/>
      <c r="O247">
        <f t="shared" si="15"/>
        <v>184</v>
      </c>
      <c r="P247">
        <f t="shared" si="16"/>
        <v>85</v>
      </c>
      <c r="Q247">
        <f t="shared" si="17"/>
        <v>15</v>
      </c>
      <c r="R247" s="10">
        <f t="shared" si="18"/>
        <v>30.5</v>
      </c>
      <c r="S247">
        <f t="shared" si="19"/>
        <v>30</v>
      </c>
    </row>
    <row r="248" spans="1:1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  <c r="J248" s="19"/>
      <c r="M248" s="7"/>
      <c r="O248">
        <f t="shared" si="15"/>
        <v>122</v>
      </c>
      <c r="P248">
        <f t="shared" si="16"/>
        <v>68</v>
      </c>
      <c r="Q248">
        <f t="shared" si="17"/>
        <v>23</v>
      </c>
      <c r="R248" s="10">
        <f t="shared" si="18"/>
        <v>30.5</v>
      </c>
      <c r="S248">
        <f t="shared" si="19"/>
        <v>31.2</v>
      </c>
    </row>
    <row r="249" spans="1:1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  <c r="J249" s="19"/>
      <c r="M249" s="7"/>
      <c r="O249">
        <f t="shared" si="15"/>
        <v>165</v>
      </c>
      <c r="P249">
        <f t="shared" si="16"/>
        <v>90</v>
      </c>
      <c r="Q249">
        <f t="shared" si="17"/>
        <v>33</v>
      </c>
      <c r="R249" s="10">
        <f t="shared" si="18"/>
        <v>680</v>
      </c>
      <c r="S249">
        <f t="shared" si="19"/>
        <v>52.3</v>
      </c>
    </row>
    <row r="250" spans="1:1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  <c r="J250" s="19"/>
      <c r="M250" s="7"/>
      <c r="O250">
        <f t="shared" si="15"/>
        <v>124</v>
      </c>
      <c r="P250">
        <f t="shared" si="16"/>
        <v>70</v>
      </c>
      <c r="Q250">
        <f t="shared" si="17"/>
        <v>33</v>
      </c>
      <c r="R250" s="10">
        <f t="shared" si="18"/>
        <v>402</v>
      </c>
      <c r="S250">
        <f t="shared" si="19"/>
        <v>35.4</v>
      </c>
    </row>
    <row r="251" spans="1:1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  <c r="J251" s="19"/>
      <c r="M251" s="7"/>
      <c r="O251">
        <f t="shared" si="15"/>
        <v>111</v>
      </c>
      <c r="P251">
        <f t="shared" si="16"/>
        <v>86</v>
      </c>
      <c r="Q251">
        <f t="shared" si="17"/>
        <v>19</v>
      </c>
      <c r="R251" s="10">
        <f t="shared" si="18"/>
        <v>30.5</v>
      </c>
      <c r="S251">
        <f t="shared" si="19"/>
        <v>30.1</v>
      </c>
    </row>
    <row r="252" spans="1:1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  <c r="J252" s="19"/>
      <c r="M252" s="7"/>
      <c r="O252">
        <f t="shared" si="15"/>
        <v>106</v>
      </c>
      <c r="P252">
        <f t="shared" si="16"/>
        <v>52</v>
      </c>
      <c r="Q252">
        <f t="shared" si="17"/>
        <v>23</v>
      </c>
      <c r="R252" s="10">
        <f t="shared" si="18"/>
        <v>30.5</v>
      </c>
      <c r="S252">
        <f t="shared" si="19"/>
        <v>31.2</v>
      </c>
    </row>
    <row r="253" spans="1:1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  <c r="J253" s="19"/>
      <c r="M253" s="7"/>
      <c r="O253">
        <f t="shared" si="15"/>
        <v>129</v>
      </c>
      <c r="P253">
        <f t="shared" si="16"/>
        <v>84</v>
      </c>
      <c r="Q253">
        <f t="shared" si="17"/>
        <v>23</v>
      </c>
      <c r="R253" s="10">
        <f t="shared" si="18"/>
        <v>30.5</v>
      </c>
      <c r="S253">
        <f t="shared" si="19"/>
        <v>28</v>
      </c>
    </row>
    <row r="254" spans="1:1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  <c r="J254" s="19"/>
      <c r="M254" s="7"/>
      <c r="O254">
        <f t="shared" si="15"/>
        <v>90</v>
      </c>
      <c r="P254">
        <f t="shared" si="16"/>
        <v>80</v>
      </c>
      <c r="Q254">
        <f t="shared" si="17"/>
        <v>14</v>
      </c>
      <c r="R254" s="10">
        <f t="shared" si="18"/>
        <v>55</v>
      </c>
      <c r="S254">
        <f t="shared" si="19"/>
        <v>24.4</v>
      </c>
    </row>
    <row r="255" spans="1:1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  <c r="J255" s="19"/>
      <c r="M255" s="7"/>
      <c r="O255">
        <f t="shared" si="15"/>
        <v>86</v>
      </c>
      <c r="P255">
        <f t="shared" si="16"/>
        <v>68</v>
      </c>
      <c r="Q255">
        <f t="shared" si="17"/>
        <v>32</v>
      </c>
      <c r="R255" s="10">
        <f t="shared" si="18"/>
        <v>30.5</v>
      </c>
      <c r="S255">
        <f t="shared" si="19"/>
        <v>35.799999999999997</v>
      </c>
    </row>
    <row r="256" spans="1:1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  <c r="J256" s="19"/>
      <c r="M256" s="7"/>
      <c r="O256">
        <f t="shared" si="15"/>
        <v>92</v>
      </c>
      <c r="P256">
        <f t="shared" si="16"/>
        <v>62</v>
      </c>
      <c r="Q256">
        <f t="shared" si="17"/>
        <v>7</v>
      </c>
      <c r="R256" s="10">
        <f t="shared" si="18"/>
        <v>258</v>
      </c>
      <c r="S256">
        <f t="shared" si="19"/>
        <v>27.6</v>
      </c>
    </row>
    <row r="257" spans="1:1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  <c r="J257" s="19"/>
      <c r="M257" s="7"/>
      <c r="O257">
        <f t="shared" si="15"/>
        <v>113</v>
      </c>
      <c r="P257">
        <f t="shared" si="16"/>
        <v>64</v>
      </c>
      <c r="Q257">
        <f t="shared" si="17"/>
        <v>35</v>
      </c>
      <c r="R257" s="10">
        <f t="shared" si="18"/>
        <v>30.5</v>
      </c>
      <c r="S257">
        <f t="shared" si="19"/>
        <v>33.6</v>
      </c>
    </row>
    <row r="258" spans="1:1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  <c r="J258" s="19"/>
      <c r="M258" s="7"/>
      <c r="O258">
        <f t="shared" si="15"/>
        <v>111</v>
      </c>
      <c r="P258">
        <f t="shared" si="16"/>
        <v>56</v>
      </c>
      <c r="Q258">
        <f t="shared" si="17"/>
        <v>39</v>
      </c>
      <c r="R258" s="10">
        <f t="shared" si="18"/>
        <v>30.5</v>
      </c>
      <c r="S258">
        <f t="shared" si="19"/>
        <v>30.1</v>
      </c>
    </row>
    <row r="259" spans="1:1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  <c r="J259" s="19"/>
      <c r="M259" s="7"/>
      <c r="O259">
        <f t="shared" ref="O259:O322" si="20">IF(B259=0,$L$11,B259)</f>
        <v>114</v>
      </c>
      <c r="P259">
        <f t="shared" ref="P259:P322" si="21">IF(C259=0,$L$12,C259)</f>
        <v>68</v>
      </c>
      <c r="Q259">
        <f t="shared" ref="Q259:Q322" si="22">IF(D259=0,$L$13,D259)</f>
        <v>22</v>
      </c>
      <c r="R259" s="10">
        <f t="shared" ref="R259:R322" si="23">IF(E259=0,$L$14,E259)</f>
        <v>30.5</v>
      </c>
      <c r="S259">
        <f t="shared" ref="S259:S322" si="24">IF(F259=0,$L$15,F259)</f>
        <v>28.7</v>
      </c>
    </row>
    <row r="260" spans="1:1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  <c r="J260" s="19"/>
      <c r="M260" s="7"/>
      <c r="O260">
        <f t="shared" si="20"/>
        <v>193</v>
      </c>
      <c r="P260">
        <f t="shared" si="21"/>
        <v>50</v>
      </c>
      <c r="Q260">
        <f t="shared" si="22"/>
        <v>16</v>
      </c>
      <c r="R260" s="10">
        <f t="shared" si="23"/>
        <v>375</v>
      </c>
      <c r="S260">
        <f t="shared" si="24"/>
        <v>25.9</v>
      </c>
    </row>
    <row r="261" spans="1:1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  <c r="J261" s="19"/>
      <c r="M261" s="7"/>
      <c r="O261">
        <f t="shared" si="20"/>
        <v>155</v>
      </c>
      <c r="P261">
        <f t="shared" si="21"/>
        <v>76</v>
      </c>
      <c r="Q261">
        <f t="shared" si="22"/>
        <v>28</v>
      </c>
      <c r="R261" s="10">
        <f t="shared" si="23"/>
        <v>150</v>
      </c>
      <c r="S261">
        <f t="shared" si="24"/>
        <v>33.299999999999997</v>
      </c>
    </row>
    <row r="262" spans="1:1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  <c r="J262" s="19"/>
      <c r="M262" s="7"/>
      <c r="O262">
        <f t="shared" si="20"/>
        <v>191</v>
      </c>
      <c r="P262">
        <f t="shared" si="21"/>
        <v>68</v>
      </c>
      <c r="Q262">
        <f t="shared" si="22"/>
        <v>15</v>
      </c>
      <c r="R262" s="10">
        <f t="shared" si="23"/>
        <v>130</v>
      </c>
      <c r="S262">
        <f t="shared" si="24"/>
        <v>30.9</v>
      </c>
    </row>
    <row r="263" spans="1:1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  <c r="J263" s="19"/>
      <c r="M263" s="7"/>
      <c r="O263">
        <f t="shared" si="20"/>
        <v>141</v>
      </c>
      <c r="P263">
        <f t="shared" si="21"/>
        <v>72</v>
      </c>
      <c r="Q263">
        <f t="shared" si="22"/>
        <v>23</v>
      </c>
      <c r="R263" s="10">
        <f t="shared" si="23"/>
        <v>30.5</v>
      </c>
      <c r="S263">
        <f t="shared" si="24"/>
        <v>30</v>
      </c>
    </row>
    <row r="264" spans="1:1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  <c r="J264" s="19"/>
      <c r="M264" s="7"/>
      <c r="O264">
        <f t="shared" si="20"/>
        <v>95</v>
      </c>
      <c r="P264">
        <f t="shared" si="21"/>
        <v>70</v>
      </c>
      <c r="Q264">
        <f t="shared" si="22"/>
        <v>32</v>
      </c>
      <c r="R264" s="10">
        <f t="shared" si="23"/>
        <v>30.5</v>
      </c>
      <c r="S264">
        <f t="shared" si="24"/>
        <v>32.1</v>
      </c>
    </row>
    <row r="265" spans="1:1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  <c r="J265" s="19"/>
      <c r="M265" s="7"/>
      <c r="O265">
        <f t="shared" si="20"/>
        <v>142</v>
      </c>
      <c r="P265">
        <f t="shared" si="21"/>
        <v>80</v>
      </c>
      <c r="Q265">
        <f t="shared" si="22"/>
        <v>15</v>
      </c>
      <c r="R265" s="10">
        <f t="shared" si="23"/>
        <v>30.5</v>
      </c>
      <c r="S265">
        <f t="shared" si="24"/>
        <v>32.4</v>
      </c>
    </row>
    <row r="266" spans="1:1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  <c r="J266" s="19"/>
      <c r="M266" s="7"/>
      <c r="O266">
        <f t="shared" si="20"/>
        <v>123</v>
      </c>
      <c r="P266">
        <f t="shared" si="21"/>
        <v>62</v>
      </c>
      <c r="Q266">
        <f t="shared" si="22"/>
        <v>23</v>
      </c>
      <c r="R266" s="10">
        <f t="shared" si="23"/>
        <v>30.5</v>
      </c>
      <c r="S266">
        <f t="shared" si="24"/>
        <v>32</v>
      </c>
    </row>
    <row r="267" spans="1:1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  <c r="J267" s="19"/>
      <c r="M267" s="7"/>
      <c r="O267">
        <f t="shared" si="20"/>
        <v>96</v>
      </c>
      <c r="P267">
        <f t="shared" si="21"/>
        <v>74</v>
      </c>
      <c r="Q267">
        <f t="shared" si="22"/>
        <v>18</v>
      </c>
      <c r="R267" s="10">
        <f t="shared" si="23"/>
        <v>67</v>
      </c>
      <c r="S267">
        <f t="shared" si="24"/>
        <v>33.6</v>
      </c>
    </row>
    <row r="268" spans="1:1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  <c r="J268" s="19"/>
      <c r="M268" s="7"/>
      <c r="O268">
        <f t="shared" si="20"/>
        <v>138</v>
      </c>
      <c r="P268">
        <f t="shared" si="21"/>
        <v>72</v>
      </c>
      <c r="Q268">
        <f t="shared" si="22"/>
        <v>23</v>
      </c>
      <c r="R268" s="10">
        <f t="shared" si="23"/>
        <v>30.5</v>
      </c>
      <c r="S268">
        <f t="shared" si="24"/>
        <v>36.299999999999997</v>
      </c>
    </row>
    <row r="269" spans="1:1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  <c r="J269" s="19"/>
      <c r="M269" s="7"/>
      <c r="O269">
        <f t="shared" si="20"/>
        <v>128</v>
      </c>
      <c r="P269">
        <f t="shared" si="21"/>
        <v>64</v>
      </c>
      <c r="Q269">
        <f t="shared" si="22"/>
        <v>42</v>
      </c>
      <c r="R269" s="10">
        <f t="shared" si="23"/>
        <v>30.5</v>
      </c>
      <c r="S269">
        <f t="shared" si="24"/>
        <v>40</v>
      </c>
    </row>
    <row r="270" spans="1:1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  <c r="J270" s="19"/>
      <c r="M270" s="7"/>
      <c r="O270">
        <f t="shared" si="20"/>
        <v>102</v>
      </c>
      <c r="P270">
        <f t="shared" si="21"/>
        <v>52</v>
      </c>
      <c r="Q270">
        <f t="shared" si="22"/>
        <v>23</v>
      </c>
      <c r="R270" s="10">
        <f t="shared" si="23"/>
        <v>30.5</v>
      </c>
      <c r="S270">
        <f t="shared" si="24"/>
        <v>25.1</v>
      </c>
    </row>
    <row r="271" spans="1:1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  <c r="J271" s="19"/>
      <c r="M271" s="7"/>
      <c r="O271">
        <f t="shared" si="20"/>
        <v>146</v>
      </c>
      <c r="P271">
        <f t="shared" si="21"/>
        <v>72</v>
      </c>
      <c r="Q271">
        <f t="shared" si="22"/>
        <v>23</v>
      </c>
      <c r="R271" s="10">
        <f t="shared" si="23"/>
        <v>30.5</v>
      </c>
      <c r="S271">
        <f t="shared" si="24"/>
        <v>27.5</v>
      </c>
    </row>
    <row r="272" spans="1:1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  <c r="J272" s="19"/>
      <c r="M272" s="7"/>
      <c r="O272">
        <f t="shared" si="20"/>
        <v>101</v>
      </c>
      <c r="P272">
        <f t="shared" si="21"/>
        <v>86</v>
      </c>
      <c r="Q272">
        <f t="shared" si="22"/>
        <v>37</v>
      </c>
      <c r="R272" s="10">
        <f t="shared" si="23"/>
        <v>30.5</v>
      </c>
      <c r="S272">
        <f t="shared" si="24"/>
        <v>45.6</v>
      </c>
    </row>
    <row r="273" spans="1:1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  <c r="J273" s="19"/>
      <c r="M273" s="7"/>
      <c r="O273">
        <f t="shared" si="20"/>
        <v>108</v>
      </c>
      <c r="P273">
        <f t="shared" si="21"/>
        <v>62</v>
      </c>
      <c r="Q273">
        <f t="shared" si="22"/>
        <v>32</v>
      </c>
      <c r="R273" s="10">
        <f t="shared" si="23"/>
        <v>56</v>
      </c>
      <c r="S273">
        <f t="shared" si="24"/>
        <v>25.2</v>
      </c>
    </row>
    <row r="274" spans="1:1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  <c r="J274" s="19"/>
      <c r="M274" s="7"/>
      <c r="O274">
        <f t="shared" si="20"/>
        <v>122</v>
      </c>
      <c r="P274">
        <f t="shared" si="21"/>
        <v>78</v>
      </c>
      <c r="Q274">
        <f t="shared" si="22"/>
        <v>23</v>
      </c>
      <c r="R274" s="10">
        <f t="shared" si="23"/>
        <v>30.5</v>
      </c>
      <c r="S274">
        <f t="shared" si="24"/>
        <v>23</v>
      </c>
    </row>
    <row r="275" spans="1:1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  <c r="J275" s="19"/>
      <c r="M275" s="7"/>
      <c r="O275">
        <f t="shared" si="20"/>
        <v>71</v>
      </c>
      <c r="P275">
        <f t="shared" si="21"/>
        <v>78</v>
      </c>
      <c r="Q275">
        <f t="shared" si="22"/>
        <v>50</v>
      </c>
      <c r="R275" s="10">
        <f t="shared" si="23"/>
        <v>45</v>
      </c>
      <c r="S275">
        <f t="shared" si="24"/>
        <v>33.200000000000003</v>
      </c>
    </row>
    <row r="276" spans="1:1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  <c r="J276" s="19"/>
      <c r="M276" s="7"/>
      <c r="O276">
        <f t="shared" si="20"/>
        <v>106</v>
      </c>
      <c r="P276">
        <f t="shared" si="21"/>
        <v>70</v>
      </c>
      <c r="Q276">
        <f t="shared" si="22"/>
        <v>23</v>
      </c>
      <c r="R276" s="10">
        <f t="shared" si="23"/>
        <v>30.5</v>
      </c>
      <c r="S276">
        <f t="shared" si="24"/>
        <v>34.200000000000003</v>
      </c>
    </row>
    <row r="277" spans="1:1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  <c r="J277" s="19"/>
      <c r="M277" s="7"/>
      <c r="O277">
        <f t="shared" si="20"/>
        <v>100</v>
      </c>
      <c r="P277">
        <f t="shared" si="21"/>
        <v>70</v>
      </c>
      <c r="Q277">
        <f t="shared" si="22"/>
        <v>52</v>
      </c>
      <c r="R277" s="10">
        <f t="shared" si="23"/>
        <v>57</v>
      </c>
      <c r="S277">
        <f t="shared" si="24"/>
        <v>40.5</v>
      </c>
    </row>
    <row r="278" spans="1:1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  <c r="J278" s="19"/>
      <c r="M278" s="7"/>
      <c r="O278">
        <f t="shared" si="20"/>
        <v>106</v>
      </c>
      <c r="P278">
        <f t="shared" si="21"/>
        <v>60</v>
      </c>
      <c r="Q278">
        <f t="shared" si="22"/>
        <v>24</v>
      </c>
      <c r="R278" s="10">
        <f t="shared" si="23"/>
        <v>30.5</v>
      </c>
      <c r="S278">
        <f t="shared" si="24"/>
        <v>26.5</v>
      </c>
    </row>
    <row r="279" spans="1:1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  <c r="J279" s="19"/>
      <c r="M279" s="7"/>
      <c r="O279">
        <f t="shared" si="20"/>
        <v>104</v>
      </c>
      <c r="P279">
        <f t="shared" si="21"/>
        <v>64</v>
      </c>
      <c r="Q279">
        <f t="shared" si="22"/>
        <v>23</v>
      </c>
      <c r="R279" s="10">
        <f t="shared" si="23"/>
        <v>116</v>
      </c>
      <c r="S279">
        <f t="shared" si="24"/>
        <v>27.8</v>
      </c>
    </row>
    <row r="280" spans="1:1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  <c r="J280" s="19"/>
      <c r="M280" s="7"/>
      <c r="O280">
        <f t="shared" si="20"/>
        <v>114</v>
      </c>
      <c r="P280">
        <f t="shared" si="21"/>
        <v>74</v>
      </c>
      <c r="Q280">
        <f t="shared" si="22"/>
        <v>23</v>
      </c>
      <c r="R280" s="10">
        <f t="shared" si="23"/>
        <v>30.5</v>
      </c>
      <c r="S280">
        <f t="shared" si="24"/>
        <v>24.9</v>
      </c>
    </row>
    <row r="281" spans="1:1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  <c r="J281" s="19"/>
      <c r="M281" s="7"/>
      <c r="O281">
        <f t="shared" si="20"/>
        <v>108</v>
      </c>
      <c r="P281">
        <f t="shared" si="21"/>
        <v>62</v>
      </c>
      <c r="Q281">
        <f t="shared" si="22"/>
        <v>10</v>
      </c>
      <c r="R281" s="10">
        <f t="shared" si="23"/>
        <v>278</v>
      </c>
      <c r="S281">
        <f t="shared" si="24"/>
        <v>25.3</v>
      </c>
    </row>
    <row r="282" spans="1:1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  <c r="J282" s="19"/>
      <c r="M282" s="7"/>
      <c r="O282">
        <f t="shared" si="20"/>
        <v>146</v>
      </c>
      <c r="P282">
        <f t="shared" si="21"/>
        <v>70</v>
      </c>
      <c r="Q282">
        <f t="shared" si="22"/>
        <v>23</v>
      </c>
      <c r="R282" s="10">
        <f t="shared" si="23"/>
        <v>30.5</v>
      </c>
      <c r="S282">
        <f t="shared" si="24"/>
        <v>37.9</v>
      </c>
    </row>
    <row r="283" spans="1:1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  <c r="J283" s="19"/>
      <c r="M283" s="7"/>
      <c r="O283">
        <f t="shared" si="20"/>
        <v>129</v>
      </c>
      <c r="P283">
        <f t="shared" si="21"/>
        <v>76</v>
      </c>
      <c r="Q283">
        <f t="shared" si="22"/>
        <v>28</v>
      </c>
      <c r="R283" s="10">
        <f t="shared" si="23"/>
        <v>122</v>
      </c>
      <c r="S283">
        <f t="shared" si="24"/>
        <v>35.9</v>
      </c>
    </row>
    <row r="284" spans="1:1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  <c r="J284" s="19"/>
      <c r="M284" s="7"/>
      <c r="O284">
        <f t="shared" si="20"/>
        <v>133</v>
      </c>
      <c r="P284">
        <f t="shared" si="21"/>
        <v>88</v>
      </c>
      <c r="Q284">
        <f t="shared" si="22"/>
        <v>15</v>
      </c>
      <c r="R284" s="10">
        <f t="shared" si="23"/>
        <v>155</v>
      </c>
      <c r="S284">
        <f t="shared" si="24"/>
        <v>32.4</v>
      </c>
    </row>
    <row r="285" spans="1:1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  <c r="J285" s="19"/>
      <c r="M285" s="7"/>
      <c r="O285">
        <f t="shared" si="20"/>
        <v>161</v>
      </c>
      <c r="P285">
        <f t="shared" si="21"/>
        <v>86</v>
      </c>
      <c r="Q285">
        <f t="shared" si="22"/>
        <v>23</v>
      </c>
      <c r="R285" s="10">
        <f t="shared" si="23"/>
        <v>30.5</v>
      </c>
      <c r="S285">
        <f t="shared" si="24"/>
        <v>30.4</v>
      </c>
    </row>
    <row r="286" spans="1:1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  <c r="J286" s="19"/>
      <c r="M286" s="7"/>
      <c r="O286">
        <f t="shared" si="20"/>
        <v>108</v>
      </c>
      <c r="P286">
        <f t="shared" si="21"/>
        <v>80</v>
      </c>
      <c r="Q286">
        <f t="shared" si="22"/>
        <v>23</v>
      </c>
      <c r="R286" s="10">
        <f t="shared" si="23"/>
        <v>30.5</v>
      </c>
      <c r="S286">
        <f t="shared" si="24"/>
        <v>27</v>
      </c>
    </row>
    <row r="287" spans="1:1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  <c r="J287" s="19"/>
      <c r="M287" s="7"/>
      <c r="O287">
        <f t="shared" si="20"/>
        <v>136</v>
      </c>
      <c r="P287">
        <f t="shared" si="21"/>
        <v>74</v>
      </c>
      <c r="Q287">
        <f t="shared" si="22"/>
        <v>26</v>
      </c>
      <c r="R287" s="10">
        <f t="shared" si="23"/>
        <v>135</v>
      </c>
      <c r="S287">
        <f t="shared" si="24"/>
        <v>26</v>
      </c>
    </row>
    <row r="288" spans="1:1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  <c r="J288" s="19"/>
      <c r="M288" s="7"/>
      <c r="O288">
        <f t="shared" si="20"/>
        <v>155</v>
      </c>
      <c r="P288">
        <f t="shared" si="21"/>
        <v>84</v>
      </c>
      <c r="Q288">
        <f t="shared" si="22"/>
        <v>44</v>
      </c>
      <c r="R288" s="10">
        <f t="shared" si="23"/>
        <v>545</v>
      </c>
      <c r="S288">
        <f t="shared" si="24"/>
        <v>38.700000000000003</v>
      </c>
    </row>
    <row r="289" spans="1:1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  <c r="J289" s="19"/>
      <c r="M289" s="7"/>
      <c r="O289">
        <f t="shared" si="20"/>
        <v>119</v>
      </c>
      <c r="P289">
        <f t="shared" si="21"/>
        <v>86</v>
      </c>
      <c r="Q289">
        <f t="shared" si="22"/>
        <v>39</v>
      </c>
      <c r="R289" s="10">
        <f t="shared" si="23"/>
        <v>220</v>
      </c>
      <c r="S289">
        <f t="shared" si="24"/>
        <v>45.6</v>
      </c>
    </row>
    <row r="290" spans="1:1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  <c r="J290" s="19"/>
      <c r="M290" s="7"/>
      <c r="O290">
        <f t="shared" si="20"/>
        <v>96</v>
      </c>
      <c r="P290">
        <f t="shared" si="21"/>
        <v>56</v>
      </c>
      <c r="Q290">
        <f t="shared" si="22"/>
        <v>17</v>
      </c>
      <c r="R290" s="10">
        <f t="shared" si="23"/>
        <v>49</v>
      </c>
      <c r="S290">
        <f t="shared" si="24"/>
        <v>20.8</v>
      </c>
    </row>
    <row r="291" spans="1:1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  <c r="J291" s="19"/>
      <c r="M291" s="7"/>
      <c r="O291">
        <f t="shared" si="20"/>
        <v>108</v>
      </c>
      <c r="P291">
        <f t="shared" si="21"/>
        <v>72</v>
      </c>
      <c r="Q291">
        <f t="shared" si="22"/>
        <v>43</v>
      </c>
      <c r="R291" s="10">
        <f t="shared" si="23"/>
        <v>75</v>
      </c>
      <c r="S291">
        <f t="shared" si="24"/>
        <v>36.1</v>
      </c>
    </row>
    <row r="292" spans="1:1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  <c r="J292" s="19"/>
      <c r="M292" s="7"/>
      <c r="O292">
        <f t="shared" si="20"/>
        <v>78</v>
      </c>
      <c r="P292">
        <f t="shared" si="21"/>
        <v>88</v>
      </c>
      <c r="Q292">
        <f t="shared" si="22"/>
        <v>29</v>
      </c>
      <c r="R292" s="10">
        <f t="shared" si="23"/>
        <v>40</v>
      </c>
      <c r="S292">
        <f t="shared" si="24"/>
        <v>36.9</v>
      </c>
    </row>
    <row r="293" spans="1:1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  <c r="J293" s="19"/>
      <c r="M293" s="7"/>
      <c r="O293">
        <f t="shared" si="20"/>
        <v>107</v>
      </c>
      <c r="P293">
        <f t="shared" si="21"/>
        <v>62</v>
      </c>
      <c r="Q293">
        <f t="shared" si="22"/>
        <v>30</v>
      </c>
      <c r="R293" s="10">
        <f t="shared" si="23"/>
        <v>74</v>
      </c>
      <c r="S293">
        <f t="shared" si="24"/>
        <v>36.6</v>
      </c>
    </row>
    <row r="294" spans="1:1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  <c r="J294" s="19"/>
      <c r="M294" s="7"/>
      <c r="O294">
        <f t="shared" si="20"/>
        <v>128</v>
      </c>
      <c r="P294">
        <f t="shared" si="21"/>
        <v>78</v>
      </c>
      <c r="Q294">
        <f t="shared" si="22"/>
        <v>37</v>
      </c>
      <c r="R294" s="10">
        <f t="shared" si="23"/>
        <v>182</v>
      </c>
      <c r="S294">
        <f t="shared" si="24"/>
        <v>43.3</v>
      </c>
    </row>
    <row r="295" spans="1:1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  <c r="J295" s="19"/>
      <c r="M295" s="7"/>
      <c r="O295">
        <f t="shared" si="20"/>
        <v>128</v>
      </c>
      <c r="P295">
        <f t="shared" si="21"/>
        <v>48</v>
      </c>
      <c r="Q295">
        <f t="shared" si="22"/>
        <v>45</v>
      </c>
      <c r="R295" s="10">
        <f t="shared" si="23"/>
        <v>194</v>
      </c>
      <c r="S295">
        <f t="shared" si="24"/>
        <v>40.5</v>
      </c>
    </row>
    <row r="296" spans="1:1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  <c r="J296" s="19"/>
      <c r="M296" s="7"/>
      <c r="O296">
        <f t="shared" si="20"/>
        <v>161</v>
      </c>
      <c r="P296">
        <f t="shared" si="21"/>
        <v>50</v>
      </c>
      <c r="Q296">
        <f t="shared" si="22"/>
        <v>23</v>
      </c>
      <c r="R296" s="10">
        <f t="shared" si="23"/>
        <v>30.5</v>
      </c>
      <c r="S296">
        <f t="shared" si="24"/>
        <v>21.9</v>
      </c>
    </row>
    <row r="297" spans="1:1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  <c r="J297" s="19"/>
      <c r="M297" s="7"/>
      <c r="O297">
        <f t="shared" si="20"/>
        <v>151</v>
      </c>
      <c r="P297">
        <f t="shared" si="21"/>
        <v>62</v>
      </c>
      <c r="Q297">
        <f t="shared" si="22"/>
        <v>31</v>
      </c>
      <c r="R297" s="10">
        <f t="shared" si="23"/>
        <v>120</v>
      </c>
      <c r="S297">
        <f t="shared" si="24"/>
        <v>35.5</v>
      </c>
    </row>
    <row r="298" spans="1:1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  <c r="J298" s="19"/>
      <c r="M298" s="7"/>
      <c r="O298">
        <f t="shared" si="20"/>
        <v>146</v>
      </c>
      <c r="P298">
        <f t="shared" si="21"/>
        <v>70</v>
      </c>
      <c r="Q298">
        <f t="shared" si="22"/>
        <v>38</v>
      </c>
      <c r="R298" s="10">
        <f t="shared" si="23"/>
        <v>360</v>
      </c>
      <c r="S298">
        <f t="shared" si="24"/>
        <v>28</v>
      </c>
    </row>
    <row r="299" spans="1:1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  <c r="J299" s="19"/>
      <c r="M299" s="7"/>
      <c r="O299">
        <f t="shared" si="20"/>
        <v>126</v>
      </c>
      <c r="P299">
        <f t="shared" si="21"/>
        <v>84</v>
      </c>
      <c r="Q299">
        <f t="shared" si="22"/>
        <v>29</v>
      </c>
      <c r="R299" s="10">
        <f t="shared" si="23"/>
        <v>215</v>
      </c>
      <c r="S299">
        <f t="shared" si="24"/>
        <v>30.7</v>
      </c>
    </row>
    <row r="300" spans="1:1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  <c r="J300" s="19"/>
      <c r="M300" s="7"/>
      <c r="O300">
        <f t="shared" si="20"/>
        <v>100</v>
      </c>
      <c r="P300">
        <f t="shared" si="21"/>
        <v>78</v>
      </c>
      <c r="Q300">
        <f t="shared" si="22"/>
        <v>25</v>
      </c>
      <c r="R300" s="10">
        <f t="shared" si="23"/>
        <v>184</v>
      </c>
      <c r="S300">
        <f t="shared" si="24"/>
        <v>36.6</v>
      </c>
    </row>
    <row r="301" spans="1:1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  <c r="J301" s="19"/>
      <c r="M301" s="7"/>
      <c r="O301">
        <f t="shared" si="20"/>
        <v>112</v>
      </c>
      <c r="P301">
        <f t="shared" si="21"/>
        <v>72</v>
      </c>
      <c r="Q301">
        <f t="shared" si="22"/>
        <v>23</v>
      </c>
      <c r="R301" s="10">
        <f t="shared" si="23"/>
        <v>30.5</v>
      </c>
      <c r="S301">
        <f t="shared" si="24"/>
        <v>23.6</v>
      </c>
    </row>
    <row r="302" spans="1:1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  <c r="J302" s="19"/>
      <c r="M302" s="7"/>
      <c r="O302">
        <f t="shared" si="20"/>
        <v>167</v>
      </c>
      <c r="P302">
        <f t="shared" si="21"/>
        <v>72</v>
      </c>
      <c r="Q302">
        <f t="shared" si="22"/>
        <v>23</v>
      </c>
      <c r="R302" s="10">
        <f t="shared" si="23"/>
        <v>30.5</v>
      </c>
      <c r="S302">
        <f t="shared" si="24"/>
        <v>32.299999999999997</v>
      </c>
    </row>
    <row r="303" spans="1:1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  <c r="J303" s="19"/>
      <c r="M303" s="7"/>
      <c r="O303">
        <f t="shared" si="20"/>
        <v>144</v>
      </c>
      <c r="P303">
        <f t="shared" si="21"/>
        <v>58</v>
      </c>
      <c r="Q303">
        <f t="shared" si="22"/>
        <v>33</v>
      </c>
      <c r="R303" s="10">
        <f t="shared" si="23"/>
        <v>135</v>
      </c>
      <c r="S303">
        <f t="shared" si="24"/>
        <v>31.6</v>
      </c>
    </row>
    <row r="304" spans="1:1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  <c r="J304" s="19"/>
      <c r="M304" s="7"/>
      <c r="O304">
        <f t="shared" si="20"/>
        <v>77</v>
      </c>
      <c r="P304">
        <f t="shared" si="21"/>
        <v>82</v>
      </c>
      <c r="Q304">
        <f t="shared" si="22"/>
        <v>41</v>
      </c>
      <c r="R304" s="10">
        <f t="shared" si="23"/>
        <v>42</v>
      </c>
      <c r="S304">
        <f t="shared" si="24"/>
        <v>35.799999999999997</v>
      </c>
    </row>
    <row r="305" spans="1:1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  <c r="J305" s="19"/>
      <c r="M305" s="7"/>
      <c r="O305">
        <f t="shared" si="20"/>
        <v>115</v>
      </c>
      <c r="P305">
        <f t="shared" si="21"/>
        <v>98</v>
      </c>
      <c r="Q305">
        <f t="shared" si="22"/>
        <v>23</v>
      </c>
      <c r="R305" s="10">
        <f t="shared" si="23"/>
        <v>30.5</v>
      </c>
      <c r="S305">
        <f t="shared" si="24"/>
        <v>52.9</v>
      </c>
    </row>
    <row r="306" spans="1:1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  <c r="J306" s="19"/>
      <c r="M306" s="7"/>
      <c r="O306">
        <f t="shared" si="20"/>
        <v>150</v>
      </c>
      <c r="P306">
        <f t="shared" si="21"/>
        <v>76</v>
      </c>
      <c r="Q306">
        <f t="shared" si="22"/>
        <v>23</v>
      </c>
      <c r="R306" s="10">
        <f t="shared" si="23"/>
        <v>30.5</v>
      </c>
      <c r="S306">
        <f t="shared" si="24"/>
        <v>21</v>
      </c>
    </row>
    <row r="307" spans="1:1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  <c r="J307" s="19"/>
      <c r="M307" s="7"/>
      <c r="O307">
        <f t="shared" si="20"/>
        <v>120</v>
      </c>
      <c r="P307">
        <f t="shared" si="21"/>
        <v>76</v>
      </c>
      <c r="Q307">
        <f t="shared" si="22"/>
        <v>37</v>
      </c>
      <c r="R307" s="10">
        <f t="shared" si="23"/>
        <v>105</v>
      </c>
      <c r="S307">
        <f t="shared" si="24"/>
        <v>39.700000000000003</v>
      </c>
    </row>
    <row r="308" spans="1:1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  <c r="J308" s="19"/>
      <c r="M308" s="7"/>
      <c r="O308">
        <f t="shared" si="20"/>
        <v>161</v>
      </c>
      <c r="P308">
        <f t="shared" si="21"/>
        <v>68</v>
      </c>
      <c r="Q308">
        <f t="shared" si="22"/>
        <v>23</v>
      </c>
      <c r="R308" s="10">
        <f t="shared" si="23"/>
        <v>132</v>
      </c>
      <c r="S308">
        <f t="shared" si="24"/>
        <v>25.5</v>
      </c>
    </row>
    <row r="309" spans="1:1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  <c r="J309" s="19"/>
      <c r="M309" s="7"/>
      <c r="O309">
        <f t="shared" si="20"/>
        <v>137</v>
      </c>
      <c r="P309">
        <f t="shared" si="21"/>
        <v>68</v>
      </c>
      <c r="Q309">
        <f t="shared" si="22"/>
        <v>14</v>
      </c>
      <c r="R309" s="10">
        <f t="shared" si="23"/>
        <v>148</v>
      </c>
      <c r="S309">
        <f t="shared" si="24"/>
        <v>24.8</v>
      </c>
    </row>
    <row r="310" spans="1:1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  <c r="J310" s="19"/>
      <c r="M310" s="7"/>
      <c r="O310">
        <f t="shared" si="20"/>
        <v>128</v>
      </c>
      <c r="P310">
        <f t="shared" si="21"/>
        <v>68</v>
      </c>
      <c r="Q310">
        <f t="shared" si="22"/>
        <v>19</v>
      </c>
      <c r="R310" s="10">
        <f t="shared" si="23"/>
        <v>180</v>
      </c>
      <c r="S310">
        <f t="shared" si="24"/>
        <v>30.5</v>
      </c>
    </row>
    <row r="311" spans="1:1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  <c r="J311" s="19"/>
      <c r="M311" s="7"/>
      <c r="O311">
        <f t="shared" si="20"/>
        <v>124</v>
      </c>
      <c r="P311">
        <f t="shared" si="21"/>
        <v>68</v>
      </c>
      <c r="Q311">
        <f t="shared" si="22"/>
        <v>28</v>
      </c>
      <c r="R311" s="10">
        <f t="shared" si="23"/>
        <v>205</v>
      </c>
      <c r="S311">
        <f t="shared" si="24"/>
        <v>32.9</v>
      </c>
    </row>
    <row r="312" spans="1:1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  <c r="J312" s="19"/>
      <c r="M312" s="7"/>
      <c r="O312">
        <f t="shared" si="20"/>
        <v>80</v>
      </c>
      <c r="P312">
        <f t="shared" si="21"/>
        <v>66</v>
      </c>
      <c r="Q312">
        <f t="shared" si="22"/>
        <v>30</v>
      </c>
      <c r="R312" s="10">
        <f t="shared" si="23"/>
        <v>30.5</v>
      </c>
      <c r="S312">
        <f t="shared" si="24"/>
        <v>26.2</v>
      </c>
    </row>
    <row r="313" spans="1:1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  <c r="J313" s="19"/>
      <c r="M313" s="7"/>
      <c r="O313">
        <f t="shared" si="20"/>
        <v>106</v>
      </c>
      <c r="P313">
        <f t="shared" si="21"/>
        <v>70</v>
      </c>
      <c r="Q313">
        <f t="shared" si="22"/>
        <v>37</v>
      </c>
      <c r="R313" s="10">
        <f t="shared" si="23"/>
        <v>148</v>
      </c>
      <c r="S313">
        <f t="shared" si="24"/>
        <v>39.4</v>
      </c>
    </row>
    <row r="314" spans="1:1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  <c r="J314" s="19"/>
      <c r="M314" s="7"/>
      <c r="O314">
        <f t="shared" si="20"/>
        <v>155</v>
      </c>
      <c r="P314">
        <f t="shared" si="21"/>
        <v>74</v>
      </c>
      <c r="Q314">
        <f t="shared" si="22"/>
        <v>17</v>
      </c>
      <c r="R314" s="10">
        <f t="shared" si="23"/>
        <v>96</v>
      </c>
      <c r="S314">
        <f t="shared" si="24"/>
        <v>26.6</v>
      </c>
    </row>
    <row r="315" spans="1:1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  <c r="J315" s="19"/>
      <c r="M315" s="7"/>
      <c r="O315">
        <f t="shared" si="20"/>
        <v>113</v>
      </c>
      <c r="P315">
        <f t="shared" si="21"/>
        <v>50</v>
      </c>
      <c r="Q315">
        <f t="shared" si="22"/>
        <v>10</v>
      </c>
      <c r="R315" s="10">
        <f t="shared" si="23"/>
        <v>85</v>
      </c>
      <c r="S315">
        <f t="shared" si="24"/>
        <v>29.5</v>
      </c>
    </row>
    <row r="316" spans="1:1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  <c r="J316" s="19"/>
      <c r="M316" s="7"/>
      <c r="O316">
        <f t="shared" si="20"/>
        <v>109</v>
      </c>
      <c r="P316">
        <f t="shared" si="21"/>
        <v>80</v>
      </c>
      <c r="Q316">
        <f t="shared" si="22"/>
        <v>31</v>
      </c>
      <c r="R316" s="10">
        <f t="shared" si="23"/>
        <v>30.5</v>
      </c>
      <c r="S316">
        <f t="shared" si="24"/>
        <v>35.9</v>
      </c>
    </row>
    <row r="317" spans="1:1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  <c r="J317" s="19"/>
      <c r="M317" s="7"/>
      <c r="O317">
        <f t="shared" si="20"/>
        <v>112</v>
      </c>
      <c r="P317">
        <f t="shared" si="21"/>
        <v>68</v>
      </c>
      <c r="Q317">
        <f t="shared" si="22"/>
        <v>22</v>
      </c>
      <c r="R317" s="10">
        <f t="shared" si="23"/>
        <v>94</v>
      </c>
      <c r="S317">
        <f t="shared" si="24"/>
        <v>34.1</v>
      </c>
    </row>
    <row r="318" spans="1:1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  <c r="J318" s="19"/>
      <c r="M318" s="7"/>
      <c r="O318">
        <f t="shared" si="20"/>
        <v>99</v>
      </c>
      <c r="P318">
        <f t="shared" si="21"/>
        <v>80</v>
      </c>
      <c r="Q318">
        <f t="shared" si="22"/>
        <v>11</v>
      </c>
      <c r="R318" s="10">
        <f t="shared" si="23"/>
        <v>64</v>
      </c>
      <c r="S318">
        <f t="shared" si="24"/>
        <v>19.3</v>
      </c>
    </row>
    <row r="319" spans="1:1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  <c r="J319" s="19"/>
      <c r="M319" s="7"/>
      <c r="O319">
        <f t="shared" si="20"/>
        <v>182</v>
      </c>
      <c r="P319">
        <f t="shared" si="21"/>
        <v>74</v>
      </c>
      <c r="Q319">
        <f t="shared" si="22"/>
        <v>23</v>
      </c>
      <c r="R319" s="10">
        <f t="shared" si="23"/>
        <v>30.5</v>
      </c>
      <c r="S319">
        <f t="shared" si="24"/>
        <v>30.5</v>
      </c>
    </row>
    <row r="320" spans="1:1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  <c r="J320" s="19"/>
      <c r="M320" s="7"/>
      <c r="O320">
        <f t="shared" si="20"/>
        <v>115</v>
      </c>
      <c r="P320">
        <f t="shared" si="21"/>
        <v>66</v>
      </c>
      <c r="Q320">
        <f t="shared" si="22"/>
        <v>39</v>
      </c>
      <c r="R320" s="10">
        <f t="shared" si="23"/>
        <v>140</v>
      </c>
      <c r="S320">
        <f t="shared" si="24"/>
        <v>38.1</v>
      </c>
    </row>
    <row r="321" spans="1:1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  <c r="J321" s="19"/>
      <c r="M321" s="7"/>
      <c r="O321">
        <f t="shared" si="20"/>
        <v>194</v>
      </c>
      <c r="P321">
        <f t="shared" si="21"/>
        <v>78</v>
      </c>
      <c r="Q321">
        <f t="shared" si="22"/>
        <v>23</v>
      </c>
      <c r="R321" s="10">
        <f t="shared" si="23"/>
        <v>30.5</v>
      </c>
      <c r="S321">
        <f t="shared" si="24"/>
        <v>23.5</v>
      </c>
    </row>
    <row r="322" spans="1:1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  <c r="J322" s="19"/>
      <c r="M322" s="7"/>
      <c r="O322">
        <f t="shared" si="20"/>
        <v>129</v>
      </c>
      <c r="P322">
        <f t="shared" si="21"/>
        <v>60</v>
      </c>
      <c r="Q322">
        <f t="shared" si="22"/>
        <v>12</v>
      </c>
      <c r="R322" s="10">
        <f t="shared" si="23"/>
        <v>231</v>
      </c>
      <c r="S322">
        <f t="shared" si="24"/>
        <v>27.5</v>
      </c>
    </row>
    <row r="323" spans="1:1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  <c r="J323" s="19"/>
      <c r="M323" s="7"/>
      <c r="O323">
        <f t="shared" ref="O323:O386" si="25">IF(B323=0,$L$11,B323)</f>
        <v>112</v>
      </c>
      <c r="P323">
        <f t="shared" ref="P323:P386" si="26">IF(C323=0,$L$12,C323)</f>
        <v>74</v>
      </c>
      <c r="Q323">
        <f t="shared" ref="Q323:Q386" si="27">IF(D323=0,$L$13,D323)</f>
        <v>30</v>
      </c>
      <c r="R323" s="10">
        <f t="shared" ref="R323:R386" si="28">IF(E323=0,$L$14,E323)</f>
        <v>30.5</v>
      </c>
      <c r="S323">
        <f t="shared" ref="S323:S386" si="29">IF(F323=0,$L$15,F323)</f>
        <v>31.6</v>
      </c>
    </row>
    <row r="324" spans="1:1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  <c r="J324" s="19"/>
      <c r="M324" s="7"/>
      <c r="O324">
        <f t="shared" si="25"/>
        <v>124</v>
      </c>
      <c r="P324">
        <f t="shared" si="26"/>
        <v>70</v>
      </c>
      <c r="Q324">
        <f t="shared" si="27"/>
        <v>20</v>
      </c>
      <c r="R324" s="10">
        <f t="shared" si="28"/>
        <v>30.5</v>
      </c>
      <c r="S324">
        <f t="shared" si="29"/>
        <v>27.4</v>
      </c>
    </row>
    <row r="325" spans="1:1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  <c r="J325" s="19"/>
      <c r="M325" s="7"/>
      <c r="O325">
        <f t="shared" si="25"/>
        <v>152</v>
      </c>
      <c r="P325">
        <f t="shared" si="26"/>
        <v>90</v>
      </c>
      <c r="Q325">
        <f t="shared" si="27"/>
        <v>33</v>
      </c>
      <c r="R325" s="10">
        <f t="shared" si="28"/>
        <v>29</v>
      </c>
      <c r="S325">
        <f t="shared" si="29"/>
        <v>26.8</v>
      </c>
    </row>
    <row r="326" spans="1:1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  <c r="J326" s="19"/>
      <c r="M326" s="7"/>
      <c r="O326">
        <f t="shared" si="25"/>
        <v>112</v>
      </c>
      <c r="P326">
        <f t="shared" si="26"/>
        <v>75</v>
      </c>
      <c r="Q326">
        <f t="shared" si="27"/>
        <v>32</v>
      </c>
      <c r="R326" s="10">
        <f t="shared" si="28"/>
        <v>30.5</v>
      </c>
      <c r="S326">
        <f t="shared" si="29"/>
        <v>35.700000000000003</v>
      </c>
    </row>
    <row r="327" spans="1:1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  <c r="J327" s="19"/>
      <c r="M327" s="7"/>
      <c r="O327">
        <f t="shared" si="25"/>
        <v>157</v>
      </c>
      <c r="P327">
        <f t="shared" si="26"/>
        <v>72</v>
      </c>
      <c r="Q327">
        <f t="shared" si="27"/>
        <v>21</v>
      </c>
      <c r="R327" s="10">
        <f t="shared" si="28"/>
        <v>168</v>
      </c>
      <c r="S327">
        <f t="shared" si="29"/>
        <v>25.6</v>
      </c>
    </row>
    <row r="328" spans="1:1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  <c r="J328" s="19"/>
      <c r="M328" s="7"/>
      <c r="O328">
        <f t="shared" si="25"/>
        <v>122</v>
      </c>
      <c r="P328">
        <f t="shared" si="26"/>
        <v>64</v>
      </c>
      <c r="Q328">
        <f t="shared" si="27"/>
        <v>32</v>
      </c>
      <c r="R328" s="10">
        <f t="shared" si="28"/>
        <v>156</v>
      </c>
      <c r="S328">
        <f t="shared" si="29"/>
        <v>35.1</v>
      </c>
    </row>
    <row r="329" spans="1:1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  <c r="J329" s="19"/>
      <c r="M329" s="7"/>
      <c r="O329">
        <f t="shared" si="25"/>
        <v>179</v>
      </c>
      <c r="P329">
        <f t="shared" si="26"/>
        <v>70</v>
      </c>
      <c r="Q329">
        <f t="shared" si="27"/>
        <v>23</v>
      </c>
      <c r="R329" s="10">
        <f t="shared" si="28"/>
        <v>30.5</v>
      </c>
      <c r="S329">
        <f t="shared" si="29"/>
        <v>35.1</v>
      </c>
    </row>
    <row r="330" spans="1:1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  <c r="J330" s="19"/>
      <c r="M330" s="7"/>
      <c r="O330">
        <f t="shared" si="25"/>
        <v>102</v>
      </c>
      <c r="P330">
        <f t="shared" si="26"/>
        <v>86</v>
      </c>
      <c r="Q330">
        <f t="shared" si="27"/>
        <v>36</v>
      </c>
      <c r="R330" s="10">
        <f t="shared" si="28"/>
        <v>120</v>
      </c>
      <c r="S330">
        <f t="shared" si="29"/>
        <v>45.5</v>
      </c>
    </row>
    <row r="331" spans="1:1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  <c r="J331" s="19"/>
      <c r="M331" s="7"/>
      <c r="O331">
        <f t="shared" si="25"/>
        <v>105</v>
      </c>
      <c r="P331">
        <f t="shared" si="26"/>
        <v>70</v>
      </c>
      <c r="Q331">
        <f t="shared" si="27"/>
        <v>32</v>
      </c>
      <c r="R331" s="10">
        <f t="shared" si="28"/>
        <v>68</v>
      </c>
      <c r="S331">
        <f t="shared" si="29"/>
        <v>30.8</v>
      </c>
    </row>
    <row r="332" spans="1:1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  <c r="J332" s="19"/>
      <c r="M332" s="7"/>
      <c r="O332">
        <f t="shared" si="25"/>
        <v>118</v>
      </c>
      <c r="P332">
        <f t="shared" si="26"/>
        <v>72</v>
      </c>
      <c r="Q332">
        <f t="shared" si="27"/>
        <v>19</v>
      </c>
      <c r="R332" s="10">
        <f t="shared" si="28"/>
        <v>30.5</v>
      </c>
      <c r="S332">
        <f t="shared" si="29"/>
        <v>23.1</v>
      </c>
    </row>
    <row r="333" spans="1:1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  <c r="J333" s="19"/>
      <c r="M333" s="7"/>
      <c r="O333">
        <f t="shared" si="25"/>
        <v>87</v>
      </c>
      <c r="P333">
        <f t="shared" si="26"/>
        <v>58</v>
      </c>
      <c r="Q333">
        <f t="shared" si="27"/>
        <v>16</v>
      </c>
      <c r="R333" s="10">
        <f t="shared" si="28"/>
        <v>52</v>
      </c>
      <c r="S333">
        <f t="shared" si="29"/>
        <v>32.700000000000003</v>
      </c>
    </row>
    <row r="334" spans="1:1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  <c r="J334" s="19"/>
      <c r="M334" s="7"/>
      <c r="O334">
        <f t="shared" si="25"/>
        <v>180</v>
      </c>
      <c r="P334">
        <f t="shared" si="26"/>
        <v>72</v>
      </c>
      <c r="Q334">
        <f t="shared" si="27"/>
        <v>23</v>
      </c>
      <c r="R334" s="10">
        <f t="shared" si="28"/>
        <v>30.5</v>
      </c>
      <c r="S334">
        <f t="shared" si="29"/>
        <v>43.3</v>
      </c>
    </row>
    <row r="335" spans="1:1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  <c r="J335" s="19"/>
      <c r="M335" s="7"/>
      <c r="O335">
        <f t="shared" si="25"/>
        <v>106</v>
      </c>
      <c r="P335">
        <f t="shared" si="26"/>
        <v>80</v>
      </c>
      <c r="Q335">
        <f t="shared" si="27"/>
        <v>23</v>
      </c>
      <c r="R335" s="10">
        <f t="shared" si="28"/>
        <v>30.5</v>
      </c>
      <c r="S335">
        <f t="shared" si="29"/>
        <v>23.6</v>
      </c>
    </row>
    <row r="336" spans="1:1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  <c r="J336" s="19"/>
      <c r="M336" s="7"/>
      <c r="O336">
        <f t="shared" si="25"/>
        <v>95</v>
      </c>
      <c r="P336">
        <f t="shared" si="26"/>
        <v>60</v>
      </c>
      <c r="Q336">
        <f t="shared" si="27"/>
        <v>18</v>
      </c>
      <c r="R336" s="10">
        <f t="shared" si="28"/>
        <v>58</v>
      </c>
      <c r="S336">
        <f t="shared" si="29"/>
        <v>23.9</v>
      </c>
    </row>
    <row r="337" spans="1:1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  <c r="J337" s="19"/>
      <c r="M337" s="7"/>
      <c r="O337">
        <f t="shared" si="25"/>
        <v>165</v>
      </c>
      <c r="P337">
        <f t="shared" si="26"/>
        <v>76</v>
      </c>
      <c r="Q337">
        <f t="shared" si="27"/>
        <v>43</v>
      </c>
      <c r="R337" s="10">
        <f t="shared" si="28"/>
        <v>255</v>
      </c>
      <c r="S337">
        <f t="shared" si="29"/>
        <v>47.9</v>
      </c>
    </row>
    <row r="338" spans="1:1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  <c r="J338" s="19"/>
      <c r="M338" s="7"/>
      <c r="O338">
        <f t="shared" si="25"/>
        <v>117</v>
      </c>
      <c r="P338">
        <f t="shared" si="26"/>
        <v>72</v>
      </c>
      <c r="Q338">
        <f t="shared" si="27"/>
        <v>23</v>
      </c>
      <c r="R338" s="10">
        <f t="shared" si="28"/>
        <v>30.5</v>
      </c>
      <c r="S338">
        <f t="shared" si="29"/>
        <v>33.799999999999997</v>
      </c>
    </row>
    <row r="339" spans="1:1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  <c r="J339" s="19"/>
      <c r="M339" s="7"/>
      <c r="O339">
        <f t="shared" si="25"/>
        <v>115</v>
      </c>
      <c r="P339">
        <f t="shared" si="26"/>
        <v>76</v>
      </c>
      <c r="Q339">
        <f t="shared" si="27"/>
        <v>23</v>
      </c>
      <c r="R339" s="10">
        <f t="shared" si="28"/>
        <v>30.5</v>
      </c>
      <c r="S339">
        <f t="shared" si="29"/>
        <v>31.2</v>
      </c>
    </row>
    <row r="340" spans="1:1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  <c r="J340" s="19"/>
      <c r="M340" s="7"/>
      <c r="O340">
        <f t="shared" si="25"/>
        <v>152</v>
      </c>
      <c r="P340">
        <f t="shared" si="26"/>
        <v>78</v>
      </c>
      <c r="Q340">
        <f t="shared" si="27"/>
        <v>34</v>
      </c>
      <c r="R340" s="10">
        <f t="shared" si="28"/>
        <v>171</v>
      </c>
      <c r="S340">
        <f t="shared" si="29"/>
        <v>34.200000000000003</v>
      </c>
    </row>
    <row r="341" spans="1:1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  <c r="J341" s="19"/>
      <c r="M341" s="7"/>
      <c r="O341">
        <f t="shared" si="25"/>
        <v>178</v>
      </c>
      <c r="P341">
        <f t="shared" si="26"/>
        <v>84</v>
      </c>
      <c r="Q341">
        <f t="shared" si="27"/>
        <v>23</v>
      </c>
      <c r="R341" s="10">
        <f t="shared" si="28"/>
        <v>30.5</v>
      </c>
      <c r="S341">
        <f t="shared" si="29"/>
        <v>39.9</v>
      </c>
    </row>
    <row r="342" spans="1:1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  <c r="J342" s="19"/>
      <c r="M342" s="7"/>
      <c r="O342">
        <f t="shared" si="25"/>
        <v>130</v>
      </c>
      <c r="P342">
        <f t="shared" si="26"/>
        <v>70</v>
      </c>
      <c r="Q342">
        <f t="shared" si="27"/>
        <v>13</v>
      </c>
      <c r="R342" s="10">
        <f t="shared" si="28"/>
        <v>105</v>
      </c>
      <c r="S342">
        <f t="shared" si="29"/>
        <v>25.9</v>
      </c>
    </row>
    <row r="343" spans="1:1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  <c r="J343" s="19"/>
      <c r="M343" s="7"/>
      <c r="O343">
        <f t="shared" si="25"/>
        <v>95</v>
      </c>
      <c r="P343">
        <f t="shared" si="26"/>
        <v>74</v>
      </c>
      <c r="Q343">
        <f t="shared" si="27"/>
        <v>21</v>
      </c>
      <c r="R343" s="10">
        <f t="shared" si="28"/>
        <v>73</v>
      </c>
      <c r="S343">
        <f t="shared" si="29"/>
        <v>25.9</v>
      </c>
    </row>
    <row r="344" spans="1:1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  <c r="J344" s="19"/>
      <c r="M344" s="7"/>
      <c r="O344">
        <f t="shared" si="25"/>
        <v>117</v>
      </c>
      <c r="P344">
        <f t="shared" si="26"/>
        <v>68</v>
      </c>
      <c r="Q344">
        <f t="shared" si="27"/>
        <v>35</v>
      </c>
      <c r="R344" s="10">
        <f t="shared" si="28"/>
        <v>30.5</v>
      </c>
      <c r="S344">
        <f t="shared" si="29"/>
        <v>32</v>
      </c>
    </row>
    <row r="345" spans="1:1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  <c r="J345" s="19"/>
      <c r="M345" s="7"/>
      <c r="O345">
        <f t="shared" si="25"/>
        <v>122</v>
      </c>
      <c r="P345">
        <f t="shared" si="26"/>
        <v>86</v>
      </c>
      <c r="Q345">
        <f t="shared" si="27"/>
        <v>23</v>
      </c>
      <c r="R345" s="10">
        <f t="shared" si="28"/>
        <v>30.5</v>
      </c>
      <c r="S345">
        <f t="shared" si="29"/>
        <v>34.700000000000003</v>
      </c>
    </row>
    <row r="346" spans="1:1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  <c r="J346" s="19"/>
      <c r="M346" s="7"/>
      <c r="O346">
        <f t="shared" si="25"/>
        <v>95</v>
      </c>
      <c r="P346">
        <f t="shared" si="26"/>
        <v>72</v>
      </c>
      <c r="Q346">
        <f t="shared" si="27"/>
        <v>23</v>
      </c>
      <c r="R346" s="10">
        <f t="shared" si="28"/>
        <v>30.5</v>
      </c>
      <c r="S346">
        <f t="shared" si="29"/>
        <v>36.799999999999997</v>
      </c>
    </row>
    <row r="347" spans="1:1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  <c r="J347" s="19"/>
      <c r="M347" s="7"/>
      <c r="O347">
        <f t="shared" si="25"/>
        <v>126</v>
      </c>
      <c r="P347">
        <f t="shared" si="26"/>
        <v>88</v>
      </c>
      <c r="Q347">
        <f t="shared" si="27"/>
        <v>36</v>
      </c>
      <c r="R347" s="10">
        <f t="shared" si="28"/>
        <v>108</v>
      </c>
      <c r="S347">
        <f t="shared" si="29"/>
        <v>38.5</v>
      </c>
    </row>
    <row r="348" spans="1:1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  <c r="J348" s="19"/>
      <c r="M348" s="7"/>
      <c r="O348">
        <f t="shared" si="25"/>
        <v>139</v>
      </c>
      <c r="P348">
        <f t="shared" si="26"/>
        <v>46</v>
      </c>
      <c r="Q348">
        <f t="shared" si="27"/>
        <v>19</v>
      </c>
      <c r="R348" s="10">
        <f t="shared" si="28"/>
        <v>83</v>
      </c>
      <c r="S348">
        <f t="shared" si="29"/>
        <v>28.7</v>
      </c>
    </row>
    <row r="349" spans="1:1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  <c r="J349" s="19"/>
      <c r="M349" s="7"/>
      <c r="O349">
        <f t="shared" si="25"/>
        <v>116</v>
      </c>
      <c r="P349">
        <f t="shared" si="26"/>
        <v>72</v>
      </c>
      <c r="Q349">
        <f t="shared" si="27"/>
        <v>23</v>
      </c>
      <c r="R349" s="10">
        <f t="shared" si="28"/>
        <v>30.5</v>
      </c>
      <c r="S349">
        <f t="shared" si="29"/>
        <v>23.5</v>
      </c>
    </row>
    <row r="350" spans="1:1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  <c r="J350" s="19"/>
      <c r="M350" s="7"/>
      <c r="O350">
        <f t="shared" si="25"/>
        <v>99</v>
      </c>
      <c r="P350">
        <f t="shared" si="26"/>
        <v>62</v>
      </c>
      <c r="Q350">
        <f t="shared" si="27"/>
        <v>19</v>
      </c>
      <c r="R350" s="10">
        <f t="shared" si="28"/>
        <v>74</v>
      </c>
      <c r="S350">
        <f t="shared" si="29"/>
        <v>21.8</v>
      </c>
    </row>
    <row r="351" spans="1:1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  <c r="J351" s="19"/>
      <c r="M351" s="7"/>
      <c r="O351">
        <f t="shared" si="25"/>
        <v>117</v>
      </c>
      <c r="P351">
        <f t="shared" si="26"/>
        <v>80</v>
      </c>
      <c r="Q351">
        <f t="shared" si="27"/>
        <v>32</v>
      </c>
      <c r="R351" s="10">
        <f t="shared" si="28"/>
        <v>30.5</v>
      </c>
      <c r="S351">
        <f t="shared" si="29"/>
        <v>41</v>
      </c>
    </row>
    <row r="352" spans="1:1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  <c r="J352" s="19"/>
      <c r="M352" s="7"/>
      <c r="O352">
        <f t="shared" si="25"/>
        <v>92</v>
      </c>
      <c r="P352">
        <f t="shared" si="26"/>
        <v>80</v>
      </c>
      <c r="Q352">
        <f t="shared" si="27"/>
        <v>23</v>
      </c>
      <c r="R352" s="10">
        <f t="shared" si="28"/>
        <v>30.5</v>
      </c>
      <c r="S352">
        <f t="shared" si="29"/>
        <v>42.2</v>
      </c>
    </row>
    <row r="353" spans="1:1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  <c r="J353" s="19"/>
      <c r="M353" s="7"/>
      <c r="O353">
        <f t="shared" si="25"/>
        <v>137</v>
      </c>
      <c r="P353">
        <f t="shared" si="26"/>
        <v>84</v>
      </c>
      <c r="Q353">
        <f t="shared" si="27"/>
        <v>23</v>
      </c>
      <c r="R353" s="10">
        <f t="shared" si="28"/>
        <v>30.5</v>
      </c>
      <c r="S353">
        <f t="shared" si="29"/>
        <v>31.2</v>
      </c>
    </row>
    <row r="354" spans="1:1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  <c r="J354" s="19"/>
      <c r="M354" s="7"/>
      <c r="O354">
        <f t="shared" si="25"/>
        <v>61</v>
      </c>
      <c r="P354">
        <f t="shared" si="26"/>
        <v>82</v>
      </c>
      <c r="Q354">
        <f t="shared" si="27"/>
        <v>28</v>
      </c>
      <c r="R354" s="10">
        <f t="shared" si="28"/>
        <v>30.5</v>
      </c>
      <c r="S354">
        <f t="shared" si="29"/>
        <v>34.4</v>
      </c>
    </row>
    <row r="355" spans="1:1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  <c r="J355" s="19"/>
      <c r="M355" s="7"/>
      <c r="O355">
        <f t="shared" si="25"/>
        <v>90</v>
      </c>
      <c r="P355">
        <f t="shared" si="26"/>
        <v>62</v>
      </c>
      <c r="Q355">
        <f t="shared" si="27"/>
        <v>12</v>
      </c>
      <c r="R355" s="10">
        <f t="shared" si="28"/>
        <v>43</v>
      </c>
      <c r="S355">
        <f t="shared" si="29"/>
        <v>27.2</v>
      </c>
    </row>
    <row r="356" spans="1:1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  <c r="J356" s="19"/>
      <c r="M356" s="7"/>
      <c r="O356">
        <f t="shared" si="25"/>
        <v>90</v>
      </c>
      <c r="P356">
        <f t="shared" si="26"/>
        <v>78</v>
      </c>
      <c r="Q356">
        <f t="shared" si="27"/>
        <v>23</v>
      </c>
      <c r="R356" s="10">
        <f t="shared" si="28"/>
        <v>30.5</v>
      </c>
      <c r="S356">
        <f t="shared" si="29"/>
        <v>42.7</v>
      </c>
    </row>
    <row r="357" spans="1:1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  <c r="J357" s="19"/>
      <c r="M357" s="7"/>
      <c r="O357">
        <f t="shared" si="25"/>
        <v>165</v>
      </c>
      <c r="P357">
        <f t="shared" si="26"/>
        <v>88</v>
      </c>
      <c r="Q357">
        <f t="shared" si="27"/>
        <v>23</v>
      </c>
      <c r="R357" s="10">
        <f t="shared" si="28"/>
        <v>30.5</v>
      </c>
      <c r="S357">
        <f t="shared" si="29"/>
        <v>30.4</v>
      </c>
    </row>
    <row r="358" spans="1:1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  <c r="J358" s="19"/>
      <c r="M358" s="7"/>
      <c r="O358">
        <f t="shared" si="25"/>
        <v>125</v>
      </c>
      <c r="P358">
        <f t="shared" si="26"/>
        <v>50</v>
      </c>
      <c r="Q358">
        <f t="shared" si="27"/>
        <v>40</v>
      </c>
      <c r="R358" s="10">
        <f t="shared" si="28"/>
        <v>167</v>
      </c>
      <c r="S358">
        <f t="shared" si="29"/>
        <v>33.299999999999997</v>
      </c>
    </row>
    <row r="359" spans="1:1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  <c r="J359" s="19"/>
      <c r="M359" s="7"/>
      <c r="O359">
        <f t="shared" si="25"/>
        <v>129</v>
      </c>
      <c r="P359">
        <f t="shared" si="26"/>
        <v>72</v>
      </c>
      <c r="Q359">
        <f t="shared" si="27"/>
        <v>30</v>
      </c>
      <c r="R359" s="10">
        <f t="shared" si="28"/>
        <v>30.5</v>
      </c>
      <c r="S359">
        <f t="shared" si="29"/>
        <v>39.9</v>
      </c>
    </row>
    <row r="360" spans="1:1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  <c r="J360" s="19"/>
      <c r="M360" s="7"/>
      <c r="O360">
        <f t="shared" si="25"/>
        <v>88</v>
      </c>
      <c r="P360">
        <f t="shared" si="26"/>
        <v>74</v>
      </c>
      <c r="Q360">
        <f t="shared" si="27"/>
        <v>40</v>
      </c>
      <c r="R360" s="10">
        <f t="shared" si="28"/>
        <v>54</v>
      </c>
      <c r="S360">
        <f t="shared" si="29"/>
        <v>35.299999999999997</v>
      </c>
    </row>
    <row r="361" spans="1:1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  <c r="J361" s="19"/>
      <c r="M361" s="7"/>
      <c r="O361">
        <f t="shared" si="25"/>
        <v>196</v>
      </c>
      <c r="P361">
        <f t="shared" si="26"/>
        <v>76</v>
      </c>
      <c r="Q361">
        <f t="shared" si="27"/>
        <v>36</v>
      </c>
      <c r="R361" s="10">
        <f t="shared" si="28"/>
        <v>249</v>
      </c>
      <c r="S361">
        <f t="shared" si="29"/>
        <v>36.5</v>
      </c>
    </row>
    <row r="362" spans="1:1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  <c r="J362" s="19"/>
      <c r="M362" s="7"/>
      <c r="O362">
        <f t="shared" si="25"/>
        <v>189</v>
      </c>
      <c r="P362">
        <f t="shared" si="26"/>
        <v>64</v>
      </c>
      <c r="Q362">
        <f t="shared" si="27"/>
        <v>33</v>
      </c>
      <c r="R362" s="10">
        <f t="shared" si="28"/>
        <v>325</v>
      </c>
      <c r="S362">
        <f t="shared" si="29"/>
        <v>31.2</v>
      </c>
    </row>
    <row r="363" spans="1:1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  <c r="J363" s="19"/>
      <c r="M363" s="7"/>
      <c r="O363">
        <f t="shared" si="25"/>
        <v>158</v>
      </c>
      <c r="P363">
        <f t="shared" si="26"/>
        <v>70</v>
      </c>
      <c r="Q363">
        <f t="shared" si="27"/>
        <v>23</v>
      </c>
      <c r="R363" s="10">
        <f t="shared" si="28"/>
        <v>30.5</v>
      </c>
      <c r="S363">
        <f t="shared" si="29"/>
        <v>29.8</v>
      </c>
    </row>
    <row r="364" spans="1:1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  <c r="J364" s="19"/>
      <c r="M364" s="7"/>
      <c r="O364">
        <f t="shared" si="25"/>
        <v>103</v>
      </c>
      <c r="P364">
        <f t="shared" si="26"/>
        <v>108</v>
      </c>
      <c r="Q364">
        <f t="shared" si="27"/>
        <v>37</v>
      </c>
      <c r="R364" s="10">
        <f t="shared" si="28"/>
        <v>30.5</v>
      </c>
      <c r="S364">
        <f t="shared" si="29"/>
        <v>39.200000000000003</v>
      </c>
    </row>
    <row r="365" spans="1:1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  <c r="J365" s="19"/>
      <c r="M365" s="7"/>
      <c r="O365">
        <f t="shared" si="25"/>
        <v>146</v>
      </c>
      <c r="P365">
        <f t="shared" si="26"/>
        <v>78</v>
      </c>
      <c r="Q365">
        <f t="shared" si="27"/>
        <v>23</v>
      </c>
      <c r="R365" s="10">
        <f t="shared" si="28"/>
        <v>30.5</v>
      </c>
      <c r="S365">
        <f t="shared" si="29"/>
        <v>38.5</v>
      </c>
    </row>
    <row r="366" spans="1:1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  <c r="J366" s="19"/>
      <c r="M366" s="7"/>
      <c r="O366">
        <f t="shared" si="25"/>
        <v>147</v>
      </c>
      <c r="P366">
        <f t="shared" si="26"/>
        <v>74</v>
      </c>
      <c r="Q366">
        <f t="shared" si="27"/>
        <v>25</v>
      </c>
      <c r="R366" s="10">
        <f t="shared" si="28"/>
        <v>293</v>
      </c>
      <c r="S366">
        <f t="shared" si="29"/>
        <v>34.9</v>
      </c>
    </row>
    <row r="367" spans="1:1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  <c r="J367" s="19"/>
      <c r="M367" s="7"/>
      <c r="O367">
        <f t="shared" si="25"/>
        <v>99</v>
      </c>
      <c r="P367">
        <f t="shared" si="26"/>
        <v>54</v>
      </c>
      <c r="Q367">
        <f t="shared" si="27"/>
        <v>28</v>
      </c>
      <c r="R367" s="10">
        <f t="shared" si="28"/>
        <v>83</v>
      </c>
      <c r="S367">
        <f t="shared" si="29"/>
        <v>34</v>
      </c>
    </row>
    <row r="368" spans="1:1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  <c r="J368" s="19"/>
      <c r="M368" s="7"/>
      <c r="O368">
        <f t="shared" si="25"/>
        <v>124</v>
      </c>
      <c r="P368">
        <f t="shared" si="26"/>
        <v>72</v>
      </c>
      <c r="Q368">
        <f t="shared" si="27"/>
        <v>23</v>
      </c>
      <c r="R368" s="10">
        <f t="shared" si="28"/>
        <v>30.5</v>
      </c>
      <c r="S368">
        <f t="shared" si="29"/>
        <v>27.6</v>
      </c>
    </row>
    <row r="369" spans="1:1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  <c r="J369" s="19"/>
      <c r="M369" s="7"/>
      <c r="O369">
        <f t="shared" si="25"/>
        <v>101</v>
      </c>
      <c r="P369">
        <f t="shared" si="26"/>
        <v>64</v>
      </c>
      <c r="Q369">
        <f t="shared" si="27"/>
        <v>17</v>
      </c>
      <c r="R369" s="10">
        <f t="shared" si="28"/>
        <v>30.5</v>
      </c>
      <c r="S369">
        <f t="shared" si="29"/>
        <v>21</v>
      </c>
    </row>
    <row r="370" spans="1:1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  <c r="J370" s="19"/>
      <c r="M370" s="7"/>
      <c r="O370">
        <f t="shared" si="25"/>
        <v>81</v>
      </c>
      <c r="P370">
        <f t="shared" si="26"/>
        <v>86</v>
      </c>
      <c r="Q370">
        <f t="shared" si="27"/>
        <v>16</v>
      </c>
      <c r="R370" s="10">
        <f t="shared" si="28"/>
        <v>66</v>
      </c>
      <c r="S370">
        <f t="shared" si="29"/>
        <v>27.5</v>
      </c>
    </row>
    <row r="371" spans="1:1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  <c r="J371" s="19"/>
      <c r="M371" s="7"/>
      <c r="O371">
        <f t="shared" si="25"/>
        <v>133</v>
      </c>
      <c r="P371">
        <f t="shared" si="26"/>
        <v>102</v>
      </c>
      <c r="Q371">
        <f t="shared" si="27"/>
        <v>28</v>
      </c>
      <c r="R371" s="10">
        <f t="shared" si="28"/>
        <v>140</v>
      </c>
      <c r="S371">
        <f t="shared" si="29"/>
        <v>32.799999999999997</v>
      </c>
    </row>
    <row r="372" spans="1:1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  <c r="J372" s="19"/>
      <c r="M372" s="7"/>
      <c r="O372">
        <f t="shared" si="25"/>
        <v>173</v>
      </c>
      <c r="P372">
        <f t="shared" si="26"/>
        <v>82</v>
      </c>
      <c r="Q372">
        <f t="shared" si="27"/>
        <v>48</v>
      </c>
      <c r="R372" s="10">
        <f t="shared" si="28"/>
        <v>465</v>
      </c>
      <c r="S372">
        <f t="shared" si="29"/>
        <v>38.4</v>
      </c>
    </row>
    <row r="373" spans="1:1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  <c r="J373" s="19"/>
      <c r="M373" s="7"/>
      <c r="O373">
        <f t="shared" si="25"/>
        <v>118</v>
      </c>
      <c r="P373">
        <f t="shared" si="26"/>
        <v>64</v>
      </c>
      <c r="Q373">
        <f t="shared" si="27"/>
        <v>23</v>
      </c>
      <c r="R373" s="10">
        <f t="shared" si="28"/>
        <v>89</v>
      </c>
      <c r="S373">
        <f t="shared" si="29"/>
        <v>32</v>
      </c>
    </row>
    <row r="374" spans="1:1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  <c r="J374" s="19"/>
      <c r="M374" s="7"/>
      <c r="O374">
        <f t="shared" si="25"/>
        <v>84</v>
      </c>
      <c r="P374">
        <f t="shared" si="26"/>
        <v>64</v>
      </c>
      <c r="Q374">
        <f t="shared" si="27"/>
        <v>22</v>
      </c>
      <c r="R374" s="10">
        <f t="shared" si="28"/>
        <v>66</v>
      </c>
      <c r="S374">
        <f t="shared" si="29"/>
        <v>35.799999999999997</v>
      </c>
    </row>
    <row r="375" spans="1:1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  <c r="J375" s="19"/>
      <c r="M375" s="7"/>
      <c r="O375">
        <f t="shared" si="25"/>
        <v>105</v>
      </c>
      <c r="P375">
        <f t="shared" si="26"/>
        <v>58</v>
      </c>
      <c r="Q375">
        <f t="shared" si="27"/>
        <v>40</v>
      </c>
      <c r="R375" s="10">
        <f t="shared" si="28"/>
        <v>94</v>
      </c>
      <c r="S375">
        <f t="shared" si="29"/>
        <v>34.9</v>
      </c>
    </row>
    <row r="376" spans="1:1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  <c r="J376" s="19"/>
      <c r="M376" s="7"/>
      <c r="O376">
        <f t="shared" si="25"/>
        <v>122</v>
      </c>
      <c r="P376">
        <f t="shared" si="26"/>
        <v>52</v>
      </c>
      <c r="Q376">
        <f t="shared" si="27"/>
        <v>43</v>
      </c>
      <c r="R376" s="10">
        <f t="shared" si="28"/>
        <v>158</v>
      </c>
      <c r="S376">
        <f t="shared" si="29"/>
        <v>36.200000000000003</v>
      </c>
    </row>
    <row r="377" spans="1:1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  <c r="J377" s="19"/>
      <c r="M377" s="7"/>
      <c r="O377">
        <f t="shared" si="25"/>
        <v>140</v>
      </c>
      <c r="P377">
        <f t="shared" si="26"/>
        <v>82</v>
      </c>
      <c r="Q377">
        <f t="shared" si="27"/>
        <v>43</v>
      </c>
      <c r="R377" s="10">
        <f t="shared" si="28"/>
        <v>325</v>
      </c>
      <c r="S377">
        <f t="shared" si="29"/>
        <v>39.200000000000003</v>
      </c>
    </row>
    <row r="378" spans="1:1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  <c r="J378" s="19"/>
      <c r="M378" s="7"/>
      <c r="O378">
        <f t="shared" si="25"/>
        <v>98</v>
      </c>
      <c r="P378">
        <f t="shared" si="26"/>
        <v>82</v>
      </c>
      <c r="Q378">
        <f t="shared" si="27"/>
        <v>15</v>
      </c>
      <c r="R378" s="10">
        <f t="shared" si="28"/>
        <v>84</v>
      </c>
      <c r="S378">
        <f t="shared" si="29"/>
        <v>25.2</v>
      </c>
    </row>
    <row r="379" spans="1:1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  <c r="J379" s="19"/>
      <c r="M379" s="7"/>
      <c r="O379">
        <f t="shared" si="25"/>
        <v>87</v>
      </c>
      <c r="P379">
        <f t="shared" si="26"/>
        <v>60</v>
      </c>
      <c r="Q379">
        <f t="shared" si="27"/>
        <v>37</v>
      </c>
      <c r="R379" s="10">
        <f t="shared" si="28"/>
        <v>75</v>
      </c>
      <c r="S379">
        <f t="shared" si="29"/>
        <v>37.200000000000003</v>
      </c>
    </row>
    <row r="380" spans="1:1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  <c r="J380" s="19"/>
      <c r="M380" s="7"/>
      <c r="O380">
        <f t="shared" si="25"/>
        <v>156</v>
      </c>
      <c r="P380">
        <f t="shared" si="26"/>
        <v>75</v>
      </c>
      <c r="Q380">
        <f t="shared" si="27"/>
        <v>23</v>
      </c>
      <c r="R380" s="10">
        <f t="shared" si="28"/>
        <v>30.5</v>
      </c>
      <c r="S380">
        <f t="shared" si="29"/>
        <v>48.3</v>
      </c>
    </row>
    <row r="381" spans="1:1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  <c r="J381" s="19"/>
      <c r="M381" s="7"/>
      <c r="O381">
        <f t="shared" si="25"/>
        <v>93</v>
      </c>
      <c r="P381">
        <f t="shared" si="26"/>
        <v>100</v>
      </c>
      <c r="Q381">
        <f t="shared" si="27"/>
        <v>39</v>
      </c>
      <c r="R381" s="10">
        <f t="shared" si="28"/>
        <v>72</v>
      </c>
      <c r="S381">
        <f t="shared" si="29"/>
        <v>43.4</v>
      </c>
    </row>
    <row r="382" spans="1:1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  <c r="J382" s="19"/>
      <c r="M382" s="7"/>
      <c r="O382">
        <f t="shared" si="25"/>
        <v>107</v>
      </c>
      <c r="P382">
        <f t="shared" si="26"/>
        <v>72</v>
      </c>
      <c r="Q382">
        <f t="shared" si="27"/>
        <v>30</v>
      </c>
      <c r="R382" s="10">
        <f t="shared" si="28"/>
        <v>82</v>
      </c>
      <c r="S382">
        <f t="shared" si="29"/>
        <v>30.8</v>
      </c>
    </row>
    <row r="383" spans="1:1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  <c r="J383" s="19"/>
      <c r="M383" s="7"/>
      <c r="O383">
        <f t="shared" si="25"/>
        <v>105</v>
      </c>
      <c r="P383">
        <f t="shared" si="26"/>
        <v>68</v>
      </c>
      <c r="Q383">
        <f t="shared" si="27"/>
        <v>22</v>
      </c>
      <c r="R383" s="10">
        <f t="shared" si="28"/>
        <v>30.5</v>
      </c>
      <c r="S383">
        <f t="shared" si="29"/>
        <v>20</v>
      </c>
    </row>
    <row r="384" spans="1:1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  <c r="J384" s="19"/>
      <c r="M384" s="7"/>
      <c r="O384">
        <f t="shared" si="25"/>
        <v>109</v>
      </c>
      <c r="P384">
        <f t="shared" si="26"/>
        <v>60</v>
      </c>
      <c r="Q384">
        <f t="shared" si="27"/>
        <v>8</v>
      </c>
      <c r="R384" s="10">
        <f t="shared" si="28"/>
        <v>182</v>
      </c>
      <c r="S384">
        <f t="shared" si="29"/>
        <v>25.4</v>
      </c>
    </row>
    <row r="385" spans="1:1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  <c r="J385" s="19"/>
      <c r="M385" s="7"/>
      <c r="O385">
        <f t="shared" si="25"/>
        <v>90</v>
      </c>
      <c r="P385">
        <f t="shared" si="26"/>
        <v>62</v>
      </c>
      <c r="Q385">
        <f t="shared" si="27"/>
        <v>18</v>
      </c>
      <c r="R385" s="10">
        <f t="shared" si="28"/>
        <v>59</v>
      </c>
      <c r="S385">
        <f t="shared" si="29"/>
        <v>25.1</v>
      </c>
    </row>
    <row r="386" spans="1:1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  <c r="J386" s="19"/>
      <c r="M386" s="7"/>
      <c r="O386">
        <f t="shared" si="25"/>
        <v>125</v>
      </c>
      <c r="P386">
        <f t="shared" si="26"/>
        <v>70</v>
      </c>
      <c r="Q386">
        <f t="shared" si="27"/>
        <v>24</v>
      </c>
      <c r="R386" s="10">
        <f t="shared" si="28"/>
        <v>110</v>
      </c>
      <c r="S386">
        <f t="shared" si="29"/>
        <v>24.3</v>
      </c>
    </row>
    <row r="387" spans="1:1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  <c r="J387" s="19"/>
      <c r="M387" s="7"/>
      <c r="O387">
        <f t="shared" ref="O387:O450" si="30">IF(B387=0,$L$11,B387)</f>
        <v>119</v>
      </c>
      <c r="P387">
        <f t="shared" ref="P387:P450" si="31">IF(C387=0,$L$12,C387)</f>
        <v>54</v>
      </c>
      <c r="Q387">
        <f t="shared" ref="Q387:Q450" si="32">IF(D387=0,$L$13,D387)</f>
        <v>13</v>
      </c>
      <c r="R387" s="10">
        <f t="shared" ref="R387:R450" si="33">IF(E387=0,$L$14,E387)</f>
        <v>50</v>
      </c>
      <c r="S387">
        <f t="shared" ref="S387:S450" si="34">IF(F387=0,$L$15,F387)</f>
        <v>22.3</v>
      </c>
    </row>
    <row r="388" spans="1:1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  <c r="J388" s="19"/>
      <c r="M388" s="7"/>
      <c r="O388">
        <f t="shared" si="30"/>
        <v>116</v>
      </c>
      <c r="P388">
        <f t="shared" si="31"/>
        <v>74</v>
      </c>
      <c r="Q388">
        <f t="shared" si="32"/>
        <v>29</v>
      </c>
      <c r="R388" s="10">
        <f t="shared" si="33"/>
        <v>30.5</v>
      </c>
      <c r="S388">
        <f t="shared" si="34"/>
        <v>32.299999999999997</v>
      </c>
    </row>
    <row r="389" spans="1:1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  <c r="J389" s="19"/>
      <c r="M389" s="7"/>
      <c r="O389">
        <f t="shared" si="30"/>
        <v>105</v>
      </c>
      <c r="P389">
        <f t="shared" si="31"/>
        <v>100</v>
      </c>
      <c r="Q389">
        <f t="shared" si="32"/>
        <v>36</v>
      </c>
      <c r="R389" s="10">
        <f t="shared" si="33"/>
        <v>30.5</v>
      </c>
      <c r="S389">
        <f t="shared" si="34"/>
        <v>43.3</v>
      </c>
    </row>
    <row r="390" spans="1:1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  <c r="J390" s="19"/>
      <c r="M390" s="7"/>
      <c r="O390">
        <f t="shared" si="30"/>
        <v>144</v>
      </c>
      <c r="P390">
        <f t="shared" si="31"/>
        <v>82</v>
      </c>
      <c r="Q390">
        <f t="shared" si="32"/>
        <v>26</v>
      </c>
      <c r="R390" s="10">
        <f t="shared" si="33"/>
        <v>285</v>
      </c>
      <c r="S390">
        <f t="shared" si="34"/>
        <v>32</v>
      </c>
    </row>
    <row r="391" spans="1:1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  <c r="J391" s="19"/>
      <c r="M391" s="7"/>
      <c r="O391">
        <f t="shared" si="30"/>
        <v>100</v>
      </c>
      <c r="P391">
        <f t="shared" si="31"/>
        <v>68</v>
      </c>
      <c r="Q391">
        <f t="shared" si="32"/>
        <v>23</v>
      </c>
      <c r="R391" s="10">
        <f t="shared" si="33"/>
        <v>81</v>
      </c>
      <c r="S391">
        <f t="shared" si="34"/>
        <v>31.6</v>
      </c>
    </row>
    <row r="392" spans="1:1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  <c r="J392" s="19"/>
      <c r="M392" s="7"/>
      <c r="O392">
        <f t="shared" si="30"/>
        <v>100</v>
      </c>
      <c r="P392">
        <f t="shared" si="31"/>
        <v>66</v>
      </c>
      <c r="Q392">
        <f t="shared" si="32"/>
        <v>29</v>
      </c>
      <c r="R392" s="10">
        <f t="shared" si="33"/>
        <v>196</v>
      </c>
      <c r="S392">
        <f t="shared" si="34"/>
        <v>32</v>
      </c>
    </row>
    <row r="393" spans="1:1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  <c r="J393" s="19"/>
      <c r="M393" s="7"/>
      <c r="O393">
        <f t="shared" si="30"/>
        <v>166</v>
      </c>
      <c r="P393">
        <f t="shared" si="31"/>
        <v>76</v>
      </c>
      <c r="Q393">
        <f t="shared" si="32"/>
        <v>23</v>
      </c>
      <c r="R393" s="10">
        <f t="shared" si="33"/>
        <v>30.5</v>
      </c>
      <c r="S393">
        <f t="shared" si="34"/>
        <v>45.7</v>
      </c>
    </row>
    <row r="394" spans="1:1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  <c r="J394" s="19"/>
      <c r="M394" s="7"/>
      <c r="O394">
        <f t="shared" si="30"/>
        <v>131</v>
      </c>
      <c r="P394">
        <f t="shared" si="31"/>
        <v>64</v>
      </c>
      <c r="Q394">
        <f t="shared" si="32"/>
        <v>14</v>
      </c>
      <c r="R394" s="10">
        <f t="shared" si="33"/>
        <v>415</v>
      </c>
      <c r="S394">
        <f t="shared" si="34"/>
        <v>23.7</v>
      </c>
    </row>
    <row r="395" spans="1:1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  <c r="J395" s="19"/>
      <c r="M395" s="7"/>
      <c r="O395">
        <f t="shared" si="30"/>
        <v>116</v>
      </c>
      <c r="P395">
        <f t="shared" si="31"/>
        <v>72</v>
      </c>
      <c r="Q395">
        <f t="shared" si="32"/>
        <v>12</v>
      </c>
      <c r="R395" s="10">
        <f t="shared" si="33"/>
        <v>87</v>
      </c>
      <c r="S395">
        <f t="shared" si="34"/>
        <v>22.1</v>
      </c>
    </row>
    <row r="396" spans="1:1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  <c r="J396" s="19"/>
      <c r="M396" s="7"/>
      <c r="O396">
        <f t="shared" si="30"/>
        <v>158</v>
      </c>
      <c r="P396">
        <f t="shared" si="31"/>
        <v>78</v>
      </c>
      <c r="Q396">
        <f t="shared" si="32"/>
        <v>23</v>
      </c>
      <c r="R396" s="10">
        <f t="shared" si="33"/>
        <v>30.5</v>
      </c>
      <c r="S396">
        <f t="shared" si="34"/>
        <v>32.9</v>
      </c>
    </row>
    <row r="397" spans="1:1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  <c r="J397" s="19"/>
      <c r="M397" s="7"/>
      <c r="O397">
        <f t="shared" si="30"/>
        <v>127</v>
      </c>
      <c r="P397">
        <f t="shared" si="31"/>
        <v>58</v>
      </c>
      <c r="Q397">
        <f t="shared" si="32"/>
        <v>24</v>
      </c>
      <c r="R397" s="10">
        <f t="shared" si="33"/>
        <v>275</v>
      </c>
      <c r="S397">
        <f t="shared" si="34"/>
        <v>27.7</v>
      </c>
    </row>
    <row r="398" spans="1:1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  <c r="J398" s="19"/>
      <c r="M398" s="7"/>
      <c r="O398">
        <f t="shared" si="30"/>
        <v>96</v>
      </c>
      <c r="P398">
        <f t="shared" si="31"/>
        <v>56</v>
      </c>
      <c r="Q398">
        <f t="shared" si="32"/>
        <v>34</v>
      </c>
      <c r="R398" s="10">
        <f t="shared" si="33"/>
        <v>115</v>
      </c>
      <c r="S398">
        <f t="shared" si="34"/>
        <v>24.7</v>
      </c>
    </row>
    <row r="399" spans="1:1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  <c r="J399" s="19"/>
      <c r="M399" s="7"/>
      <c r="O399">
        <f t="shared" si="30"/>
        <v>131</v>
      </c>
      <c r="P399">
        <f t="shared" si="31"/>
        <v>66</v>
      </c>
      <c r="Q399">
        <f t="shared" si="32"/>
        <v>40</v>
      </c>
      <c r="R399" s="10">
        <f t="shared" si="33"/>
        <v>30.5</v>
      </c>
      <c r="S399">
        <f t="shared" si="34"/>
        <v>34.299999999999997</v>
      </c>
    </row>
    <row r="400" spans="1:1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  <c r="J400" s="19"/>
      <c r="M400" s="7"/>
      <c r="O400">
        <f t="shared" si="30"/>
        <v>82</v>
      </c>
      <c r="P400">
        <f t="shared" si="31"/>
        <v>70</v>
      </c>
      <c r="Q400">
        <f t="shared" si="32"/>
        <v>23</v>
      </c>
      <c r="R400" s="10">
        <f t="shared" si="33"/>
        <v>30.5</v>
      </c>
      <c r="S400">
        <f t="shared" si="34"/>
        <v>21.1</v>
      </c>
    </row>
    <row r="401" spans="1:1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  <c r="J401" s="19"/>
      <c r="M401" s="7"/>
      <c r="O401">
        <f t="shared" si="30"/>
        <v>193</v>
      </c>
      <c r="P401">
        <f t="shared" si="31"/>
        <v>70</v>
      </c>
      <c r="Q401">
        <f t="shared" si="32"/>
        <v>31</v>
      </c>
      <c r="R401" s="10">
        <f t="shared" si="33"/>
        <v>30.5</v>
      </c>
      <c r="S401">
        <f t="shared" si="34"/>
        <v>34.9</v>
      </c>
    </row>
    <row r="402" spans="1:1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  <c r="J402" s="19"/>
      <c r="M402" s="7"/>
      <c r="O402">
        <f t="shared" si="30"/>
        <v>95</v>
      </c>
      <c r="P402">
        <f t="shared" si="31"/>
        <v>64</v>
      </c>
      <c r="Q402">
        <f t="shared" si="32"/>
        <v>23</v>
      </c>
      <c r="R402" s="10">
        <f t="shared" si="33"/>
        <v>30.5</v>
      </c>
      <c r="S402">
        <f t="shared" si="34"/>
        <v>32</v>
      </c>
    </row>
    <row r="403" spans="1:1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  <c r="J403" s="19"/>
      <c r="M403" s="7"/>
      <c r="O403">
        <f t="shared" si="30"/>
        <v>137</v>
      </c>
      <c r="P403">
        <f t="shared" si="31"/>
        <v>61</v>
      </c>
      <c r="Q403">
        <f t="shared" si="32"/>
        <v>23</v>
      </c>
      <c r="R403" s="10">
        <f t="shared" si="33"/>
        <v>30.5</v>
      </c>
      <c r="S403">
        <f t="shared" si="34"/>
        <v>24.2</v>
      </c>
    </row>
    <row r="404" spans="1:1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  <c r="J404" s="19"/>
      <c r="M404" s="7"/>
      <c r="O404">
        <f t="shared" si="30"/>
        <v>136</v>
      </c>
      <c r="P404">
        <f t="shared" si="31"/>
        <v>84</v>
      </c>
      <c r="Q404">
        <f t="shared" si="32"/>
        <v>41</v>
      </c>
      <c r="R404" s="10">
        <f t="shared" si="33"/>
        <v>88</v>
      </c>
      <c r="S404">
        <f t="shared" si="34"/>
        <v>35</v>
      </c>
    </row>
    <row r="405" spans="1:1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  <c r="J405" s="19"/>
      <c r="M405" s="7"/>
      <c r="O405">
        <f t="shared" si="30"/>
        <v>72</v>
      </c>
      <c r="P405">
        <f t="shared" si="31"/>
        <v>78</v>
      </c>
      <c r="Q405">
        <f t="shared" si="32"/>
        <v>25</v>
      </c>
      <c r="R405" s="10">
        <f t="shared" si="33"/>
        <v>30.5</v>
      </c>
      <c r="S405">
        <f t="shared" si="34"/>
        <v>31.6</v>
      </c>
    </row>
    <row r="406" spans="1:1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  <c r="J406" s="19"/>
      <c r="M406" s="7"/>
      <c r="O406">
        <f t="shared" si="30"/>
        <v>168</v>
      </c>
      <c r="P406">
        <f t="shared" si="31"/>
        <v>64</v>
      </c>
      <c r="Q406">
        <f t="shared" si="32"/>
        <v>23</v>
      </c>
      <c r="R406" s="10">
        <f t="shared" si="33"/>
        <v>30.5</v>
      </c>
      <c r="S406">
        <f t="shared" si="34"/>
        <v>32.9</v>
      </c>
    </row>
    <row r="407" spans="1:1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  <c r="J407" s="19"/>
      <c r="M407" s="7"/>
      <c r="O407">
        <f t="shared" si="30"/>
        <v>123</v>
      </c>
      <c r="P407">
        <f t="shared" si="31"/>
        <v>48</v>
      </c>
      <c r="Q407">
        <f t="shared" si="32"/>
        <v>32</v>
      </c>
      <c r="R407" s="10">
        <f t="shared" si="33"/>
        <v>165</v>
      </c>
      <c r="S407">
        <f t="shared" si="34"/>
        <v>42.1</v>
      </c>
    </row>
    <row r="408" spans="1:1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  <c r="J408" s="19"/>
      <c r="M408" s="7"/>
      <c r="O408">
        <f t="shared" si="30"/>
        <v>115</v>
      </c>
      <c r="P408">
        <f t="shared" si="31"/>
        <v>72</v>
      </c>
      <c r="Q408">
        <f t="shared" si="32"/>
        <v>23</v>
      </c>
      <c r="R408" s="10">
        <f t="shared" si="33"/>
        <v>30.5</v>
      </c>
      <c r="S408">
        <f t="shared" si="34"/>
        <v>28.9</v>
      </c>
    </row>
    <row r="409" spans="1:1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  <c r="J409" s="19"/>
      <c r="M409" s="7"/>
      <c r="O409">
        <f t="shared" si="30"/>
        <v>101</v>
      </c>
      <c r="P409">
        <f t="shared" si="31"/>
        <v>62</v>
      </c>
      <c r="Q409">
        <f t="shared" si="32"/>
        <v>23</v>
      </c>
      <c r="R409" s="10">
        <f t="shared" si="33"/>
        <v>30.5</v>
      </c>
      <c r="S409">
        <f t="shared" si="34"/>
        <v>21.9</v>
      </c>
    </row>
    <row r="410" spans="1:1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  <c r="J410" s="19"/>
      <c r="M410" s="7"/>
      <c r="O410">
        <f t="shared" si="30"/>
        <v>197</v>
      </c>
      <c r="P410">
        <f t="shared" si="31"/>
        <v>74</v>
      </c>
      <c r="Q410">
        <f t="shared" si="32"/>
        <v>23</v>
      </c>
      <c r="R410" s="10">
        <f t="shared" si="33"/>
        <v>30.5</v>
      </c>
      <c r="S410">
        <f t="shared" si="34"/>
        <v>25.9</v>
      </c>
    </row>
    <row r="411" spans="1:1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  <c r="J411" s="19"/>
      <c r="M411" s="7"/>
      <c r="O411">
        <f t="shared" si="30"/>
        <v>172</v>
      </c>
      <c r="P411">
        <f t="shared" si="31"/>
        <v>68</v>
      </c>
      <c r="Q411">
        <f t="shared" si="32"/>
        <v>49</v>
      </c>
      <c r="R411" s="10">
        <f t="shared" si="33"/>
        <v>579</v>
      </c>
      <c r="S411">
        <f t="shared" si="34"/>
        <v>42.4</v>
      </c>
    </row>
    <row r="412" spans="1:1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  <c r="J412" s="19"/>
      <c r="M412" s="7"/>
      <c r="O412">
        <f t="shared" si="30"/>
        <v>102</v>
      </c>
      <c r="P412">
        <f t="shared" si="31"/>
        <v>90</v>
      </c>
      <c r="Q412">
        <f t="shared" si="32"/>
        <v>39</v>
      </c>
      <c r="R412" s="10">
        <f t="shared" si="33"/>
        <v>30.5</v>
      </c>
      <c r="S412">
        <f t="shared" si="34"/>
        <v>35.700000000000003</v>
      </c>
    </row>
    <row r="413" spans="1:1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  <c r="J413" s="19"/>
      <c r="M413" s="7"/>
      <c r="O413">
        <f t="shared" si="30"/>
        <v>112</v>
      </c>
      <c r="P413">
        <f t="shared" si="31"/>
        <v>72</v>
      </c>
      <c r="Q413">
        <f t="shared" si="32"/>
        <v>30</v>
      </c>
      <c r="R413" s="10">
        <f t="shared" si="33"/>
        <v>176</v>
      </c>
      <c r="S413">
        <f t="shared" si="34"/>
        <v>34.4</v>
      </c>
    </row>
    <row r="414" spans="1:1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  <c r="J414" s="19"/>
      <c r="M414" s="7"/>
      <c r="O414">
        <f t="shared" si="30"/>
        <v>143</v>
      </c>
      <c r="P414">
        <f t="shared" si="31"/>
        <v>84</v>
      </c>
      <c r="Q414">
        <f t="shared" si="32"/>
        <v>23</v>
      </c>
      <c r="R414" s="10">
        <f t="shared" si="33"/>
        <v>310</v>
      </c>
      <c r="S414">
        <f t="shared" si="34"/>
        <v>42.4</v>
      </c>
    </row>
    <row r="415" spans="1:1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  <c r="J415" s="19"/>
      <c r="M415" s="7"/>
      <c r="O415">
        <f t="shared" si="30"/>
        <v>143</v>
      </c>
      <c r="P415">
        <f t="shared" si="31"/>
        <v>74</v>
      </c>
      <c r="Q415">
        <f t="shared" si="32"/>
        <v>22</v>
      </c>
      <c r="R415" s="10">
        <f t="shared" si="33"/>
        <v>61</v>
      </c>
      <c r="S415">
        <f t="shared" si="34"/>
        <v>26.2</v>
      </c>
    </row>
    <row r="416" spans="1:1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  <c r="J416" s="19"/>
      <c r="M416" s="7"/>
      <c r="O416">
        <f t="shared" si="30"/>
        <v>138</v>
      </c>
      <c r="P416">
        <f t="shared" si="31"/>
        <v>60</v>
      </c>
      <c r="Q416">
        <f t="shared" si="32"/>
        <v>35</v>
      </c>
      <c r="R416" s="10">
        <f t="shared" si="33"/>
        <v>167</v>
      </c>
      <c r="S416">
        <f t="shared" si="34"/>
        <v>34.6</v>
      </c>
    </row>
    <row r="417" spans="1:1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  <c r="J417" s="19"/>
      <c r="M417" s="7"/>
      <c r="O417">
        <f t="shared" si="30"/>
        <v>173</v>
      </c>
      <c r="P417">
        <f t="shared" si="31"/>
        <v>84</v>
      </c>
      <c r="Q417">
        <f t="shared" si="32"/>
        <v>33</v>
      </c>
      <c r="R417" s="10">
        <f t="shared" si="33"/>
        <v>474</v>
      </c>
      <c r="S417">
        <f t="shared" si="34"/>
        <v>35.700000000000003</v>
      </c>
    </row>
    <row r="418" spans="1:1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  <c r="J418" s="19"/>
      <c r="M418" s="7"/>
      <c r="O418">
        <f t="shared" si="30"/>
        <v>97</v>
      </c>
      <c r="P418">
        <f t="shared" si="31"/>
        <v>68</v>
      </c>
      <c r="Q418">
        <f t="shared" si="32"/>
        <v>21</v>
      </c>
      <c r="R418" s="10">
        <f t="shared" si="33"/>
        <v>30.5</v>
      </c>
      <c r="S418">
        <f t="shared" si="34"/>
        <v>27.2</v>
      </c>
    </row>
    <row r="419" spans="1:1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  <c r="J419" s="19"/>
      <c r="M419" s="7"/>
      <c r="O419">
        <f t="shared" si="30"/>
        <v>144</v>
      </c>
      <c r="P419">
        <f t="shared" si="31"/>
        <v>82</v>
      </c>
      <c r="Q419">
        <f t="shared" si="32"/>
        <v>32</v>
      </c>
      <c r="R419" s="10">
        <f t="shared" si="33"/>
        <v>30.5</v>
      </c>
      <c r="S419">
        <f t="shared" si="34"/>
        <v>38.5</v>
      </c>
    </row>
    <row r="420" spans="1:1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  <c r="J420" s="19"/>
      <c r="M420" s="7"/>
      <c r="O420">
        <f t="shared" si="30"/>
        <v>83</v>
      </c>
      <c r="P420">
        <f t="shared" si="31"/>
        <v>68</v>
      </c>
      <c r="Q420">
        <f t="shared" si="32"/>
        <v>23</v>
      </c>
      <c r="R420" s="10">
        <f t="shared" si="33"/>
        <v>30.5</v>
      </c>
      <c r="S420">
        <f t="shared" si="34"/>
        <v>18.2</v>
      </c>
    </row>
    <row r="421" spans="1:1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  <c r="J421" s="19"/>
      <c r="M421" s="7"/>
      <c r="O421">
        <f t="shared" si="30"/>
        <v>129</v>
      </c>
      <c r="P421">
        <f t="shared" si="31"/>
        <v>64</v>
      </c>
      <c r="Q421">
        <f t="shared" si="32"/>
        <v>29</v>
      </c>
      <c r="R421" s="10">
        <f t="shared" si="33"/>
        <v>115</v>
      </c>
      <c r="S421">
        <f t="shared" si="34"/>
        <v>26.4</v>
      </c>
    </row>
    <row r="422" spans="1:1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  <c r="J422" s="19"/>
      <c r="M422" s="7"/>
      <c r="O422">
        <f t="shared" si="30"/>
        <v>119</v>
      </c>
      <c r="P422">
        <f t="shared" si="31"/>
        <v>88</v>
      </c>
      <c r="Q422">
        <f t="shared" si="32"/>
        <v>41</v>
      </c>
      <c r="R422" s="10">
        <f t="shared" si="33"/>
        <v>170</v>
      </c>
      <c r="S422">
        <f t="shared" si="34"/>
        <v>45.3</v>
      </c>
    </row>
    <row r="423" spans="1:1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  <c r="J423" s="19"/>
      <c r="M423" s="7"/>
      <c r="O423">
        <f t="shared" si="30"/>
        <v>94</v>
      </c>
      <c r="P423">
        <f t="shared" si="31"/>
        <v>68</v>
      </c>
      <c r="Q423">
        <f t="shared" si="32"/>
        <v>18</v>
      </c>
      <c r="R423" s="10">
        <f t="shared" si="33"/>
        <v>76</v>
      </c>
      <c r="S423">
        <f t="shared" si="34"/>
        <v>26</v>
      </c>
    </row>
    <row r="424" spans="1:1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  <c r="J424" s="19"/>
      <c r="M424" s="7"/>
      <c r="O424">
        <f t="shared" si="30"/>
        <v>102</v>
      </c>
      <c r="P424">
        <f t="shared" si="31"/>
        <v>64</v>
      </c>
      <c r="Q424">
        <f t="shared" si="32"/>
        <v>46</v>
      </c>
      <c r="R424" s="10">
        <f t="shared" si="33"/>
        <v>78</v>
      </c>
      <c r="S424">
        <f t="shared" si="34"/>
        <v>40.6</v>
      </c>
    </row>
    <row r="425" spans="1:1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  <c r="J425" s="19"/>
      <c r="M425" s="7"/>
      <c r="O425">
        <f t="shared" si="30"/>
        <v>115</v>
      </c>
      <c r="P425">
        <f t="shared" si="31"/>
        <v>64</v>
      </c>
      <c r="Q425">
        <f t="shared" si="32"/>
        <v>22</v>
      </c>
      <c r="R425" s="10">
        <f t="shared" si="33"/>
        <v>30.5</v>
      </c>
      <c r="S425">
        <f t="shared" si="34"/>
        <v>30.8</v>
      </c>
    </row>
    <row r="426" spans="1:1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  <c r="J426" s="19"/>
      <c r="M426" s="7"/>
      <c r="O426">
        <f t="shared" si="30"/>
        <v>151</v>
      </c>
      <c r="P426">
        <f t="shared" si="31"/>
        <v>78</v>
      </c>
      <c r="Q426">
        <f t="shared" si="32"/>
        <v>32</v>
      </c>
      <c r="R426" s="10">
        <f t="shared" si="33"/>
        <v>210</v>
      </c>
      <c r="S426">
        <f t="shared" si="34"/>
        <v>42.9</v>
      </c>
    </row>
    <row r="427" spans="1:1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  <c r="J427" s="19"/>
      <c r="M427" s="7"/>
      <c r="O427">
        <f t="shared" si="30"/>
        <v>184</v>
      </c>
      <c r="P427">
        <f t="shared" si="31"/>
        <v>78</v>
      </c>
      <c r="Q427">
        <f t="shared" si="32"/>
        <v>39</v>
      </c>
      <c r="R427" s="10">
        <f t="shared" si="33"/>
        <v>277</v>
      </c>
      <c r="S427">
        <f t="shared" si="34"/>
        <v>37</v>
      </c>
    </row>
    <row r="428" spans="1:1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  <c r="J428" s="19"/>
      <c r="M428" s="7"/>
      <c r="O428">
        <f t="shared" si="30"/>
        <v>94</v>
      </c>
      <c r="P428">
        <f t="shared" si="31"/>
        <v>72</v>
      </c>
      <c r="Q428">
        <f t="shared" si="32"/>
        <v>23</v>
      </c>
      <c r="R428" s="10">
        <f t="shared" si="33"/>
        <v>30.5</v>
      </c>
      <c r="S428">
        <f t="shared" si="34"/>
        <v>32</v>
      </c>
    </row>
    <row r="429" spans="1:1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  <c r="J429" s="19"/>
      <c r="M429" s="7"/>
      <c r="O429">
        <f t="shared" si="30"/>
        <v>181</v>
      </c>
      <c r="P429">
        <f t="shared" si="31"/>
        <v>64</v>
      </c>
      <c r="Q429">
        <f t="shared" si="32"/>
        <v>30</v>
      </c>
      <c r="R429" s="10">
        <f t="shared" si="33"/>
        <v>180</v>
      </c>
      <c r="S429">
        <f t="shared" si="34"/>
        <v>34.1</v>
      </c>
    </row>
    <row r="430" spans="1:1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  <c r="J430" s="19"/>
      <c r="M430" s="7"/>
      <c r="O430">
        <f t="shared" si="30"/>
        <v>135</v>
      </c>
      <c r="P430">
        <f t="shared" si="31"/>
        <v>94</v>
      </c>
      <c r="Q430">
        <f t="shared" si="32"/>
        <v>46</v>
      </c>
      <c r="R430" s="10">
        <f t="shared" si="33"/>
        <v>145</v>
      </c>
      <c r="S430">
        <f t="shared" si="34"/>
        <v>40.6</v>
      </c>
    </row>
    <row r="431" spans="1:1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  <c r="J431" s="19"/>
      <c r="M431" s="7"/>
      <c r="O431">
        <f t="shared" si="30"/>
        <v>95</v>
      </c>
      <c r="P431">
        <f t="shared" si="31"/>
        <v>82</v>
      </c>
      <c r="Q431">
        <f t="shared" si="32"/>
        <v>25</v>
      </c>
      <c r="R431" s="10">
        <f t="shared" si="33"/>
        <v>180</v>
      </c>
      <c r="S431">
        <f t="shared" si="34"/>
        <v>35</v>
      </c>
    </row>
    <row r="432" spans="1:1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  <c r="J432" s="19"/>
      <c r="M432" s="7"/>
      <c r="O432">
        <f t="shared" si="30"/>
        <v>99</v>
      </c>
      <c r="P432">
        <f t="shared" si="31"/>
        <v>72</v>
      </c>
      <c r="Q432">
        <f t="shared" si="32"/>
        <v>23</v>
      </c>
      <c r="R432" s="10">
        <f t="shared" si="33"/>
        <v>30.5</v>
      </c>
      <c r="S432">
        <f t="shared" si="34"/>
        <v>22.2</v>
      </c>
    </row>
    <row r="433" spans="1:1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  <c r="J433" s="19"/>
      <c r="M433" s="7"/>
      <c r="O433">
        <f t="shared" si="30"/>
        <v>89</v>
      </c>
      <c r="P433">
        <f t="shared" si="31"/>
        <v>74</v>
      </c>
      <c r="Q433">
        <f t="shared" si="32"/>
        <v>16</v>
      </c>
      <c r="R433" s="10">
        <f t="shared" si="33"/>
        <v>85</v>
      </c>
      <c r="S433">
        <f t="shared" si="34"/>
        <v>30.4</v>
      </c>
    </row>
    <row r="434" spans="1:1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  <c r="J434" s="19"/>
      <c r="M434" s="7"/>
      <c r="O434">
        <f t="shared" si="30"/>
        <v>80</v>
      </c>
      <c r="P434">
        <f t="shared" si="31"/>
        <v>74</v>
      </c>
      <c r="Q434">
        <f t="shared" si="32"/>
        <v>11</v>
      </c>
      <c r="R434" s="10">
        <f t="shared" si="33"/>
        <v>60</v>
      </c>
      <c r="S434">
        <f t="shared" si="34"/>
        <v>30</v>
      </c>
    </row>
    <row r="435" spans="1:1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  <c r="J435" s="19"/>
      <c r="M435" s="7"/>
      <c r="O435">
        <f t="shared" si="30"/>
        <v>139</v>
      </c>
      <c r="P435">
        <f t="shared" si="31"/>
        <v>75</v>
      </c>
      <c r="Q435">
        <f t="shared" si="32"/>
        <v>23</v>
      </c>
      <c r="R435" s="10">
        <f t="shared" si="33"/>
        <v>30.5</v>
      </c>
      <c r="S435">
        <f t="shared" si="34"/>
        <v>25.6</v>
      </c>
    </row>
    <row r="436" spans="1:1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  <c r="J436" s="19"/>
      <c r="M436" s="7"/>
      <c r="O436">
        <f t="shared" si="30"/>
        <v>90</v>
      </c>
      <c r="P436">
        <f t="shared" si="31"/>
        <v>68</v>
      </c>
      <c r="Q436">
        <f t="shared" si="32"/>
        <v>8</v>
      </c>
      <c r="R436" s="10">
        <f t="shared" si="33"/>
        <v>30.5</v>
      </c>
      <c r="S436">
        <f t="shared" si="34"/>
        <v>24.5</v>
      </c>
    </row>
    <row r="437" spans="1:1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  <c r="J437" s="19"/>
      <c r="M437" s="7"/>
      <c r="O437">
        <f t="shared" si="30"/>
        <v>141</v>
      </c>
      <c r="P437">
        <f t="shared" si="31"/>
        <v>72</v>
      </c>
      <c r="Q437">
        <f t="shared" si="32"/>
        <v>23</v>
      </c>
      <c r="R437" s="10">
        <f t="shared" si="33"/>
        <v>30.5</v>
      </c>
      <c r="S437">
        <f t="shared" si="34"/>
        <v>42.4</v>
      </c>
    </row>
    <row r="438" spans="1:1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  <c r="J438" s="19"/>
      <c r="M438" s="7"/>
      <c r="O438">
        <f t="shared" si="30"/>
        <v>140</v>
      </c>
      <c r="P438">
        <f t="shared" si="31"/>
        <v>85</v>
      </c>
      <c r="Q438">
        <f t="shared" si="32"/>
        <v>33</v>
      </c>
      <c r="R438" s="10">
        <f t="shared" si="33"/>
        <v>30.5</v>
      </c>
      <c r="S438">
        <f t="shared" si="34"/>
        <v>37.4</v>
      </c>
    </row>
    <row r="439" spans="1:1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  <c r="J439" s="19"/>
      <c r="M439" s="7"/>
      <c r="O439">
        <f t="shared" si="30"/>
        <v>147</v>
      </c>
      <c r="P439">
        <f t="shared" si="31"/>
        <v>75</v>
      </c>
      <c r="Q439">
        <f t="shared" si="32"/>
        <v>23</v>
      </c>
      <c r="R439" s="10">
        <f t="shared" si="33"/>
        <v>30.5</v>
      </c>
      <c r="S439">
        <f t="shared" si="34"/>
        <v>29.9</v>
      </c>
    </row>
    <row r="440" spans="1:1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  <c r="J440" s="19"/>
      <c r="M440" s="7"/>
      <c r="O440">
        <f t="shared" si="30"/>
        <v>97</v>
      </c>
      <c r="P440">
        <f t="shared" si="31"/>
        <v>70</v>
      </c>
      <c r="Q440">
        <f t="shared" si="32"/>
        <v>15</v>
      </c>
      <c r="R440" s="10">
        <f t="shared" si="33"/>
        <v>30.5</v>
      </c>
      <c r="S440">
        <f t="shared" si="34"/>
        <v>18.2</v>
      </c>
    </row>
    <row r="441" spans="1:1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  <c r="J441" s="19"/>
      <c r="M441" s="7"/>
      <c r="O441">
        <f t="shared" si="30"/>
        <v>107</v>
      </c>
      <c r="P441">
        <f t="shared" si="31"/>
        <v>88</v>
      </c>
      <c r="Q441">
        <f t="shared" si="32"/>
        <v>23</v>
      </c>
      <c r="R441" s="10">
        <f t="shared" si="33"/>
        <v>30.5</v>
      </c>
      <c r="S441">
        <f t="shared" si="34"/>
        <v>36.799999999999997</v>
      </c>
    </row>
    <row r="442" spans="1:1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  <c r="J442" s="19"/>
      <c r="M442" s="7"/>
      <c r="O442">
        <f t="shared" si="30"/>
        <v>189</v>
      </c>
      <c r="P442">
        <f t="shared" si="31"/>
        <v>104</v>
      </c>
      <c r="Q442">
        <f t="shared" si="32"/>
        <v>25</v>
      </c>
      <c r="R442" s="10">
        <f t="shared" si="33"/>
        <v>30.5</v>
      </c>
      <c r="S442">
        <f t="shared" si="34"/>
        <v>34.299999999999997</v>
      </c>
    </row>
    <row r="443" spans="1:1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  <c r="J443" s="19"/>
      <c r="M443" s="7"/>
      <c r="O443">
        <f t="shared" si="30"/>
        <v>83</v>
      </c>
      <c r="P443">
        <f t="shared" si="31"/>
        <v>66</v>
      </c>
      <c r="Q443">
        <f t="shared" si="32"/>
        <v>23</v>
      </c>
      <c r="R443" s="10">
        <f t="shared" si="33"/>
        <v>50</v>
      </c>
      <c r="S443">
        <f t="shared" si="34"/>
        <v>32.200000000000003</v>
      </c>
    </row>
    <row r="444" spans="1:1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  <c r="J444" s="19"/>
      <c r="M444" s="7"/>
      <c r="O444">
        <f t="shared" si="30"/>
        <v>117</v>
      </c>
      <c r="P444">
        <f t="shared" si="31"/>
        <v>64</v>
      </c>
      <c r="Q444">
        <f t="shared" si="32"/>
        <v>27</v>
      </c>
      <c r="R444" s="10">
        <f t="shared" si="33"/>
        <v>120</v>
      </c>
      <c r="S444">
        <f t="shared" si="34"/>
        <v>33.200000000000003</v>
      </c>
    </row>
    <row r="445" spans="1:1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  <c r="J445" s="19"/>
      <c r="M445" s="7"/>
      <c r="O445">
        <f t="shared" si="30"/>
        <v>108</v>
      </c>
      <c r="P445">
        <f t="shared" si="31"/>
        <v>70</v>
      </c>
      <c r="Q445">
        <f t="shared" si="32"/>
        <v>23</v>
      </c>
      <c r="R445" s="10">
        <f t="shared" si="33"/>
        <v>30.5</v>
      </c>
      <c r="S445">
        <f t="shared" si="34"/>
        <v>30.5</v>
      </c>
    </row>
    <row r="446" spans="1:1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  <c r="J446" s="19"/>
      <c r="M446" s="7"/>
      <c r="O446">
        <f t="shared" si="30"/>
        <v>117</v>
      </c>
      <c r="P446">
        <f t="shared" si="31"/>
        <v>62</v>
      </c>
      <c r="Q446">
        <f t="shared" si="32"/>
        <v>12</v>
      </c>
      <c r="R446" s="10">
        <f t="shared" si="33"/>
        <v>30.5</v>
      </c>
      <c r="S446">
        <f t="shared" si="34"/>
        <v>29.7</v>
      </c>
    </row>
    <row r="447" spans="1:1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  <c r="J447" s="19"/>
      <c r="M447" s="7"/>
      <c r="O447">
        <f t="shared" si="30"/>
        <v>180</v>
      </c>
      <c r="P447">
        <f t="shared" si="31"/>
        <v>78</v>
      </c>
      <c r="Q447">
        <f t="shared" si="32"/>
        <v>63</v>
      </c>
      <c r="R447" s="10">
        <f t="shared" si="33"/>
        <v>14</v>
      </c>
      <c r="S447">
        <f t="shared" si="34"/>
        <v>59.4</v>
      </c>
    </row>
    <row r="448" spans="1:1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  <c r="J448" s="19"/>
      <c r="M448" s="7"/>
      <c r="O448">
        <f t="shared" si="30"/>
        <v>100</v>
      </c>
      <c r="P448">
        <f t="shared" si="31"/>
        <v>72</v>
      </c>
      <c r="Q448">
        <f t="shared" si="32"/>
        <v>12</v>
      </c>
      <c r="R448" s="10">
        <f t="shared" si="33"/>
        <v>70</v>
      </c>
      <c r="S448">
        <f t="shared" si="34"/>
        <v>25.3</v>
      </c>
    </row>
    <row r="449" spans="1:1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  <c r="J449" s="19"/>
      <c r="M449" s="7"/>
      <c r="O449">
        <f t="shared" si="30"/>
        <v>95</v>
      </c>
      <c r="P449">
        <f t="shared" si="31"/>
        <v>80</v>
      </c>
      <c r="Q449">
        <f t="shared" si="32"/>
        <v>45</v>
      </c>
      <c r="R449" s="10">
        <f t="shared" si="33"/>
        <v>92</v>
      </c>
      <c r="S449">
        <f t="shared" si="34"/>
        <v>36.5</v>
      </c>
    </row>
    <row r="450" spans="1:1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  <c r="J450" s="19"/>
      <c r="M450" s="7"/>
      <c r="O450">
        <f t="shared" si="30"/>
        <v>104</v>
      </c>
      <c r="P450">
        <f t="shared" si="31"/>
        <v>64</v>
      </c>
      <c r="Q450">
        <f t="shared" si="32"/>
        <v>37</v>
      </c>
      <c r="R450" s="10">
        <f t="shared" si="33"/>
        <v>64</v>
      </c>
      <c r="S450">
        <f t="shared" si="34"/>
        <v>33.6</v>
      </c>
    </row>
    <row r="451" spans="1:1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  <c r="J451" s="19"/>
      <c r="M451" s="7"/>
      <c r="O451">
        <f t="shared" ref="O451:O514" si="35">IF(B451=0,$L$11,B451)</f>
        <v>120</v>
      </c>
      <c r="P451">
        <f t="shared" ref="P451:P514" si="36">IF(C451=0,$L$12,C451)</f>
        <v>74</v>
      </c>
      <c r="Q451">
        <f t="shared" ref="Q451:Q514" si="37">IF(D451=0,$L$13,D451)</f>
        <v>18</v>
      </c>
      <c r="R451" s="10">
        <f t="shared" ref="R451:R514" si="38">IF(E451=0,$L$14,E451)</f>
        <v>63</v>
      </c>
      <c r="S451">
        <f t="shared" ref="S451:S514" si="39">IF(F451=0,$L$15,F451)</f>
        <v>30.5</v>
      </c>
    </row>
    <row r="452" spans="1:1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  <c r="J452" s="19"/>
      <c r="M452" s="7"/>
      <c r="O452">
        <f t="shared" si="35"/>
        <v>82</v>
      </c>
      <c r="P452">
        <f t="shared" si="36"/>
        <v>64</v>
      </c>
      <c r="Q452">
        <f t="shared" si="37"/>
        <v>13</v>
      </c>
      <c r="R452" s="10">
        <f t="shared" si="38"/>
        <v>95</v>
      </c>
      <c r="S452">
        <f t="shared" si="39"/>
        <v>21.2</v>
      </c>
    </row>
    <row r="453" spans="1:1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  <c r="J453" s="19"/>
      <c r="M453" s="7"/>
      <c r="O453">
        <f t="shared" si="35"/>
        <v>134</v>
      </c>
      <c r="P453">
        <f t="shared" si="36"/>
        <v>70</v>
      </c>
      <c r="Q453">
        <f t="shared" si="37"/>
        <v>23</v>
      </c>
      <c r="R453" s="10">
        <f t="shared" si="38"/>
        <v>30.5</v>
      </c>
      <c r="S453">
        <f t="shared" si="39"/>
        <v>28.9</v>
      </c>
    </row>
    <row r="454" spans="1:1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  <c r="J454" s="19"/>
      <c r="M454" s="7"/>
      <c r="O454">
        <f t="shared" si="35"/>
        <v>91</v>
      </c>
      <c r="P454">
        <f t="shared" si="36"/>
        <v>68</v>
      </c>
      <c r="Q454">
        <f t="shared" si="37"/>
        <v>32</v>
      </c>
      <c r="R454" s="10">
        <f t="shared" si="38"/>
        <v>210</v>
      </c>
      <c r="S454">
        <f t="shared" si="39"/>
        <v>39.9</v>
      </c>
    </row>
    <row r="455" spans="1:1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  <c r="J455" s="19"/>
      <c r="M455" s="7"/>
      <c r="O455">
        <f t="shared" si="35"/>
        <v>119</v>
      </c>
      <c r="P455">
        <f t="shared" si="36"/>
        <v>72</v>
      </c>
      <c r="Q455">
        <f t="shared" si="37"/>
        <v>23</v>
      </c>
      <c r="R455" s="10">
        <f t="shared" si="38"/>
        <v>30.5</v>
      </c>
      <c r="S455">
        <f t="shared" si="39"/>
        <v>19.600000000000001</v>
      </c>
    </row>
    <row r="456" spans="1:1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  <c r="J456" s="19"/>
      <c r="M456" s="7"/>
      <c r="O456">
        <f t="shared" si="35"/>
        <v>100</v>
      </c>
      <c r="P456">
        <f t="shared" si="36"/>
        <v>54</v>
      </c>
      <c r="Q456">
        <f t="shared" si="37"/>
        <v>28</v>
      </c>
      <c r="R456" s="10">
        <f t="shared" si="38"/>
        <v>105</v>
      </c>
      <c r="S456">
        <f t="shared" si="39"/>
        <v>37.799999999999997</v>
      </c>
    </row>
    <row r="457" spans="1:1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  <c r="J457" s="19"/>
      <c r="M457" s="7"/>
      <c r="O457">
        <f t="shared" si="35"/>
        <v>175</v>
      </c>
      <c r="P457">
        <f t="shared" si="36"/>
        <v>62</v>
      </c>
      <c r="Q457">
        <f t="shared" si="37"/>
        <v>30</v>
      </c>
      <c r="R457" s="10">
        <f t="shared" si="38"/>
        <v>30.5</v>
      </c>
      <c r="S457">
        <f t="shared" si="39"/>
        <v>33.6</v>
      </c>
    </row>
    <row r="458" spans="1:1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  <c r="J458" s="19"/>
      <c r="M458" s="7"/>
      <c r="O458">
        <f t="shared" si="35"/>
        <v>135</v>
      </c>
      <c r="P458">
        <f t="shared" si="36"/>
        <v>54</v>
      </c>
      <c r="Q458">
        <f t="shared" si="37"/>
        <v>23</v>
      </c>
      <c r="R458" s="10">
        <f t="shared" si="38"/>
        <v>30.5</v>
      </c>
      <c r="S458">
        <f t="shared" si="39"/>
        <v>26.7</v>
      </c>
    </row>
    <row r="459" spans="1:1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  <c r="J459" s="19"/>
      <c r="M459" s="7"/>
      <c r="O459">
        <f t="shared" si="35"/>
        <v>86</v>
      </c>
      <c r="P459">
        <f t="shared" si="36"/>
        <v>68</v>
      </c>
      <c r="Q459">
        <f t="shared" si="37"/>
        <v>28</v>
      </c>
      <c r="R459" s="10">
        <f t="shared" si="38"/>
        <v>71</v>
      </c>
      <c r="S459">
        <f t="shared" si="39"/>
        <v>30.2</v>
      </c>
    </row>
    <row r="460" spans="1:1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  <c r="J460" s="19"/>
      <c r="M460" s="7"/>
      <c r="O460">
        <f t="shared" si="35"/>
        <v>148</v>
      </c>
      <c r="P460">
        <f t="shared" si="36"/>
        <v>84</v>
      </c>
      <c r="Q460">
        <f t="shared" si="37"/>
        <v>48</v>
      </c>
      <c r="R460" s="10">
        <f t="shared" si="38"/>
        <v>237</v>
      </c>
      <c r="S460">
        <f t="shared" si="39"/>
        <v>37.6</v>
      </c>
    </row>
    <row r="461" spans="1:1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  <c r="J461" s="19"/>
      <c r="M461" s="7"/>
      <c r="O461">
        <f t="shared" si="35"/>
        <v>134</v>
      </c>
      <c r="P461">
        <f t="shared" si="36"/>
        <v>74</v>
      </c>
      <c r="Q461">
        <f t="shared" si="37"/>
        <v>33</v>
      </c>
      <c r="R461" s="10">
        <f t="shared" si="38"/>
        <v>60</v>
      </c>
      <c r="S461">
        <f t="shared" si="39"/>
        <v>25.9</v>
      </c>
    </row>
    <row r="462" spans="1:1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  <c r="J462" s="19"/>
      <c r="M462" s="7"/>
      <c r="O462">
        <f t="shared" si="35"/>
        <v>120</v>
      </c>
      <c r="P462">
        <f t="shared" si="36"/>
        <v>72</v>
      </c>
      <c r="Q462">
        <f t="shared" si="37"/>
        <v>22</v>
      </c>
      <c r="R462" s="10">
        <f t="shared" si="38"/>
        <v>56</v>
      </c>
      <c r="S462">
        <f t="shared" si="39"/>
        <v>20.8</v>
      </c>
    </row>
    <row r="463" spans="1:1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  <c r="J463" s="19"/>
      <c r="M463" s="7"/>
      <c r="O463">
        <f t="shared" si="35"/>
        <v>71</v>
      </c>
      <c r="P463">
        <f t="shared" si="36"/>
        <v>62</v>
      </c>
      <c r="Q463">
        <f t="shared" si="37"/>
        <v>23</v>
      </c>
      <c r="R463" s="10">
        <f t="shared" si="38"/>
        <v>30.5</v>
      </c>
      <c r="S463">
        <f t="shared" si="39"/>
        <v>21.8</v>
      </c>
    </row>
    <row r="464" spans="1:1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  <c r="J464" s="19"/>
      <c r="M464" s="7"/>
      <c r="O464">
        <f t="shared" si="35"/>
        <v>74</v>
      </c>
      <c r="P464">
        <f t="shared" si="36"/>
        <v>70</v>
      </c>
      <c r="Q464">
        <f t="shared" si="37"/>
        <v>40</v>
      </c>
      <c r="R464" s="10">
        <f t="shared" si="38"/>
        <v>49</v>
      </c>
      <c r="S464">
        <f t="shared" si="39"/>
        <v>35.299999999999997</v>
      </c>
    </row>
    <row r="465" spans="1:1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  <c r="J465" s="19"/>
      <c r="M465" s="7"/>
      <c r="O465">
        <f t="shared" si="35"/>
        <v>88</v>
      </c>
      <c r="P465">
        <f t="shared" si="36"/>
        <v>78</v>
      </c>
      <c r="Q465">
        <f t="shared" si="37"/>
        <v>30</v>
      </c>
      <c r="R465" s="10">
        <f t="shared" si="38"/>
        <v>30.5</v>
      </c>
      <c r="S465">
        <f t="shared" si="39"/>
        <v>27.6</v>
      </c>
    </row>
    <row r="466" spans="1:1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  <c r="J466" s="19"/>
      <c r="M466" s="7"/>
      <c r="O466">
        <f t="shared" si="35"/>
        <v>115</v>
      </c>
      <c r="P466">
        <f t="shared" si="36"/>
        <v>98</v>
      </c>
      <c r="Q466">
        <f t="shared" si="37"/>
        <v>23</v>
      </c>
      <c r="R466" s="10">
        <f t="shared" si="38"/>
        <v>30.5</v>
      </c>
      <c r="S466">
        <f t="shared" si="39"/>
        <v>24</v>
      </c>
    </row>
    <row r="467" spans="1:1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  <c r="J467" s="19"/>
      <c r="M467" s="7"/>
      <c r="O467">
        <f t="shared" si="35"/>
        <v>124</v>
      </c>
      <c r="P467">
        <f t="shared" si="36"/>
        <v>56</v>
      </c>
      <c r="Q467">
        <f t="shared" si="37"/>
        <v>13</v>
      </c>
      <c r="R467" s="10">
        <f t="shared" si="38"/>
        <v>105</v>
      </c>
      <c r="S467">
        <f t="shared" si="39"/>
        <v>21.8</v>
      </c>
    </row>
    <row r="468" spans="1:1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  <c r="J468" s="19"/>
      <c r="M468" s="7"/>
      <c r="O468">
        <f t="shared" si="35"/>
        <v>74</v>
      </c>
      <c r="P468">
        <f t="shared" si="36"/>
        <v>52</v>
      </c>
      <c r="Q468">
        <f t="shared" si="37"/>
        <v>10</v>
      </c>
      <c r="R468" s="10">
        <f t="shared" si="38"/>
        <v>36</v>
      </c>
      <c r="S468">
        <f t="shared" si="39"/>
        <v>27.8</v>
      </c>
    </row>
    <row r="469" spans="1:1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  <c r="J469" s="19"/>
      <c r="M469" s="7"/>
      <c r="O469">
        <f t="shared" si="35"/>
        <v>97</v>
      </c>
      <c r="P469">
        <f t="shared" si="36"/>
        <v>64</v>
      </c>
      <c r="Q469">
        <f t="shared" si="37"/>
        <v>36</v>
      </c>
      <c r="R469" s="10">
        <f t="shared" si="38"/>
        <v>100</v>
      </c>
      <c r="S469">
        <f t="shared" si="39"/>
        <v>36.799999999999997</v>
      </c>
    </row>
    <row r="470" spans="1:1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  <c r="J470" s="19"/>
      <c r="M470" s="7"/>
      <c r="O470">
        <f t="shared" si="35"/>
        <v>120</v>
      </c>
      <c r="P470">
        <f t="shared" si="36"/>
        <v>72</v>
      </c>
      <c r="Q470">
        <f t="shared" si="37"/>
        <v>23</v>
      </c>
      <c r="R470" s="10">
        <f t="shared" si="38"/>
        <v>30.5</v>
      </c>
      <c r="S470">
        <f t="shared" si="39"/>
        <v>30</v>
      </c>
    </row>
    <row r="471" spans="1:1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  <c r="J471" s="19"/>
      <c r="M471" s="7"/>
      <c r="O471">
        <f t="shared" si="35"/>
        <v>154</v>
      </c>
      <c r="P471">
        <f t="shared" si="36"/>
        <v>78</v>
      </c>
      <c r="Q471">
        <f t="shared" si="37"/>
        <v>41</v>
      </c>
      <c r="R471" s="10">
        <f t="shared" si="38"/>
        <v>140</v>
      </c>
      <c r="S471">
        <f t="shared" si="39"/>
        <v>46.1</v>
      </c>
    </row>
    <row r="472" spans="1:1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  <c r="J472" s="19"/>
      <c r="M472" s="7"/>
      <c r="O472">
        <f t="shared" si="35"/>
        <v>144</v>
      </c>
      <c r="P472">
        <f t="shared" si="36"/>
        <v>82</v>
      </c>
      <c r="Q472">
        <f t="shared" si="37"/>
        <v>40</v>
      </c>
      <c r="R472" s="10">
        <f t="shared" si="38"/>
        <v>30.5</v>
      </c>
      <c r="S472">
        <f t="shared" si="39"/>
        <v>41.3</v>
      </c>
    </row>
    <row r="473" spans="1:1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  <c r="J473" s="19"/>
      <c r="M473" s="7"/>
      <c r="O473">
        <f t="shared" si="35"/>
        <v>137</v>
      </c>
      <c r="P473">
        <f t="shared" si="36"/>
        <v>70</v>
      </c>
      <c r="Q473">
        <f t="shared" si="37"/>
        <v>38</v>
      </c>
      <c r="R473" s="10">
        <f t="shared" si="38"/>
        <v>30.5</v>
      </c>
      <c r="S473">
        <f t="shared" si="39"/>
        <v>33.200000000000003</v>
      </c>
    </row>
    <row r="474" spans="1:1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  <c r="J474" s="19"/>
      <c r="M474" s="7"/>
      <c r="O474">
        <f t="shared" si="35"/>
        <v>119</v>
      </c>
      <c r="P474">
        <f t="shared" si="36"/>
        <v>66</v>
      </c>
      <c r="Q474">
        <f t="shared" si="37"/>
        <v>27</v>
      </c>
      <c r="R474" s="10">
        <f t="shared" si="38"/>
        <v>30.5</v>
      </c>
      <c r="S474">
        <f t="shared" si="39"/>
        <v>38.799999999999997</v>
      </c>
    </row>
    <row r="475" spans="1:1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  <c r="J475" s="19"/>
      <c r="M475" s="7"/>
      <c r="O475">
        <f t="shared" si="35"/>
        <v>136</v>
      </c>
      <c r="P475">
        <f t="shared" si="36"/>
        <v>90</v>
      </c>
      <c r="Q475">
        <f t="shared" si="37"/>
        <v>23</v>
      </c>
      <c r="R475" s="10">
        <f t="shared" si="38"/>
        <v>30.5</v>
      </c>
      <c r="S475">
        <f t="shared" si="39"/>
        <v>29.9</v>
      </c>
    </row>
    <row r="476" spans="1:1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  <c r="J476" s="19"/>
      <c r="M476" s="7"/>
      <c r="O476">
        <f t="shared" si="35"/>
        <v>114</v>
      </c>
      <c r="P476">
        <f t="shared" si="36"/>
        <v>64</v>
      </c>
      <c r="Q476">
        <f t="shared" si="37"/>
        <v>23</v>
      </c>
      <c r="R476" s="10">
        <f t="shared" si="38"/>
        <v>30.5</v>
      </c>
      <c r="S476">
        <f t="shared" si="39"/>
        <v>28.9</v>
      </c>
    </row>
    <row r="477" spans="1:1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  <c r="J477" s="19"/>
      <c r="M477" s="7"/>
      <c r="O477">
        <f t="shared" si="35"/>
        <v>137</v>
      </c>
      <c r="P477">
        <f t="shared" si="36"/>
        <v>84</v>
      </c>
      <c r="Q477">
        <f t="shared" si="37"/>
        <v>27</v>
      </c>
      <c r="R477" s="10">
        <f t="shared" si="38"/>
        <v>30.5</v>
      </c>
      <c r="S477">
        <f t="shared" si="39"/>
        <v>27.3</v>
      </c>
    </row>
    <row r="478" spans="1:1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  <c r="J478" s="19"/>
      <c r="M478" s="7"/>
      <c r="O478">
        <f t="shared" si="35"/>
        <v>105</v>
      </c>
      <c r="P478">
        <f t="shared" si="36"/>
        <v>80</v>
      </c>
      <c r="Q478">
        <f t="shared" si="37"/>
        <v>45</v>
      </c>
      <c r="R478" s="10">
        <f t="shared" si="38"/>
        <v>191</v>
      </c>
      <c r="S478">
        <f t="shared" si="39"/>
        <v>33.700000000000003</v>
      </c>
    </row>
    <row r="479" spans="1:1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  <c r="J479" s="19"/>
      <c r="M479" s="7"/>
      <c r="O479">
        <f t="shared" si="35"/>
        <v>114</v>
      </c>
      <c r="P479">
        <f t="shared" si="36"/>
        <v>76</v>
      </c>
      <c r="Q479">
        <f t="shared" si="37"/>
        <v>17</v>
      </c>
      <c r="R479" s="10">
        <f t="shared" si="38"/>
        <v>110</v>
      </c>
      <c r="S479">
        <f t="shared" si="39"/>
        <v>23.8</v>
      </c>
    </row>
    <row r="480" spans="1:1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  <c r="J480" s="19"/>
      <c r="M480" s="7"/>
      <c r="O480">
        <f t="shared" si="35"/>
        <v>126</v>
      </c>
      <c r="P480">
        <f t="shared" si="36"/>
        <v>74</v>
      </c>
      <c r="Q480">
        <f t="shared" si="37"/>
        <v>38</v>
      </c>
      <c r="R480" s="10">
        <f t="shared" si="38"/>
        <v>75</v>
      </c>
      <c r="S480">
        <f t="shared" si="39"/>
        <v>25.9</v>
      </c>
    </row>
    <row r="481" spans="1:1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  <c r="J481" s="19"/>
      <c r="M481" s="7"/>
      <c r="O481">
        <f t="shared" si="35"/>
        <v>132</v>
      </c>
      <c r="P481">
        <f t="shared" si="36"/>
        <v>86</v>
      </c>
      <c r="Q481">
        <f t="shared" si="37"/>
        <v>31</v>
      </c>
      <c r="R481" s="10">
        <f t="shared" si="38"/>
        <v>30.5</v>
      </c>
      <c r="S481">
        <f t="shared" si="39"/>
        <v>28</v>
      </c>
    </row>
    <row r="482" spans="1:1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  <c r="J482" s="19"/>
      <c r="M482" s="7"/>
      <c r="O482">
        <f t="shared" si="35"/>
        <v>158</v>
      </c>
      <c r="P482">
        <f t="shared" si="36"/>
        <v>70</v>
      </c>
      <c r="Q482">
        <f t="shared" si="37"/>
        <v>30</v>
      </c>
      <c r="R482" s="10">
        <f t="shared" si="38"/>
        <v>328</v>
      </c>
      <c r="S482">
        <f t="shared" si="39"/>
        <v>35.5</v>
      </c>
    </row>
    <row r="483" spans="1:1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  <c r="J483" s="19"/>
      <c r="M483" s="7"/>
      <c r="O483">
        <f t="shared" si="35"/>
        <v>123</v>
      </c>
      <c r="P483">
        <f t="shared" si="36"/>
        <v>88</v>
      </c>
      <c r="Q483">
        <f t="shared" si="37"/>
        <v>37</v>
      </c>
      <c r="R483" s="10">
        <f t="shared" si="38"/>
        <v>30.5</v>
      </c>
      <c r="S483">
        <f t="shared" si="39"/>
        <v>35.200000000000003</v>
      </c>
    </row>
    <row r="484" spans="1:1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  <c r="J484" s="19"/>
      <c r="M484" s="7"/>
      <c r="O484">
        <f t="shared" si="35"/>
        <v>85</v>
      </c>
      <c r="P484">
        <f t="shared" si="36"/>
        <v>58</v>
      </c>
      <c r="Q484">
        <f t="shared" si="37"/>
        <v>22</v>
      </c>
      <c r="R484" s="10">
        <f t="shared" si="38"/>
        <v>49</v>
      </c>
      <c r="S484">
        <f t="shared" si="39"/>
        <v>27.8</v>
      </c>
    </row>
    <row r="485" spans="1:1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  <c r="J485" s="19"/>
      <c r="M485" s="7"/>
      <c r="O485">
        <f t="shared" si="35"/>
        <v>84</v>
      </c>
      <c r="P485">
        <f t="shared" si="36"/>
        <v>82</v>
      </c>
      <c r="Q485">
        <f t="shared" si="37"/>
        <v>31</v>
      </c>
      <c r="R485" s="10">
        <f t="shared" si="38"/>
        <v>125</v>
      </c>
      <c r="S485">
        <f t="shared" si="39"/>
        <v>38.200000000000003</v>
      </c>
    </row>
    <row r="486" spans="1:1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  <c r="J486" s="19"/>
      <c r="M486" s="7"/>
      <c r="O486">
        <f t="shared" si="35"/>
        <v>145</v>
      </c>
      <c r="P486">
        <f t="shared" si="36"/>
        <v>72</v>
      </c>
      <c r="Q486">
        <f t="shared" si="37"/>
        <v>23</v>
      </c>
      <c r="R486" s="10">
        <f t="shared" si="38"/>
        <v>30.5</v>
      </c>
      <c r="S486">
        <f t="shared" si="39"/>
        <v>44.2</v>
      </c>
    </row>
    <row r="487" spans="1:1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  <c r="J487" s="19"/>
      <c r="M487" s="7"/>
      <c r="O487">
        <f t="shared" si="35"/>
        <v>135</v>
      </c>
      <c r="P487">
        <f t="shared" si="36"/>
        <v>68</v>
      </c>
      <c r="Q487">
        <f t="shared" si="37"/>
        <v>42</v>
      </c>
      <c r="R487" s="10">
        <f t="shared" si="38"/>
        <v>250</v>
      </c>
      <c r="S487">
        <f t="shared" si="39"/>
        <v>42.3</v>
      </c>
    </row>
    <row r="488" spans="1:1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  <c r="J488" s="19"/>
      <c r="M488" s="7"/>
      <c r="O488">
        <f t="shared" si="35"/>
        <v>139</v>
      </c>
      <c r="P488">
        <f t="shared" si="36"/>
        <v>62</v>
      </c>
      <c r="Q488">
        <f t="shared" si="37"/>
        <v>41</v>
      </c>
      <c r="R488" s="10">
        <f t="shared" si="38"/>
        <v>480</v>
      </c>
      <c r="S488">
        <f t="shared" si="39"/>
        <v>40.700000000000003</v>
      </c>
    </row>
    <row r="489" spans="1:1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  <c r="J489" s="19"/>
      <c r="M489" s="7"/>
      <c r="O489">
        <f t="shared" si="35"/>
        <v>173</v>
      </c>
      <c r="P489">
        <f t="shared" si="36"/>
        <v>78</v>
      </c>
      <c r="Q489">
        <f t="shared" si="37"/>
        <v>32</v>
      </c>
      <c r="R489" s="10">
        <f t="shared" si="38"/>
        <v>265</v>
      </c>
      <c r="S489">
        <f t="shared" si="39"/>
        <v>46.5</v>
      </c>
    </row>
    <row r="490" spans="1:1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  <c r="J490" s="19"/>
      <c r="M490" s="7"/>
      <c r="O490">
        <f t="shared" si="35"/>
        <v>99</v>
      </c>
      <c r="P490">
        <f t="shared" si="36"/>
        <v>72</v>
      </c>
      <c r="Q490">
        <f t="shared" si="37"/>
        <v>17</v>
      </c>
      <c r="R490" s="10">
        <f t="shared" si="38"/>
        <v>30.5</v>
      </c>
      <c r="S490">
        <f t="shared" si="39"/>
        <v>25.6</v>
      </c>
    </row>
    <row r="491" spans="1:1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  <c r="J491" s="19"/>
      <c r="M491" s="7"/>
      <c r="O491">
        <f t="shared" si="35"/>
        <v>194</v>
      </c>
      <c r="P491">
        <f t="shared" si="36"/>
        <v>80</v>
      </c>
      <c r="Q491">
        <f t="shared" si="37"/>
        <v>23</v>
      </c>
      <c r="R491" s="10">
        <f t="shared" si="38"/>
        <v>30.5</v>
      </c>
      <c r="S491">
        <f t="shared" si="39"/>
        <v>26.1</v>
      </c>
    </row>
    <row r="492" spans="1:1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  <c r="J492" s="19"/>
      <c r="M492" s="7"/>
      <c r="O492">
        <f t="shared" si="35"/>
        <v>83</v>
      </c>
      <c r="P492">
        <f t="shared" si="36"/>
        <v>65</v>
      </c>
      <c r="Q492">
        <f t="shared" si="37"/>
        <v>28</v>
      </c>
      <c r="R492" s="10">
        <f t="shared" si="38"/>
        <v>66</v>
      </c>
      <c r="S492">
        <f t="shared" si="39"/>
        <v>36.799999999999997</v>
      </c>
    </row>
    <row r="493" spans="1:1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  <c r="J493" s="19"/>
      <c r="M493" s="7"/>
      <c r="O493">
        <f t="shared" si="35"/>
        <v>89</v>
      </c>
      <c r="P493">
        <f t="shared" si="36"/>
        <v>90</v>
      </c>
      <c r="Q493">
        <f t="shared" si="37"/>
        <v>30</v>
      </c>
      <c r="R493" s="10">
        <f t="shared" si="38"/>
        <v>30.5</v>
      </c>
      <c r="S493">
        <f t="shared" si="39"/>
        <v>33.5</v>
      </c>
    </row>
    <row r="494" spans="1:1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  <c r="J494" s="19"/>
      <c r="M494" s="7"/>
      <c r="O494">
        <f t="shared" si="35"/>
        <v>99</v>
      </c>
      <c r="P494">
        <f t="shared" si="36"/>
        <v>68</v>
      </c>
      <c r="Q494">
        <f t="shared" si="37"/>
        <v>38</v>
      </c>
      <c r="R494" s="10">
        <f t="shared" si="38"/>
        <v>30.5</v>
      </c>
      <c r="S494">
        <f t="shared" si="39"/>
        <v>32.799999999999997</v>
      </c>
    </row>
    <row r="495" spans="1:1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  <c r="J495" s="19"/>
      <c r="M495" s="7"/>
      <c r="O495">
        <f t="shared" si="35"/>
        <v>125</v>
      </c>
      <c r="P495">
        <f t="shared" si="36"/>
        <v>70</v>
      </c>
      <c r="Q495">
        <f t="shared" si="37"/>
        <v>18</v>
      </c>
      <c r="R495" s="10">
        <f t="shared" si="38"/>
        <v>122</v>
      </c>
      <c r="S495">
        <f t="shared" si="39"/>
        <v>28.9</v>
      </c>
    </row>
    <row r="496" spans="1:1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  <c r="J496" s="19"/>
      <c r="M496" s="7"/>
      <c r="O496">
        <f t="shared" si="35"/>
        <v>80</v>
      </c>
      <c r="P496">
        <f t="shared" si="36"/>
        <v>72</v>
      </c>
      <c r="Q496">
        <f t="shared" si="37"/>
        <v>23</v>
      </c>
      <c r="R496" s="10">
        <f t="shared" si="38"/>
        <v>30.5</v>
      </c>
      <c r="S496">
        <f t="shared" si="39"/>
        <v>32</v>
      </c>
    </row>
    <row r="497" spans="1:1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  <c r="J497" s="19"/>
      <c r="M497" s="7"/>
      <c r="O497">
        <f t="shared" si="35"/>
        <v>166</v>
      </c>
      <c r="P497">
        <f t="shared" si="36"/>
        <v>74</v>
      </c>
      <c r="Q497">
        <f t="shared" si="37"/>
        <v>23</v>
      </c>
      <c r="R497" s="10">
        <f t="shared" si="38"/>
        <v>30.5</v>
      </c>
      <c r="S497">
        <f t="shared" si="39"/>
        <v>26.6</v>
      </c>
    </row>
    <row r="498" spans="1:1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  <c r="J498" s="19"/>
      <c r="M498" s="7"/>
      <c r="O498">
        <f t="shared" si="35"/>
        <v>110</v>
      </c>
      <c r="P498">
        <f t="shared" si="36"/>
        <v>68</v>
      </c>
      <c r="Q498">
        <f t="shared" si="37"/>
        <v>23</v>
      </c>
      <c r="R498" s="10">
        <f t="shared" si="38"/>
        <v>30.5</v>
      </c>
      <c r="S498">
        <f t="shared" si="39"/>
        <v>26</v>
      </c>
    </row>
    <row r="499" spans="1:1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  <c r="J499" s="19"/>
      <c r="M499" s="7"/>
      <c r="O499">
        <f t="shared" si="35"/>
        <v>81</v>
      </c>
      <c r="P499">
        <f t="shared" si="36"/>
        <v>72</v>
      </c>
      <c r="Q499">
        <f t="shared" si="37"/>
        <v>15</v>
      </c>
      <c r="R499" s="10">
        <f t="shared" si="38"/>
        <v>76</v>
      </c>
      <c r="S499">
        <f t="shared" si="39"/>
        <v>30.1</v>
      </c>
    </row>
    <row r="500" spans="1:1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  <c r="J500" s="19"/>
      <c r="M500" s="7"/>
      <c r="O500">
        <f t="shared" si="35"/>
        <v>195</v>
      </c>
      <c r="P500">
        <f t="shared" si="36"/>
        <v>70</v>
      </c>
      <c r="Q500">
        <f t="shared" si="37"/>
        <v>33</v>
      </c>
      <c r="R500" s="10">
        <f t="shared" si="38"/>
        <v>145</v>
      </c>
      <c r="S500">
        <f t="shared" si="39"/>
        <v>25.1</v>
      </c>
    </row>
    <row r="501" spans="1:1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  <c r="J501" s="19"/>
      <c r="M501" s="7"/>
      <c r="O501">
        <f t="shared" si="35"/>
        <v>154</v>
      </c>
      <c r="P501">
        <f t="shared" si="36"/>
        <v>74</v>
      </c>
      <c r="Q501">
        <f t="shared" si="37"/>
        <v>32</v>
      </c>
      <c r="R501" s="10">
        <f t="shared" si="38"/>
        <v>193</v>
      </c>
      <c r="S501">
        <f t="shared" si="39"/>
        <v>29.3</v>
      </c>
    </row>
    <row r="502" spans="1:1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  <c r="J502" s="19"/>
      <c r="M502" s="7"/>
      <c r="O502">
        <f t="shared" si="35"/>
        <v>117</v>
      </c>
      <c r="P502">
        <f t="shared" si="36"/>
        <v>90</v>
      </c>
      <c r="Q502">
        <f t="shared" si="37"/>
        <v>19</v>
      </c>
      <c r="R502" s="10">
        <f t="shared" si="38"/>
        <v>71</v>
      </c>
      <c r="S502">
        <f t="shared" si="39"/>
        <v>25.2</v>
      </c>
    </row>
    <row r="503" spans="1:1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  <c r="J503" s="19"/>
      <c r="M503" s="7"/>
      <c r="O503">
        <f t="shared" si="35"/>
        <v>84</v>
      </c>
      <c r="P503">
        <f t="shared" si="36"/>
        <v>72</v>
      </c>
      <c r="Q503">
        <f t="shared" si="37"/>
        <v>32</v>
      </c>
      <c r="R503" s="10">
        <f t="shared" si="38"/>
        <v>30.5</v>
      </c>
      <c r="S503">
        <f t="shared" si="39"/>
        <v>37.200000000000003</v>
      </c>
    </row>
    <row r="504" spans="1:1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  <c r="J504" s="19"/>
      <c r="M504" s="7"/>
      <c r="O504">
        <f t="shared" si="35"/>
        <v>117</v>
      </c>
      <c r="P504">
        <f t="shared" si="36"/>
        <v>68</v>
      </c>
      <c r="Q504">
        <f t="shared" si="37"/>
        <v>41</v>
      </c>
      <c r="R504" s="10">
        <f t="shared" si="38"/>
        <v>30.5</v>
      </c>
      <c r="S504">
        <f t="shared" si="39"/>
        <v>39</v>
      </c>
    </row>
    <row r="505" spans="1:1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  <c r="J505" s="19"/>
      <c r="M505" s="7"/>
      <c r="O505">
        <f t="shared" si="35"/>
        <v>94</v>
      </c>
      <c r="P505">
        <f t="shared" si="36"/>
        <v>64</v>
      </c>
      <c r="Q505">
        <f t="shared" si="37"/>
        <v>25</v>
      </c>
      <c r="R505" s="10">
        <f t="shared" si="38"/>
        <v>79</v>
      </c>
      <c r="S505">
        <f t="shared" si="39"/>
        <v>33.299999999999997</v>
      </c>
    </row>
    <row r="506" spans="1:1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  <c r="J506" s="19"/>
      <c r="M506" s="7"/>
      <c r="O506">
        <f t="shared" si="35"/>
        <v>96</v>
      </c>
      <c r="P506">
        <f t="shared" si="36"/>
        <v>78</v>
      </c>
      <c r="Q506">
        <f t="shared" si="37"/>
        <v>39</v>
      </c>
      <c r="R506" s="10">
        <f t="shared" si="38"/>
        <v>30.5</v>
      </c>
      <c r="S506">
        <f t="shared" si="39"/>
        <v>37.299999999999997</v>
      </c>
    </row>
    <row r="507" spans="1:1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  <c r="J507" s="19"/>
      <c r="M507" s="7"/>
      <c r="O507">
        <f t="shared" si="35"/>
        <v>75</v>
      </c>
      <c r="P507">
        <f t="shared" si="36"/>
        <v>82</v>
      </c>
      <c r="Q507">
        <f t="shared" si="37"/>
        <v>23</v>
      </c>
      <c r="R507" s="10">
        <f t="shared" si="38"/>
        <v>30.5</v>
      </c>
      <c r="S507">
        <f t="shared" si="39"/>
        <v>33.299999999999997</v>
      </c>
    </row>
    <row r="508" spans="1:1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  <c r="J508" s="19"/>
      <c r="M508" s="7"/>
      <c r="O508">
        <f t="shared" si="35"/>
        <v>180</v>
      </c>
      <c r="P508">
        <f t="shared" si="36"/>
        <v>90</v>
      </c>
      <c r="Q508">
        <f t="shared" si="37"/>
        <v>26</v>
      </c>
      <c r="R508" s="10">
        <f t="shared" si="38"/>
        <v>90</v>
      </c>
      <c r="S508">
        <f t="shared" si="39"/>
        <v>36.5</v>
      </c>
    </row>
    <row r="509" spans="1:1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  <c r="J509" s="19"/>
      <c r="M509" s="7"/>
      <c r="O509">
        <f t="shared" si="35"/>
        <v>130</v>
      </c>
      <c r="P509">
        <f t="shared" si="36"/>
        <v>60</v>
      </c>
      <c r="Q509">
        <f t="shared" si="37"/>
        <v>23</v>
      </c>
      <c r="R509" s="10">
        <f t="shared" si="38"/>
        <v>170</v>
      </c>
      <c r="S509">
        <f t="shared" si="39"/>
        <v>28.6</v>
      </c>
    </row>
    <row r="510" spans="1:1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  <c r="J510" s="19"/>
      <c r="M510" s="7"/>
      <c r="O510">
        <f t="shared" si="35"/>
        <v>84</v>
      </c>
      <c r="P510">
        <f t="shared" si="36"/>
        <v>50</v>
      </c>
      <c r="Q510">
        <f t="shared" si="37"/>
        <v>23</v>
      </c>
      <c r="R510" s="10">
        <f t="shared" si="38"/>
        <v>76</v>
      </c>
      <c r="S510">
        <f t="shared" si="39"/>
        <v>30.4</v>
      </c>
    </row>
    <row r="511" spans="1:1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  <c r="J511" s="19"/>
      <c r="M511" s="7"/>
      <c r="O511">
        <f t="shared" si="35"/>
        <v>120</v>
      </c>
      <c r="P511">
        <f t="shared" si="36"/>
        <v>78</v>
      </c>
      <c r="Q511">
        <f t="shared" si="37"/>
        <v>23</v>
      </c>
      <c r="R511" s="10">
        <f t="shared" si="38"/>
        <v>30.5</v>
      </c>
      <c r="S511">
        <f t="shared" si="39"/>
        <v>25</v>
      </c>
    </row>
    <row r="512" spans="1:1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  <c r="J512" s="19"/>
      <c r="M512" s="7"/>
      <c r="O512">
        <f t="shared" si="35"/>
        <v>84</v>
      </c>
      <c r="P512">
        <f t="shared" si="36"/>
        <v>72</v>
      </c>
      <c r="Q512">
        <f t="shared" si="37"/>
        <v>31</v>
      </c>
      <c r="R512" s="10">
        <f t="shared" si="38"/>
        <v>30.5</v>
      </c>
      <c r="S512">
        <f t="shared" si="39"/>
        <v>29.7</v>
      </c>
    </row>
    <row r="513" spans="1:1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  <c r="J513" s="19"/>
      <c r="M513" s="7"/>
      <c r="O513">
        <f t="shared" si="35"/>
        <v>139</v>
      </c>
      <c r="P513">
        <f t="shared" si="36"/>
        <v>62</v>
      </c>
      <c r="Q513">
        <f t="shared" si="37"/>
        <v>17</v>
      </c>
      <c r="R513" s="10">
        <f t="shared" si="38"/>
        <v>210</v>
      </c>
      <c r="S513">
        <f t="shared" si="39"/>
        <v>22.1</v>
      </c>
    </row>
    <row r="514" spans="1:1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  <c r="J514" s="19"/>
      <c r="M514" s="7"/>
      <c r="O514">
        <f t="shared" si="35"/>
        <v>91</v>
      </c>
      <c r="P514">
        <f t="shared" si="36"/>
        <v>68</v>
      </c>
      <c r="Q514">
        <f t="shared" si="37"/>
        <v>23</v>
      </c>
      <c r="R514" s="10">
        <f t="shared" si="38"/>
        <v>30.5</v>
      </c>
      <c r="S514">
        <f t="shared" si="39"/>
        <v>24.2</v>
      </c>
    </row>
    <row r="515" spans="1:1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  <c r="J515" s="19"/>
      <c r="M515" s="7"/>
      <c r="O515">
        <f t="shared" ref="O515:O578" si="40">IF(B515=0,$L$11,B515)</f>
        <v>91</v>
      </c>
      <c r="P515">
        <f t="shared" ref="P515:P578" si="41">IF(C515=0,$L$12,C515)</f>
        <v>62</v>
      </c>
      <c r="Q515">
        <f t="shared" ref="Q515:Q578" si="42">IF(D515=0,$L$13,D515)</f>
        <v>23</v>
      </c>
      <c r="R515" s="10">
        <f t="shared" ref="R515:R578" si="43">IF(E515=0,$L$14,E515)</f>
        <v>30.5</v>
      </c>
      <c r="S515">
        <f t="shared" ref="S515:S578" si="44">IF(F515=0,$L$15,F515)</f>
        <v>27.3</v>
      </c>
    </row>
    <row r="516" spans="1:1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  <c r="J516" s="19"/>
      <c r="M516" s="7"/>
      <c r="O516">
        <f t="shared" si="40"/>
        <v>99</v>
      </c>
      <c r="P516">
        <f t="shared" si="41"/>
        <v>54</v>
      </c>
      <c r="Q516">
        <f t="shared" si="42"/>
        <v>19</v>
      </c>
      <c r="R516" s="10">
        <f t="shared" si="43"/>
        <v>86</v>
      </c>
      <c r="S516">
        <f t="shared" si="44"/>
        <v>25.6</v>
      </c>
    </row>
    <row r="517" spans="1:1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  <c r="J517" s="19"/>
      <c r="M517" s="7"/>
      <c r="O517">
        <f t="shared" si="40"/>
        <v>163</v>
      </c>
      <c r="P517">
        <f t="shared" si="41"/>
        <v>70</v>
      </c>
      <c r="Q517">
        <f t="shared" si="42"/>
        <v>18</v>
      </c>
      <c r="R517" s="10">
        <f t="shared" si="43"/>
        <v>105</v>
      </c>
      <c r="S517">
        <f t="shared" si="44"/>
        <v>31.6</v>
      </c>
    </row>
    <row r="518" spans="1:1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  <c r="J518" s="19"/>
      <c r="M518" s="7"/>
      <c r="O518">
        <f t="shared" si="40"/>
        <v>145</v>
      </c>
      <c r="P518">
        <f t="shared" si="41"/>
        <v>88</v>
      </c>
      <c r="Q518">
        <f t="shared" si="42"/>
        <v>34</v>
      </c>
      <c r="R518" s="10">
        <f t="shared" si="43"/>
        <v>165</v>
      </c>
      <c r="S518">
        <f t="shared" si="44"/>
        <v>30.3</v>
      </c>
    </row>
    <row r="519" spans="1:1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  <c r="J519" s="19"/>
      <c r="M519" s="7"/>
      <c r="O519">
        <f t="shared" si="40"/>
        <v>125</v>
      </c>
      <c r="P519">
        <f t="shared" si="41"/>
        <v>86</v>
      </c>
      <c r="Q519">
        <f t="shared" si="42"/>
        <v>23</v>
      </c>
      <c r="R519" s="10">
        <f t="shared" si="43"/>
        <v>30.5</v>
      </c>
      <c r="S519">
        <f t="shared" si="44"/>
        <v>37.6</v>
      </c>
    </row>
    <row r="520" spans="1:1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  <c r="J520" s="19"/>
      <c r="M520" s="7"/>
      <c r="O520">
        <f t="shared" si="40"/>
        <v>76</v>
      </c>
      <c r="P520">
        <f t="shared" si="41"/>
        <v>60</v>
      </c>
      <c r="Q520">
        <f t="shared" si="42"/>
        <v>23</v>
      </c>
      <c r="R520" s="10">
        <f t="shared" si="43"/>
        <v>30.5</v>
      </c>
      <c r="S520">
        <f t="shared" si="44"/>
        <v>32.799999999999997</v>
      </c>
    </row>
    <row r="521" spans="1:1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  <c r="J521" s="19"/>
      <c r="M521" s="7"/>
      <c r="O521">
        <f t="shared" si="40"/>
        <v>129</v>
      </c>
      <c r="P521">
        <f t="shared" si="41"/>
        <v>90</v>
      </c>
      <c r="Q521">
        <f t="shared" si="42"/>
        <v>7</v>
      </c>
      <c r="R521" s="10">
        <f t="shared" si="43"/>
        <v>326</v>
      </c>
      <c r="S521">
        <f t="shared" si="44"/>
        <v>19.600000000000001</v>
      </c>
    </row>
    <row r="522" spans="1:1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  <c r="J522" s="19"/>
      <c r="M522" s="7"/>
      <c r="O522">
        <f t="shared" si="40"/>
        <v>68</v>
      </c>
      <c r="P522">
        <f t="shared" si="41"/>
        <v>70</v>
      </c>
      <c r="Q522">
        <f t="shared" si="42"/>
        <v>32</v>
      </c>
      <c r="R522" s="10">
        <f t="shared" si="43"/>
        <v>66</v>
      </c>
      <c r="S522">
        <f t="shared" si="44"/>
        <v>25</v>
      </c>
    </row>
    <row r="523" spans="1:1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  <c r="J523" s="19"/>
      <c r="M523" s="7"/>
      <c r="O523">
        <f t="shared" si="40"/>
        <v>124</v>
      </c>
      <c r="P523">
        <f t="shared" si="41"/>
        <v>80</v>
      </c>
      <c r="Q523">
        <f t="shared" si="42"/>
        <v>33</v>
      </c>
      <c r="R523" s="10">
        <f t="shared" si="43"/>
        <v>130</v>
      </c>
      <c r="S523">
        <f t="shared" si="44"/>
        <v>33.200000000000003</v>
      </c>
    </row>
    <row r="524" spans="1:1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  <c r="J524" s="19"/>
      <c r="M524" s="7"/>
      <c r="O524">
        <f t="shared" si="40"/>
        <v>114</v>
      </c>
      <c r="P524">
        <f t="shared" si="41"/>
        <v>72</v>
      </c>
      <c r="Q524">
        <f t="shared" si="42"/>
        <v>23</v>
      </c>
      <c r="R524" s="10">
        <f t="shared" si="43"/>
        <v>30.5</v>
      </c>
      <c r="S524">
        <f t="shared" si="44"/>
        <v>32</v>
      </c>
    </row>
    <row r="525" spans="1:1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  <c r="J525" s="19"/>
      <c r="M525" s="7"/>
      <c r="O525">
        <f t="shared" si="40"/>
        <v>130</v>
      </c>
      <c r="P525">
        <f t="shared" si="41"/>
        <v>70</v>
      </c>
      <c r="Q525">
        <f t="shared" si="42"/>
        <v>23</v>
      </c>
      <c r="R525" s="10">
        <f t="shared" si="43"/>
        <v>30.5</v>
      </c>
      <c r="S525">
        <f t="shared" si="44"/>
        <v>34.200000000000003</v>
      </c>
    </row>
    <row r="526" spans="1:1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  <c r="J526" s="19"/>
      <c r="M526" s="7"/>
      <c r="O526">
        <f t="shared" si="40"/>
        <v>125</v>
      </c>
      <c r="P526">
        <f t="shared" si="41"/>
        <v>58</v>
      </c>
      <c r="Q526">
        <f t="shared" si="42"/>
        <v>23</v>
      </c>
      <c r="R526" s="10">
        <f t="shared" si="43"/>
        <v>30.5</v>
      </c>
      <c r="S526">
        <f t="shared" si="44"/>
        <v>31.6</v>
      </c>
    </row>
    <row r="527" spans="1:1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  <c r="J527" s="19"/>
      <c r="M527" s="7"/>
      <c r="O527">
        <f t="shared" si="40"/>
        <v>87</v>
      </c>
      <c r="P527">
        <f t="shared" si="41"/>
        <v>60</v>
      </c>
      <c r="Q527">
        <f t="shared" si="42"/>
        <v>18</v>
      </c>
      <c r="R527" s="10">
        <f t="shared" si="43"/>
        <v>30.5</v>
      </c>
      <c r="S527">
        <f t="shared" si="44"/>
        <v>21.8</v>
      </c>
    </row>
    <row r="528" spans="1:1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  <c r="J528" s="19"/>
      <c r="M528" s="7"/>
      <c r="O528">
        <f t="shared" si="40"/>
        <v>97</v>
      </c>
      <c r="P528">
        <f t="shared" si="41"/>
        <v>64</v>
      </c>
      <c r="Q528">
        <f t="shared" si="42"/>
        <v>19</v>
      </c>
      <c r="R528" s="10">
        <f t="shared" si="43"/>
        <v>82</v>
      </c>
      <c r="S528">
        <f t="shared" si="44"/>
        <v>18.2</v>
      </c>
    </row>
    <row r="529" spans="1:1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  <c r="J529" s="19"/>
      <c r="M529" s="7"/>
      <c r="O529">
        <f t="shared" si="40"/>
        <v>116</v>
      </c>
      <c r="P529">
        <f t="shared" si="41"/>
        <v>74</v>
      </c>
      <c r="Q529">
        <f t="shared" si="42"/>
        <v>15</v>
      </c>
      <c r="R529" s="10">
        <f t="shared" si="43"/>
        <v>105</v>
      </c>
      <c r="S529">
        <f t="shared" si="44"/>
        <v>26.3</v>
      </c>
    </row>
    <row r="530" spans="1:1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  <c r="J530" s="19"/>
      <c r="M530" s="7"/>
      <c r="O530">
        <f t="shared" si="40"/>
        <v>117</v>
      </c>
      <c r="P530">
        <f t="shared" si="41"/>
        <v>66</v>
      </c>
      <c r="Q530">
        <f t="shared" si="42"/>
        <v>31</v>
      </c>
      <c r="R530" s="10">
        <f t="shared" si="43"/>
        <v>188</v>
      </c>
      <c r="S530">
        <f t="shared" si="44"/>
        <v>30.8</v>
      </c>
    </row>
    <row r="531" spans="1:1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  <c r="J531" s="19"/>
      <c r="M531" s="7"/>
      <c r="O531">
        <f t="shared" si="40"/>
        <v>111</v>
      </c>
      <c r="P531">
        <f t="shared" si="41"/>
        <v>65</v>
      </c>
      <c r="Q531">
        <f t="shared" si="42"/>
        <v>23</v>
      </c>
      <c r="R531" s="10">
        <f t="shared" si="43"/>
        <v>30.5</v>
      </c>
      <c r="S531">
        <f t="shared" si="44"/>
        <v>24.6</v>
      </c>
    </row>
    <row r="532" spans="1:1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  <c r="J532" s="19"/>
      <c r="M532" s="7"/>
      <c r="O532">
        <f t="shared" si="40"/>
        <v>122</v>
      </c>
      <c r="P532">
        <f t="shared" si="41"/>
        <v>60</v>
      </c>
      <c r="Q532">
        <f t="shared" si="42"/>
        <v>18</v>
      </c>
      <c r="R532" s="10">
        <f t="shared" si="43"/>
        <v>106</v>
      </c>
      <c r="S532">
        <f t="shared" si="44"/>
        <v>29.8</v>
      </c>
    </row>
    <row r="533" spans="1:1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  <c r="J533" s="19"/>
      <c r="M533" s="7"/>
      <c r="O533">
        <f t="shared" si="40"/>
        <v>107</v>
      </c>
      <c r="P533">
        <f t="shared" si="41"/>
        <v>76</v>
      </c>
      <c r="Q533">
        <f t="shared" si="42"/>
        <v>23</v>
      </c>
      <c r="R533" s="10">
        <f t="shared" si="43"/>
        <v>30.5</v>
      </c>
      <c r="S533">
        <f t="shared" si="44"/>
        <v>45.3</v>
      </c>
    </row>
    <row r="534" spans="1:1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  <c r="J534" s="19"/>
      <c r="M534" s="7"/>
      <c r="O534">
        <f t="shared" si="40"/>
        <v>86</v>
      </c>
      <c r="P534">
        <f t="shared" si="41"/>
        <v>66</v>
      </c>
      <c r="Q534">
        <f t="shared" si="42"/>
        <v>52</v>
      </c>
      <c r="R534" s="10">
        <f t="shared" si="43"/>
        <v>65</v>
      </c>
      <c r="S534">
        <f t="shared" si="44"/>
        <v>41.3</v>
      </c>
    </row>
    <row r="535" spans="1:1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  <c r="J535" s="19"/>
      <c r="M535" s="7"/>
      <c r="O535">
        <f t="shared" si="40"/>
        <v>91</v>
      </c>
      <c r="P535">
        <f t="shared" si="41"/>
        <v>72</v>
      </c>
      <c r="Q535">
        <f t="shared" si="42"/>
        <v>23</v>
      </c>
      <c r="R535" s="10">
        <f t="shared" si="43"/>
        <v>30.5</v>
      </c>
      <c r="S535">
        <f t="shared" si="44"/>
        <v>29.8</v>
      </c>
    </row>
    <row r="536" spans="1:1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  <c r="J536" s="19"/>
      <c r="M536" s="7"/>
      <c r="O536">
        <f t="shared" si="40"/>
        <v>77</v>
      </c>
      <c r="P536">
        <f t="shared" si="41"/>
        <v>56</v>
      </c>
      <c r="Q536">
        <f t="shared" si="42"/>
        <v>30</v>
      </c>
      <c r="R536" s="10">
        <f t="shared" si="43"/>
        <v>56</v>
      </c>
      <c r="S536">
        <f t="shared" si="44"/>
        <v>33.299999999999997</v>
      </c>
    </row>
    <row r="537" spans="1:1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  <c r="J537" s="19"/>
      <c r="M537" s="7"/>
      <c r="O537">
        <f t="shared" si="40"/>
        <v>132</v>
      </c>
      <c r="P537">
        <f t="shared" si="41"/>
        <v>72</v>
      </c>
      <c r="Q537">
        <f t="shared" si="42"/>
        <v>23</v>
      </c>
      <c r="R537" s="10">
        <f t="shared" si="43"/>
        <v>30.5</v>
      </c>
      <c r="S537">
        <f t="shared" si="44"/>
        <v>32.9</v>
      </c>
    </row>
    <row r="538" spans="1:1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  <c r="J538" s="19"/>
      <c r="M538" s="7"/>
      <c r="O538">
        <f t="shared" si="40"/>
        <v>105</v>
      </c>
      <c r="P538">
        <f t="shared" si="41"/>
        <v>90</v>
      </c>
      <c r="Q538">
        <f t="shared" si="42"/>
        <v>23</v>
      </c>
      <c r="R538" s="10">
        <f t="shared" si="43"/>
        <v>30.5</v>
      </c>
      <c r="S538">
        <f t="shared" si="44"/>
        <v>29.6</v>
      </c>
    </row>
    <row r="539" spans="1:1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  <c r="J539" s="19"/>
      <c r="M539" s="7"/>
      <c r="O539">
        <f t="shared" si="40"/>
        <v>57</v>
      </c>
      <c r="P539">
        <f t="shared" si="41"/>
        <v>60</v>
      </c>
      <c r="Q539">
        <f t="shared" si="42"/>
        <v>23</v>
      </c>
      <c r="R539" s="10">
        <f t="shared" si="43"/>
        <v>30.5</v>
      </c>
      <c r="S539">
        <f t="shared" si="44"/>
        <v>21.7</v>
      </c>
    </row>
    <row r="540" spans="1:1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  <c r="J540" s="19"/>
      <c r="M540" s="7"/>
      <c r="O540">
        <f t="shared" si="40"/>
        <v>127</v>
      </c>
      <c r="P540">
        <f t="shared" si="41"/>
        <v>80</v>
      </c>
      <c r="Q540">
        <f t="shared" si="42"/>
        <v>37</v>
      </c>
      <c r="R540" s="10">
        <f t="shared" si="43"/>
        <v>210</v>
      </c>
      <c r="S540">
        <f t="shared" si="44"/>
        <v>36.299999999999997</v>
      </c>
    </row>
    <row r="541" spans="1:1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  <c r="J541" s="19"/>
      <c r="M541" s="7"/>
      <c r="O541">
        <f t="shared" si="40"/>
        <v>129</v>
      </c>
      <c r="P541">
        <f t="shared" si="41"/>
        <v>92</v>
      </c>
      <c r="Q541">
        <f t="shared" si="42"/>
        <v>49</v>
      </c>
      <c r="R541" s="10">
        <f t="shared" si="43"/>
        <v>155</v>
      </c>
      <c r="S541">
        <f t="shared" si="44"/>
        <v>36.4</v>
      </c>
    </row>
    <row r="542" spans="1:1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  <c r="J542" s="19"/>
      <c r="M542" s="7"/>
      <c r="O542">
        <f t="shared" si="40"/>
        <v>100</v>
      </c>
      <c r="P542">
        <f t="shared" si="41"/>
        <v>74</v>
      </c>
      <c r="Q542">
        <f t="shared" si="42"/>
        <v>40</v>
      </c>
      <c r="R542" s="10">
        <f t="shared" si="43"/>
        <v>215</v>
      </c>
      <c r="S542">
        <f t="shared" si="44"/>
        <v>39.4</v>
      </c>
    </row>
    <row r="543" spans="1:1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  <c r="J543" s="19"/>
      <c r="M543" s="7"/>
      <c r="O543">
        <f t="shared" si="40"/>
        <v>128</v>
      </c>
      <c r="P543">
        <f t="shared" si="41"/>
        <v>72</v>
      </c>
      <c r="Q543">
        <f t="shared" si="42"/>
        <v>25</v>
      </c>
      <c r="R543" s="10">
        <f t="shared" si="43"/>
        <v>190</v>
      </c>
      <c r="S543">
        <f t="shared" si="44"/>
        <v>32.4</v>
      </c>
    </row>
    <row r="544" spans="1:1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  <c r="J544" s="19"/>
      <c r="M544" s="7"/>
      <c r="O544">
        <f t="shared" si="40"/>
        <v>90</v>
      </c>
      <c r="P544">
        <f t="shared" si="41"/>
        <v>85</v>
      </c>
      <c r="Q544">
        <f t="shared" si="42"/>
        <v>32</v>
      </c>
      <c r="R544" s="10">
        <f t="shared" si="43"/>
        <v>30.5</v>
      </c>
      <c r="S544">
        <f t="shared" si="44"/>
        <v>34.9</v>
      </c>
    </row>
    <row r="545" spans="1:1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  <c r="J545" s="19"/>
      <c r="M545" s="7"/>
      <c r="O545">
        <f t="shared" si="40"/>
        <v>84</v>
      </c>
      <c r="P545">
        <f t="shared" si="41"/>
        <v>90</v>
      </c>
      <c r="Q545">
        <f t="shared" si="42"/>
        <v>23</v>
      </c>
      <c r="R545" s="10">
        <f t="shared" si="43"/>
        <v>56</v>
      </c>
      <c r="S545">
        <f t="shared" si="44"/>
        <v>39.5</v>
      </c>
    </row>
    <row r="546" spans="1:1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  <c r="J546" s="19"/>
      <c r="M546" s="7"/>
      <c r="O546">
        <f t="shared" si="40"/>
        <v>88</v>
      </c>
      <c r="P546">
        <f t="shared" si="41"/>
        <v>78</v>
      </c>
      <c r="Q546">
        <f t="shared" si="42"/>
        <v>29</v>
      </c>
      <c r="R546" s="10">
        <f t="shared" si="43"/>
        <v>76</v>
      </c>
      <c r="S546">
        <f t="shared" si="44"/>
        <v>32</v>
      </c>
    </row>
    <row r="547" spans="1:1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  <c r="J547" s="19"/>
      <c r="M547" s="7"/>
      <c r="O547">
        <f t="shared" si="40"/>
        <v>186</v>
      </c>
      <c r="P547">
        <f t="shared" si="41"/>
        <v>90</v>
      </c>
      <c r="Q547">
        <f t="shared" si="42"/>
        <v>35</v>
      </c>
      <c r="R547" s="10">
        <f t="shared" si="43"/>
        <v>225</v>
      </c>
      <c r="S547">
        <f t="shared" si="44"/>
        <v>34.5</v>
      </c>
    </row>
    <row r="548" spans="1:1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  <c r="J548" s="19"/>
      <c r="M548" s="7"/>
      <c r="O548">
        <f t="shared" si="40"/>
        <v>187</v>
      </c>
      <c r="P548">
        <f t="shared" si="41"/>
        <v>76</v>
      </c>
      <c r="Q548">
        <f t="shared" si="42"/>
        <v>27</v>
      </c>
      <c r="R548" s="10">
        <f t="shared" si="43"/>
        <v>207</v>
      </c>
      <c r="S548">
        <f t="shared" si="44"/>
        <v>43.6</v>
      </c>
    </row>
    <row r="549" spans="1:1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  <c r="J549" s="19"/>
      <c r="M549" s="7"/>
      <c r="O549">
        <f t="shared" si="40"/>
        <v>131</v>
      </c>
      <c r="P549">
        <f t="shared" si="41"/>
        <v>68</v>
      </c>
      <c r="Q549">
        <f t="shared" si="42"/>
        <v>21</v>
      </c>
      <c r="R549" s="10">
        <f t="shared" si="43"/>
        <v>166</v>
      </c>
      <c r="S549">
        <f t="shared" si="44"/>
        <v>33.1</v>
      </c>
    </row>
    <row r="550" spans="1:1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  <c r="J550" s="19"/>
      <c r="M550" s="7"/>
      <c r="O550">
        <f t="shared" si="40"/>
        <v>164</v>
      </c>
      <c r="P550">
        <f t="shared" si="41"/>
        <v>82</v>
      </c>
      <c r="Q550">
        <f t="shared" si="42"/>
        <v>43</v>
      </c>
      <c r="R550" s="10">
        <f t="shared" si="43"/>
        <v>67</v>
      </c>
      <c r="S550">
        <f t="shared" si="44"/>
        <v>32.799999999999997</v>
      </c>
    </row>
    <row r="551" spans="1:1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  <c r="J551" s="19"/>
      <c r="M551" s="7"/>
      <c r="O551">
        <f t="shared" si="40"/>
        <v>189</v>
      </c>
      <c r="P551">
        <f t="shared" si="41"/>
        <v>110</v>
      </c>
      <c r="Q551">
        <f t="shared" si="42"/>
        <v>31</v>
      </c>
      <c r="R551" s="10">
        <f t="shared" si="43"/>
        <v>30.5</v>
      </c>
      <c r="S551">
        <f t="shared" si="44"/>
        <v>28.5</v>
      </c>
    </row>
    <row r="552" spans="1:1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  <c r="J552" s="19"/>
      <c r="M552" s="7"/>
      <c r="O552">
        <f t="shared" si="40"/>
        <v>116</v>
      </c>
      <c r="P552">
        <f t="shared" si="41"/>
        <v>70</v>
      </c>
      <c r="Q552">
        <f t="shared" si="42"/>
        <v>28</v>
      </c>
      <c r="R552" s="10">
        <f t="shared" si="43"/>
        <v>30.5</v>
      </c>
      <c r="S552">
        <f t="shared" si="44"/>
        <v>27.4</v>
      </c>
    </row>
    <row r="553" spans="1:1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  <c r="J553" s="19"/>
      <c r="M553" s="7"/>
      <c r="O553">
        <f t="shared" si="40"/>
        <v>84</v>
      </c>
      <c r="P553">
        <f t="shared" si="41"/>
        <v>68</v>
      </c>
      <c r="Q553">
        <f t="shared" si="42"/>
        <v>30</v>
      </c>
      <c r="R553" s="10">
        <f t="shared" si="43"/>
        <v>106</v>
      </c>
      <c r="S553">
        <f t="shared" si="44"/>
        <v>31.9</v>
      </c>
    </row>
    <row r="554" spans="1:1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  <c r="J554" s="19"/>
      <c r="M554" s="7"/>
      <c r="O554">
        <f t="shared" si="40"/>
        <v>114</v>
      </c>
      <c r="P554">
        <f t="shared" si="41"/>
        <v>88</v>
      </c>
      <c r="Q554">
        <f t="shared" si="42"/>
        <v>23</v>
      </c>
      <c r="R554" s="10">
        <f t="shared" si="43"/>
        <v>30.5</v>
      </c>
      <c r="S554">
        <f t="shared" si="44"/>
        <v>27.8</v>
      </c>
    </row>
    <row r="555" spans="1:1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  <c r="J555" s="19"/>
      <c r="M555" s="7"/>
      <c r="O555">
        <f t="shared" si="40"/>
        <v>88</v>
      </c>
      <c r="P555">
        <f t="shared" si="41"/>
        <v>62</v>
      </c>
      <c r="Q555">
        <f t="shared" si="42"/>
        <v>24</v>
      </c>
      <c r="R555" s="10">
        <f t="shared" si="43"/>
        <v>44</v>
      </c>
      <c r="S555">
        <f t="shared" si="44"/>
        <v>29.9</v>
      </c>
    </row>
    <row r="556" spans="1:1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  <c r="J556" s="19"/>
      <c r="M556" s="7"/>
      <c r="O556">
        <f t="shared" si="40"/>
        <v>84</v>
      </c>
      <c r="P556">
        <f t="shared" si="41"/>
        <v>64</v>
      </c>
      <c r="Q556">
        <f t="shared" si="42"/>
        <v>23</v>
      </c>
      <c r="R556" s="10">
        <f t="shared" si="43"/>
        <v>115</v>
      </c>
      <c r="S556">
        <f t="shared" si="44"/>
        <v>36.9</v>
      </c>
    </row>
    <row r="557" spans="1:1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  <c r="J557" s="19"/>
      <c r="M557" s="7"/>
      <c r="O557">
        <f t="shared" si="40"/>
        <v>124</v>
      </c>
      <c r="P557">
        <f t="shared" si="41"/>
        <v>70</v>
      </c>
      <c r="Q557">
        <f t="shared" si="42"/>
        <v>33</v>
      </c>
      <c r="R557" s="10">
        <f t="shared" si="43"/>
        <v>215</v>
      </c>
      <c r="S557">
        <f t="shared" si="44"/>
        <v>25.5</v>
      </c>
    </row>
    <row r="558" spans="1:1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  <c r="J558" s="19"/>
      <c r="M558" s="7"/>
      <c r="O558">
        <f t="shared" si="40"/>
        <v>97</v>
      </c>
      <c r="P558">
        <f t="shared" si="41"/>
        <v>70</v>
      </c>
      <c r="Q558">
        <f t="shared" si="42"/>
        <v>40</v>
      </c>
      <c r="R558" s="10">
        <f t="shared" si="43"/>
        <v>30.5</v>
      </c>
      <c r="S558">
        <f t="shared" si="44"/>
        <v>38.1</v>
      </c>
    </row>
    <row r="559" spans="1:1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  <c r="J559" s="19"/>
      <c r="M559" s="7"/>
      <c r="O559">
        <f t="shared" si="40"/>
        <v>110</v>
      </c>
      <c r="P559">
        <f t="shared" si="41"/>
        <v>76</v>
      </c>
      <c r="Q559">
        <f t="shared" si="42"/>
        <v>23</v>
      </c>
      <c r="R559" s="10">
        <f t="shared" si="43"/>
        <v>30.5</v>
      </c>
      <c r="S559">
        <f t="shared" si="44"/>
        <v>27.8</v>
      </c>
    </row>
    <row r="560" spans="1:1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  <c r="J560" s="19"/>
      <c r="M560" s="7"/>
      <c r="O560">
        <f t="shared" si="40"/>
        <v>103</v>
      </c>
      <c r="P560">
        <f t="shared" si="41"/>
        <v>68</v>
      </c>
      <c r="Q560">
        <f t="shared" si="42"/>
        <v>40</v>
      </c>
      <c r="R560" s="10">
        <f t="shared" si="43"/>
        <v>30.5</v>
      </c>
      <c r="S560">
        <f t="shared" si="44"/>
        <v>46.2</v>
      </c>
    </row>
    <row r="561" spans="1:1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  <c r="J561" s="19"/>
      <c r="M561" s="7"/>
      <c r="O561">
        <f t="shared" si="40"/>
        <v>85</v>
      </c>
      <c r="P561">
        <f t="shared" si="41"/>
        <v>74</v>
      </c>
      <c r="Q561">
        <f t="shared" si="42"/>
        <v>23</v>
      </c>
      <c r="R561" s="10">
        <f t="shared" si="43"/>
        <v>30.5</v>
      </c>
      <c r="S561">
        <f t="shared" si="44"/>
        <v>30.1</v>
      </c>
    </row>
    <row r="562" spans="1:1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  <c r="J562" s="19"/>
      <c r="M562" s="7"/>
      <c r="O562">
        <f t="shared" si="40"/>
        <v>125</v>
      </c>
      <c r="P562">
        <f t="shared" si="41"/>
        <v>76</v>
      </c>
      <c r="Q562">
        <f t="shared" si="42"/>
        <v>23</v>
      </c>
      <c r="R562" s="10">
        <f t="shared" si="43"/>
        <v>30.5</v>
      </c>
      <c r="S562">
        <f t="shared" si="44"/>
        <v>33.799999999999997</v>
      </c>
    </row>
    <row r="563" spans="1:1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  <c r="J563" s="19"/>
      <c r="M563" s="7"/>
      <c r="O563">
        <f t="shared" si="40"/>
        <v>198</v>
      </c>
      <c r="P563">
        <f t="shared" si="41"/>
        <v>66</v>
      </c>
      <c r="Q563">
        <f t="shared" si="42"/>
        <v>32</v>
      </c>
      <c r="R563" s="10">
        <f t="shared" si="43"/>
        <v>274</v>
      </c>
      <c r="S563">
        <f t="shared" si="44"/>
        <v>41.3</v>
      </c>
    </row>
    <row r="564" spans="1:1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  <c r="J564" s="19"/>
      <c r="M564" s="7"/>
      <c r="O564">
        <f t="shared" si="40"/>
        <v>87</v>
      </c>
      <c r="P564">
        <f t="shared" si="41"/>
        <v>68</v>
      </c>
      <c r="Q564">
        <f t="shared" si="42"/>
        <v>34</v>
      </c>
      <c r="R564" s="10">
        <f t="shared" si="43"/>
        <v>77</v>
      </c>
      <c r="S564">
        <f t="shared" si="44"/>
        <v>37.6</v>
      </c>
    </row>
    <row r="565" spans="1:1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  <c r="J565" s="19"/>
      <c r="M565" s="7"/>
      <c r="O565">
        <f t="shared" si="40"/>
        <v>99</v>
      </c>
      <c r="P565">
        <f t="shared" si="41"/>
        <v>60</v>
      </c>
      <c r="Q565">
        <f t="shared" si="42"/>
        <v>19</v>
      </c>
      <c r="R565" s="10">
        <f t="shared" si="43"/>
        <v>54</v>
      </c>
      <c r="S565">
        <f t="shared" si="44"/>
        <v>26.9</v>
      </c>
    </row>
    <row r="566" spans="1:1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  <c r="J566" s="19"/>
      <c r="M566" s="7"/>
      <c r="O566">
        <f t="shared" si="40"/>
        <v>91</v>
      </c>
      <c r="P566">
        <f t="shared" si="41"/>
        <v>80</v>
      </c>
      <c r="Q566">
        <f t="shared" si="42"/>
        <v>23</v>
      </c>
      <c r="R566" s="10">
        <f t="shared" si="43"/>
        <v>30.5</v>
      </c>
      <c r="S566">
        <f t="shared" si="44"/>
        <v>32.4</v>
      </c>
    </row>
    <row r="567" spans="1:1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  <c r="J567" s="19"/>
      <c r="M567" s="7"/>
      <c r="O567">
        <f t="shared" si="40"/>
        <v>95</v>
      </c>
      <c r="P567">
        <f t="shared" si="41"/>
        <v>54</v>
      </c>
      <c r="Q567">
        <f t="shared" si="42"/>
        <v>14</v>
      </c>
      <c r="R567" s="10">
        <f t="shared" si="43"/>
        <v>88</v>
      </c>
      <c r="S567">
        <f t="shared" si="44"/>
        <v>26.1</v>
      </c>
    </row>
    <row r="568" spans="1:1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  <c r="J568" s="19"/>
      <c r="M568" s="7"/>
      <c r="O568">
        <f t="shared" si="40"/>
        <v>99</v>
      </c>
      <c r="P568">
        <f t="shared" si="41"/>
        <v>72</v>
      </c>
      <c r="Q568">
        <f t="shared" si="42"/>
        <v>30</v>
      </c>
      <c r="R568" s="10">
        <f t="shared" si="43"/>
        <v>18</v>
      </c>
      <c r="S568">
        <f t="shared" si="44"/>
        <v>38.6</v>
      </c>
    </row>
    <row r="569" spans="1:1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  <c r="J569" s="19"/>
      <c r="M569" s="7"/>
      <c r="O569">
        <f t="shared" si="40"/>
        <v>92</v>
      </c>
      <c r="P569">
        <f t="shared" si="41"/>
        <v>62</v>
      </c>
      <c r="Q569">
        <f t="shared" si="42"/>
        <v>32</v>
      </c>
      <c r="R569" s="10">
        <f t="shared" si="43"/>
        <v>126</v>
      </c>
      <c r="S569">
        <f t="shared" si="44"/>
        <v>32</v>
      </c>
    </row>
    <row r="570" spans="1:1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  <c r="J570" s="19"/>
      <c r="M570" s="7"/>
      <c r="O570">
        <f t="shared" si="40"/>
        <v>154</v>
      </c>
      <c r="P570">
        <f t="shared" si="41"/>
        <v>72</v>
      </c>
      <c r="Q570">
        <f t="shared" si="42"/>
        <v>29</v>
      </c>
      <c r="R570" s="10">
        <f t="shared" si="43"/>
        <v>126</v>
      </c>
      <c r="S570">
        <f t="shared" si="44"/>
        <v>31.3</v>
      </c>
    </row>
    <row r="571" spans="1:1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  <c r="J571" s="19"/>
      <c r="M571" s="7"/>
      <c r="O571">
        <f t="shared" si="40"/>
        <v>121</v>
      </c>
      <c r="P571">
        <f t="shared" si="41"/>
        <v>66</v>
      </c>
      <c r="Q571">
        <f t="shared" si="42"/>
        <v>30</v>
      </c>
      <c r="R571" s="10">
        <f t="shared" si="43"/>
        <v>165</v>
      </c>
      <c r="S571">
        <f t="shared" si="44"/>
        <v>34.299999999999997</v>
      </c>
    </row>
    <row r="572" spans="1:1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  <c r="J572" s="19"/>
      <c r="M572" s="7"/>
      <c r="O572">
        <f t="shared" si="40"/>
        <v>78</v>
      </c>
      <c r="P572">
        <f t="shared" si="41"/>
        <v>70</v>
      </c>
      <c r="Q572">
        <f t="shared" si="42"/>
        <v>23</v>
      </c>
      <c r="R572" s="10">
        <f t="shared" si="43"/>
        <v>30.5</v>
      </c>
      <c r="S572">
        <f t="shared" si="44"/>
        <v>32.5</v>
      </c>
    </row>
    <row r="573" spans="1:1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  <c r="J573" s="19"/>
      <c r="M573" s="7"/>
      <c r="O573">
        <f t="shared" si="40"/>
        <v>130</v>
      </c>
      <c r="P573">
        <f t="shared" si="41"/>
        <v>96</v>
      </c>
      <c r="Q573">
        <f t="shared" si="42"/>
        <v>23</v>
      </c>
      <c r="R573" s="10">
        <f t="shared" si="43"/>
        <v>30.5</v>
      </c>
      <c r="S573">
        <f t="shared" si="44"/>
        <v>22.6</v>
      </c>
    </row>
    <row r="574" spans="1:1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  <c r="J574" s="19"/>
      <c r="M574" s="7"/>
      <c r="O574">
        <f t="shared" si="40"/>
        <v>111</v>
      </c>
      <c r="P574">
        <f t="shared" si="41"/>
        <v>58</v>
      </c>
      <c r="Q574">
        <f t="shared" si="42"/>
        <v>31</v>
      </c>
      <c r="R574" s="10">
        <f t="shared" si="43"/>
        <v>44</v>
      </c>
      <c r="S574">
        <f t="shared" si="44"/>
        <v>29.5</v>
      </c>
    </row>
    <row r="575" spans="1:1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  <c r="J575" s="19"/>
      <c r="M575" s="7"/>
      <c r="O575">
        <f t="shared" si="40"/>
        <v>98</v>
      </c>
      <c r="P575">
        <f t="shared" si="41"/>
        <v>60</v>
      </c>
      <c r="Q575">
        <f t="shared" si="42"/>
        <v>17</v>
      </c>
      <c r="R575" s="10">
        <f t="shared" si="43"/>
        <v>120</v>
      </c>
      <c r="S575">
        <f t="shared" si="44"/>
        <v>34.700000000000003</v>
      </c>
    </row>
    <row r="576" spans="1:1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  <c r="J576" s="19"/>
      <c r="M576" s="7"/>
      <c r="O576">
        <f t="shared" si="40"/>
        <v>143</v>
      </c>
      <c r="P576">
        <f t="shared" si="41"/>
        <v>86</v>
      </c>
      <c r="Q576">
        <f t="shared" si="42"/>
        <v>30</v>
      </c>
      <c r="R576" s="10">
        <f t="shared" si="43"/>
        <v>330</v>
      </c>
      <c r="S576">
        <f t="shared" si="44"/>
        <v>30.1</v>
      </c>
    </row>
    <row r="577" spans="1:1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  <c r="J577" s="19"/>
      <c r="M577" s="7"/>
      <c r="O577">
        <f t="shared" si="40"/>
        <v>119</v>
      </c>
      <c r="P577">
        <f t="shared" si="41"/>
        <v>44</v>
      </c>
      <c r="Q577">
        <f t="shared" si="42"/>
        <v>47</v>
      </c>
      <c r="R577" s="10">
        <f t="shared" si="43"/>
        <v>63</v>
      </c>
      <c r="S577">
        <f t="shared" si="44"/>
        <v>35.5</v>
      </c>
    </row>
    <row r="578" spans="1:1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  <c r="J578" s="19"/>
      <c r="M578" s="7"/>
      <c r="O578">
        <f t="shared" si="40"/>
        <v>108</v>
      </c>
      <c r="P578">
        <f t="shared" si="41"/>
        <v>44</v>
      </c>
      <c r="Q578">
        <f t="shared" si="42"/>
        <v>20</v>
      </c>
      <c r="R578" s="10">
        <f t="shared" si="43"/>
        <v>130</v>
      </c>
      <c r="S578">
        <f t="shared" si="44"/>
        <v>24</v>
      </c>
    </row>
    <row r="579" spans="1:1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  <c r="J579" s="19"/>
      <c r="M579" s="7"/>
      <c r="O579">
        <f t="shared" ref="O579:O642" si="45">IF(B579=0,$L$11,B579)</f>
        <v>118</v>
      </c>
      <c r="P579">
        <f t="shared" ref="P579:P642" si="46">IF(C579=0,$L$12,C579)</f>
        <v>80</v>
      </c>
      <c r="Q579">
        <f t="shared" ref="Q579:Q642" si="47">IF(D579=0,$L$13,D579)</f>
        <v>23</v>
      </c>
      <c r="R579" s="10">
        <f t="shared" ref="R579:R642" si="48">IF(E579=0,$L$14,E579)</f>
        <v>30.5</v>
      </c>
      <c r="S579">
        <f t="shared" ref="S579:S642" si="49">IF(F579=0,$L$15,F579)</f>
        <v>42.9</v>
      </c>
    </row>
    <row r="580" spans="1:1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  <c r="J580" s="19"/>
      <c r="M580" s="7"/>
      <c r="O580">
        <f t="shared" si="45"/>
        <v>133</v>
      </c>
      <c r="P580">
        <f t="shared" si="46"/>
        <v>68</v>
      </c>
      <c r="Q580">
        <f t="shared" si="47"/>
        <v>23</v>
      </c>
      <c r="R580" s="10">
        <f t="shared" si="48"/>
        <v>30.5</v>
      </c>
      <c r="S580">
        <f t="shared" si="49"/>
        <v>27</v>
      </c>
    </row>
    <row r="581" spans="1:1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  <c r="J581" s="19"/>
      <c r="M581" s="7"/>
      <c r="O581">
        <f t="shared" si="45"/>
        <v>197</v>
      </c>
      <c r="P581">
        <f t="shared" si="46"/>
        <v>70</v>
      </c>
      <c r="Q581">
        <f t="shared" si="47"/>
        <v>99</v>
      </c>
      <c r="R581" s="10">
        <f t="shared" si="48"/>
        <v>30.5</v>
      </c>
      <c r="S581">
        <f t="shared" si="49"/>
        <v>34.700000000000003</v>
      </c>
    </row>
    <row r="582" spans="1:1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  <c r="J582" s="19"/>
      <c r="M582" s="7"/>
      <c r="O582">
        <f t="shared" si="45"/>
        <v>151</v>
      </c>
      <c r="P582">
        <f t="shared" si="46"/>
        <v>90</v>
      </c>
      <c r="Q582">
        <f t="shared" si="47"/>
        <v>46</v>
      </c>
      <c r="R582" s="10">
        <f t="shared" si="48"/>
        <v>30.5</v>
      </c>
      <c r="S582">
        <f t="shared" si="49"/>
        <v>42.1</v>
      </c>
    </row>
    <row r="583" spans="1:1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  <c r="J583" s="19"/>
      <c r="M583" s="7"/>
      <c r="O583">
        <f t="shared" si="45"/>
        <v>109</v>
      </c>
      <c r="P583">
        <f t="shared" si="46"/>
        <v>60</v>
      </c>
      <c r="Q583">
        <f t="shared" si="47"/>
        <v>27</v>
      </c>
      <c r="R583" s="10">
        <f t="shared" si="48"/>
        <v>30.5</v>
      </c>
      <c r="S583">
        <f t="shared" si="49"/>
        <v>25</v>
      </c>
    </row>
    <row r="584" spans="1:1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  <c r="J584" s="19"/>
      <c r="M584" s="7"/>
      <c r="O584">
        <f t="shared" si="45"/>
        <v>121</v>
      </c>
      <c r="P584">
        <f t="shared" si="46"/>
        <v>78</v>
      </c>
      <c r="Q584">
        <f t="shared" si="47"/>
        <v>17</v>
      </c>
      <c r="R584" s="10">
        <f t="shared" si="48"/>
        <v>30.5</v>
      </c>
      <c r="S584">
        <f t="shared" si="49"/>
        <v>26.5</v>
      </c>
    </row>
    <row r="585" spans="1:1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  <c r="J585" s="19"/>
      <c r="M585" s="7"/>
      <c r="O585">
        <f t="shared" si="45"/>
        <v>100</v>
      </c>
      <c r="P585">
        <f t="shared" si="46"/>
        <v>76</v>
      </c>
      <c r="Q585">
        <f t="shared" si="47"/>
        <v>23</v>
      </c>
      <c r="R585" s="10">
        <f t="shared" si="48"/>
        <v>30.5</v>
      </c>
      <c r="S585">
        <f t="shared" si="49"/>
        <v>38.700000000000003</v>
      </c>
    </row>
    <row r="586" spans="1:1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  <c r="J586" s="19"/>
      <c r="M586" s="7"/>
      <c r="O586">
        <f t="shared" si="45"/>
        <v>124</v>
      </c>
      <c r="P586">
        <f t="shared" si="46"/>
        <v>76</v>
      </c>
      <c r="Q586">
        <f t="shared" si="47"/>
        <v>24</v>
      </c>
      <c r="R586" s="10">
        <f t="shared" si="48"/>
        <v>600</v>
      </c>
      <c r="S586">
        <f t="shared" si="49"/>
        <v>28.7</v>
      </c>
    </row>
    <row r="587" spans="1:1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  <c r="J587" s="19"/>
      <c r="M587" s="7"/>
      <c r="O587">
        <f t="shared" si="45"/>
        <v>93</v>
      </c>
      <c r="P587">
        <f t="shared" si="46"/>
        <v>56</v>
      </c>
      <c r="Q587">
        <f t="shared" si="47"/>
        <v>11</v>
      </c>
      <c r="R587" s="10">
        <f t="shared" si="48"/>
        <v>30.5</v>
      </c>
      <c r="S587">
        <f t="shared" si="49"/>
        <v>22.5</v>
      </c>
    </row>
    <row r="588" spans="1:1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  <c r="J588" s="19"/>
      <c r="M588" s="7"/>
      <c r="O588">
        <f t="shared" si="45"/>
        <v>143</v>
      </c>
      <c r="P588">
        <f t="shared" si="46"/>
        <v>66</v>
      </c>
      <c r="Q588">
        <f t="shared" si="47"/>
        <v>23</v>
      </c>
      <c r="R588" s="10">
        <f t="shared" si="48"/>
        <v>30.5</v>
      </c>
      <c r="S588">
        <f t="shared" si="49"/>
        <v>34.9</v>
      </c>
    </row>
    <row r="589" spans="1:1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  <c r="J589" s="19"/>
      <c r="M589" s="7"/>
      <c r="O589">
        <f t="shared" si="45"/>
        <v>103</v>
      </c>
      <c r="P589">
        <f t="shared" si="46"/>
        <v>66</v>
      </c>
      <c r="Q589">
        <f t="shared" si="47"/>
        <v>23</v>
      </c>
      <c r="R589" s="10">
        <f t="shared" si="48"/>
        <v>30.5</v>
      </c>
      <c r="S589">
        <f t="shared" si="49"/>
        <v>24.3</v>
      </c>
    </row>
    <row r="590" spans="1:1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  <c r="J590" s="19"/>
      <c r="M590" s="7"/>
      <c r="O590">
        <f t="shared" si="45"/>
        <v>176</v>
      </c>
      <c r="P590">
        <f t="shared" si="46"/>
        <v>86</v>
      </c>
      <c r="Q590">
        <f t="shared" si="47"/>
        <v>27</v>
      </c>
      <c r="R590" s="10">
        <f t="shared" si="48"/>
        <v>156</v>
      </c>
      <c r="S590">
        <f t="shared" si="49"/>
        <v>33.299999999999997</v>
      </c>
    </row>
    <row r="591" spans="1:1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  <c r="J591" s="19"/>
      <c r="M591" s="7"/>
      <c r="O591">
        <f t="shared" si="45"/>
        <v>73</v>
      </c>
      <c r="P591">
        <f t="shared" si="46"/>
        <v>72</v>
      </c>
      <c r="Q591">
        <f t="shared" si="47"/>
        <v>23</v>
      </c>
      <c r="R591" s="10">
        <f t="shared" si="48"/>
        <v>30.5</v>
      </c>
      <c r="S591">
        <f t="shared" si="49"/>
        <v>21.1</v>
      </c>
    </row>
    <row r="592" spans="1:1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  <c r="J592" s="19"/>
      <c r="M592" s="7"/>
      <c r="O592">
        <f t="shared" si="45"/>
        <v>111</v>
      </c>
      <c r="P592">
        <f t="shared" si="46"/>
        <v>84</v>
      </c>
      <c r="Q592">
        <f t="shared" si="47"/>
        <v>40</v>
      </c>
      <c r="R592" s="10">
        <f t="shared" si="48"/>
        <v>30.5</v>
      </c>
      <c r="S592">
        <f t="shared" si="49"/>
        <v>46.8</v>
      </c>
    </row>
    <row r="593" spans="1:1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  <c r="J593" s="19"/>
      <c r="M593" s="7"/>
      <c r="O593">
        <f t="shared" si="45"/>
        <v>112</v>
      </c>
      <c r="P593">
        <f t="shared" si="46"/>
        <v>78</v>
      </c>
      <c r="Q593">
        <f t="shared" si="47"/>
        <v>50</v>
      </c>
      <c r="R593" s="10">
        <f t="shared" si="48"/>
        <v>140</v>
      </c>
      <c r="S593">
        <f t="shared" si="49"/>
        <v>39.4</v>
      </c>
    </row>
    <row r="594" spans="1:1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  <c r="J594" s="19"/>
      <c r="M594" s="7"/>
      <c r="O594">
        <f t="shared" si="45"/>
        <v>132</v>
      </c>
      <c r="P594">
        <f t="shared" si="46"/>
        <v>80</v>
      </c>
      <c r="Q594">
        <f t="shared" si="47"/>
        <v>23</v>
      </c>
      <c r="R594" s="10">
        <f t="shared" si="48"/>
        <v>30.5</v>
      </c>
      <c r="S594">
        <f t="shared" si="49"/>
        <v>34.4</v>
      </c>
    </row>
    <row r="595" spans="1:1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  <c r="J595" s="19"/>
      <c r="M595" s="7"/>
      <c r="O595">
        <f t="shared" si="45"/>
        <v>82</v>
      </c>
      <c r="P595">
        <f t="shared" si="46"/>
        <v>52</v>
      </c>
      <c r="Q595">
        <f t="shared" si="47"/>
        <v>22</v>
      </c>
      <c r="R595" s="10">
        <f t="shared" si="48"/>
        <v>115</v>
      </c>
      <c r="S595">
        <f t="shared" si="49"/>
        <v>28.5</v>
      </c>
    </row>
    <row r="596" spans="1:1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  <c r="J596" s="19"/>
      <c r="M596" s="7"/>
      <c r="O596">
        <f t="shared" si="45"/>
        <v>123</v>
      </c>
      <c r="P596">
        <f t="shared" si="46"/>
        <v>72</v>
      </c>
      <c r="Q596">
        <f t="shared" si="47"/>
        <v>45</v>
      </c>
      <c r="R596" s="10">
        <f t="shared" si="48"/>
        <v>230</v>
      </c>
      <c r="S596">
        <f t="shared" si="49"/>
        <v>33.6</v>
      </c>
    </row>
    <row r="597" spans="1:1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  <c r="J597" s="19"/>
      <c r="M597" s="7"/>
      <c r="O597">
        <f t="shared" si="45"/>
        <v>188</v>
      </c>
      <c r="P597">
        <f t="shared" si="46"/>
        <v>82</v>
      </c>
      <c r="Q597">
        <f t="shared" si="47"/>
        <v>14</v>
      </c>
      <c r="R597" s="10">
        <f t="shared" si="48"/>
        <v>185</v>
      </c>
      <c r="S597">
        <f t="shared" si="49"/>
        <v>32</v>
      </c>
    </row>
    <row r="598" spans="1:1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  <c r="J598" s="19"/>
      <c r="M598" s="7"/>
      <c r="O598">
        <f t="shared" si="45"/>
        <v>67</v>
      </c>
      <c r="P598">
        <f t="shared" si="46"/>
        <v>76</v>
      </c>
      <c r="Q598">
        <f t="shared" si="47"/>
        <v>23</v>
      </c>
      <c r="R598" s="10">
        <f t="shared" si="48"/>
        <v>30.5</v>
      </c>
      <c r="S598">
        <f t="shared" si="49"/>
        <v>45.3</v>
      </c>
    </row>
    <row r="599" spans="1:1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  <c r="J599" s="19"/>
      <c r="M599" s="7"/>
      <c r="O599">
        <f t="shared" si="45"/>
        <v>89</v>
      </c>
      <c r="P599">
        <f t="shared" si="46"/>
        <v>24</v>
      </c>
      <c r="Q599">
        <f t="shared" si="47"/>
        <v>19</v>
      </c>
      <c r="R599" s="10">
        <f t="shared" si="48"/>
        <v>25</v>
      </c>
      <c r="S599">
        <f t="shared" si="49"/>
        <v>27.8</v>
      </c>
    </row>
    <row r="600" spans="1:1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  <c r="J600" s="19"/>
      <c r="M600" s="7"/>
      <c r="O600">
        <f t="shared" si="45"/>
        <v>173</v>
      </c>
      <c r="P600">
        <f t="shared" si="46"/>
        <v>74</v>
      </c>
      <c r="Q600">
        <f t="shared" si="47"/>
        <v>23</v>
      </c>
      <c r="R600" s="10">
        <f t="shared" si="48"/>
        <v>30.5</v>
      </c>
      <c r="S600">
        <f t="shared" si="49"/>
        <v>36.799999999999997</v>
      </c>
    </row>
    <row r="601" spans="1:1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  <c r="J601" s="19"/>
      <c r="M601" s="7"/>
      <c r="O601">
        <f t="shared" si="45"/>
        <v>109</v>
      </c>
      <c r="P601">
        <f t="shared" si="46"/>
        <v>38</v>
      </c>
      <c r="Q601">
        <f t="shared" si="47"/>
        <v>18</v>
      </c>
      <c r="R601" s="10">
        <f t="shared" si="48"/>
        <v>120</v>
      </c>
      <c r="S601">
        <f t="shared" si="49"/>
        <v>23.1</v>
      </c>
    </row>
    <row r="602" spans="1:1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  <c r="J602" s="19"/>
      <c r="M602" s="7"/>
      <c r="O602">
        <f t="shared" si="45"/>
        <v>108</v>
      </c>
      <c r="P602">
        <f t="shared" si="46"/>
        <v>88</v>
      </c>
      <c r="Q602">
        <f t="shared" si="47"/>
        <v>19</v>
      </c>
      <c r="R602" s="10">
        <f t="shared" si="48"/>
        <v>30.5</v>
      </c>
      <c r="S602">
        <f t="shared" si="49"/>
        <v>27.1</v>
      </c>
    </row>
    <row r="603" spans="1:1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  <c r="J603" s="19"/>
      <c r="M603" s="7"/>
      <c r="O603">
        <f t="shared" si="45"/>
        <v>96</v>
      </c>
      <c r="P603">
        <f t="shared" si="46"/>
        <v>72</v>
      </c>
      <c r="Q603">
        <f t="shared" si="47"/>
        <v>23</v>
      </c>
      <c r="R603" s="10">
        <f t="shared" si="48"/>
        <v>30.5</v>
      </c>
      <c r="S603">
        <f t="shared" si="49"/>
        <v>23.7</v>
      </c>
    </row>
    <row r="604" spans="1:1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  <c r="J604" s="19"/>
      <c r="M604" s="7"/>
      <c r="O604">
        <f t="shared" si="45"/>
        <v>124</v>
      </c>
      <c r="P604">
        <f t="shared" si="46"/>
        <v>74</v>
      </c>
      <c r="Q604">
        <f t="shared" si="47"/>
        <v>36</v>
      </c>
      <c r="R604" s="10">
        <f t="shared" si="48"/>
        <v>30.5</v>
      </c>
      <c r="S604">
        <f t="shared" si="49"/>
        <v>27.8</v>
      </c>
    </row>
    <row r="605" spans="1:1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  <c r="J605" s="19"/>
      <c r="M605" s="7"/>
      <c r="O605">
        <f t="shared" si="45"/>
        <v>150</v>
      </c>
      <c r="P605">
        <f t="shared" si="46"/>
        <v>78</v>
      </c>
      <c r="Q605">
        <f t="shared" si="47"/>
        <v>29</v>
      </c>
      <c r="R605" s="10">
        <f t="shared" si="48"/>
        <v>126</v>
      </c>
      <c r="S605">
        <f t="shared" si="49"/>
        <v>35.200000000000003</v>
      </c>
    </row>
    <row r="606" spans="1:1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  <c r="J606" s="19"/>
      <c r="M606" s="7"/>
      <c r="O606">
        <f t="shared" si="45"/>
        <v>183</v>
      </c>
      <c r="P606">
        <f t="shared" si="46"/>
        <v>72</v>
      </c>
      <c r="Q606">
        <f t="shared" si="47"/>
        <v>23</v>
      </c>
      <c r="R606" s="10">
        <f t="shared" si="48"/>
        <v>30.5</v>
      </c>
      <c r="S606">
        <f t="shared" si="49"/>
        <v>28.4</v>
      </c>
    </row>
    <row r="607" spans="1:1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  <c r="J607" s="19"/>
      <c r="M607" s="7"/>
      <c r="O607">
        <f t="shared" si="45"/>
        <v>124</v>
      </c>
      <c r="P607">
        <f t="shared" si="46"/>
        <v>60</v>
      </c>
      <c r="Q607">
        <f t="shared" si="47"/>
        <v>32</v>
      </c>
      <c r="R607" s="10">
        <f t="shared" si="48"/>
        <v>30.5</v>
      </c>
      <c r="S607">
        <f t="shared" si="49"/>
        <v>35.799999999999997</v>
      </c>
    </row>
    <row r="608" spans="1:1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  <c r="J608" s="19"/>
      <c r="M608" s="7"/>
      <c r="O608">
        <f t="shared" si="45"/>
        <v>181</v>
      </c>
      <c r="P608">
        <f t="shared" si="46"/>
        <v>78</v>
      </c>
      <c r="Q608">
        <f t="shared" si="47"/>
        <v>42</v>
      </c>
      <c r="R608" s="10">
        <f t="shared" si="48"/>
        <v>293</v>
      </c>
      <c r="S608">
        <f t="shared" si="49"/>
        <v>40</v>
      </c>
    </row>
    <row r="609" spans="1:1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  <c r="J609" s="19"/>
      <c r="M609" s="7"/>
      <c r="O609">
        <f t="shared" si="45"/>
        <v>92</v>
      </c>
      <c r="P609">
        <f t="shared" si="46"/>
        <v>62</v>
      </c>
      <c r="Q609">
        <f t="shared" si="47"/>
        <v>25</v>
      </c>
      <c r="R609" s="10">
        <f t="shared" si="48"/>
        <v>41</v>
      </c>
      <c r="S609">
        <f t="shared" si="49"/>
        <v>19.5</v>
      </c>
    </row>
    <row r="610" spans="1:1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  <c r="J610" s="19"/>
      <c r="M610" s="7"/>
      <c r="O610">
        <f t="shared" si="45"/>
        <v>152</v>
      </c>
      <c r="P610">
        <f t="shared" si="46"/>
        <v>82</v>
      </c>
      <c r="Q610">
        <f t="shared" si="47"/>
        <v>39</v>
      </c>
      <c r="R610" s="10">
        <f t="shared" si="48"/>
        <v>272</v>
      </c>
      <c r="S610">
        <f t="shared" si="49"/>
        <v>41.5</v>
      </c>
    </row>
    <row r="611" spans="1:1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  <c r="J611" s="19"/>
      <c r="M611" s="7"/>
      <c r="O611">
        <f t="shared" si="45"/>
        <v>111</v>
      </c>
      <c r="P611">
        <f t="shared" si="46"/>
        <v>62</v>
      </c>
      <c r="Q611">
        <f t="shared" si="47"/>
        <v>13</v>
      </c>
      <c r="R611" s="10">
        <f t="shared" si="48"/>
        <v>182</v>
      </c>
      <c r="S611">
        <f t="shared" si="49"/>
        <v>24</v>
      </c>
    </row>
    <row r="612" spans="1:1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  <c r="J612" s="19"/>
      <c r="M612" s="7"/>
      <c r="O612">
        <f t="shared" si="45"/>
        <v>106</v>
      </c>
      <c r="P612">
        <f t="shared" si="46"/>
        <v>54</v>
      </c>
      <c r="Q612">
        <f t="shared" si="47"/>
        <v>21</v>
      </c>
      <c r="R612" s="10">
        <f t="shared" si="48"/>
        <v>158</v>
      </c>
      <c r="S612">
        <f t="shared" si="49"/>
        <v>30.9</v>
      </c>
    </row>
    <row r="613" spans="1:1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  <c r="J613" s="19"/>
      <c r="M613" s="7"/>
      <c r="O613">
        <f t="shared" si="45"/>
        <v>174</v>
      </c>
      <c r="P613">
        <f t="shared" si="46"/>
        <v>58</v>
      </c>
      <c r="Q613">
        <f t="shared" si="47"/>
        <v>22</v>
      </c>
      <c r="R613" s="10">
        <f t="shared" si="48"/>
        <v>194</v>
      </c>
      <c r="S613">
        <f t="shared" si="49"/>
        <v>32.9</v>
      </c>
    </row>
    <row r="614" spans="1:1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  <c r="J614" s="19"/>
      <c r="M614" s="7"/>
      <c r="O614">
        <f t="shared" si="45"/>
        <v>168</v>
      </c>
      <c r="P614">
        <f t="shared" si="46"/>
        <v>88</v>
      </c>
      <c r="Q614">
        <f t="shared" si="47"/>
        <v>42</v>
      </c>
      <c r="R614" s="10">
        <f t="shared" si="48"/>
        <v>321</v>
      </c>
      <c r="S614">
        <f t="shared" si="49"/>
        <v>38.200000000000003</v>
      </c>
    </row>
    <row r="615" spans="1:1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  <c r="J615" s="19"/>
      <c r="M615" s="7"/>
      <c r="O615">
        <f t="shared" si="45"/>
        <v>105</v>
      </c>
      <c r="P615">
        <f t="shared" si="46"/>
        <v>80</v>
      </c>
      <c r="Q615">
        <f t="shared" si="47"/>
        <v>28</v>
      </c>
      <c r="R615" s="10">
        <f t="shared" si="48"/>
        <v>30.5</v>
      </c>
      <c r="S615">
        <f t="shared" si="49"/>
        <v>32.5</v>
      </c>
    </row>
    <row r="616" spans="1:1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  <c r="J616" s="19"/>
      <c r="M616" s="7"/>
      <c r="O616">
        <f t="shared" si="45"/>
        <v>138</v>
      </c>
      <c r="P616">
        <f t="shared" si="46"/>
        <v>74</v>
      </c>
      <c r="Q616">
        <f t="shared" si="47"/>
        <v>26</v>
      </c>
      <c r="R616" s="10">
        <f t="shared" si="48"/>
        <v>144</v>
      </c>
      <c r="S616">
        <f t="shared" si="49"/>
        <v>36.1</v>
      </c>
    </row>
    <row r="617" spans="1:1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  <c r="J617" s="19"/>
      <c r="M617" s="7"/>
      <c r="O617">
        <f t="shared" si="45"/>
        <v>106</v>
      </c>
      <c r="P617">
        <f t="shared" si="46"/>
        <v>72</v>
      </c>
      <c r="Q617">
        <f t="shared" si="47"/>
        <v>23</v>
      </c>
      <c r="R617" s="10">
        <f t="shared" si="48"/>
        <v>30.5</v>
      </c>
      <c r="S617">
        <f t="shared" si="49"/>
        <v>25.8</v>
      </c>
    </row>
    <row r="618" spans="1:1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  <c r="J618" s="19"/>
      <c r="M618" s="7"/>
      <c r="O618">
        <f t="shared" si="45"/>
        <v>117</v>
      </c>
      <c r="P618">
        <f t="shared" si="46"/>
        <v>96</v>
      </c>
      <c r="Q618">
        <f t="shared" si="47"/>
        <v>23</v>
      </c>
      <c r="R618" s="10">
        <f t="shared" si="48"/>
        <v>30.5</v>
      </c>
      <c r="S618">
        <f t="shared" si="49"/>
        <v>28.7</v>
      </c>
    </row>
    <row r="619" spans="1:1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  <c r="J619" s="19"/>
      <c r="M619" s="7"/>
      <c r="O619">
        <f t="shared" si="45"/>
        <v>68</v>
      </c>
      <c r="P619">
        <f t="shared" si="46"/>
        <v>62</v>
      </c>
      <c r="Q619">
        <f t="shared" si="47"/>
        <v>13</v>
      </c>
      <c r="R619" s="10">
        <f t="shared" si="48"/>
        <v>15</v>
      </c>
      <c r="S619">
        <f t="shared" si="49"/>
        <v>20.100000000000001</v>
      </c>
    </row>
    <row r="620" spans="1:1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  <c r="J620" s="19"/>
      <c r="M620" s="7"/>
      <c r="O620">
        <f t="shared" si="45"/>
        <v>112</v>
      </c>
      <c r="P620">
        <f t="shared" si="46"/>
        <v>82</v>
      </c>
      <c r="Q620">
        <f t="shared" si="47"/>
        <v>24</v>
      </c>
      <c r="R620" s="10">
        <f t="shared" si="48"/>
        <v>30.5</v>
      </c>
      <c r="S620">
        <f t="shared" si="49"/>
        <v>28.2</v>
      </c>
    </row>
    <row r="621" spans="1:1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  <c r="J621" s="19"/>
      <c r="M621" s="7"/>
      <c r="O621">
        <f t="shared" si="45"/>
        <v>119</v>
      </c>
      <c r="P621">
        <f t="shared" si="46"/>
        <v>72</v>
      </c>
      <c r="Q621">
        <f t="shared" si="47"/>
        <v>23</v>
      </c>
      <c r="R621" s="10">
        <f t="shared" si="48"/>
        <v>30.5</v>
      </c>
      <c r="S621">
        <f t="shared" si="49"/>
        <v>32.4</v>
      </c>
    </row>
    <row r="622" spans="1:1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  <c r="J622" s="19"/>
      <c r="M622" s="7"/>
      <c r="O622">
        <f t="shared" si="45"/>
        <v>112</v>
      </c>
      <c r="P622">
        <f t="shared" si="46"/>
        <v>86</v>
      </c>
      <c r="Q622">
        <f t="shared" si="47"/>
        <v>42</v>
      </c>
      <c r="R622" s="10">
        <f t="shared" si="48"/>
        <v>160</v>
      </c>
      <c r="S622">
        <f t="shared" si="49"/>
        <v>38.4</v>
      </c>
    </row>
    <row r="623" spans="1:1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  <c r="J623" s="19"/>
      <c r="M623" s="7"/>
      <c r="O623">
        <f t="shared" si="45"/>
        <v>92</v>
      </c>
      <c r="P623">
        <f t="shared" si="46"/>
        <v>76</v>
      </c>
      <c r="Q623">
        <f t="shared" si="47"/>
        <v>20</v>
      </c>
      <c r="R623" s="10">
        <f t="shared" si="48"/>
        <v>30.5</v>
      </c>
      <c r="S623">
        <f t="shared" si="49"/>
        <v>24.2</v>
      </c>
    </row>
    <row r="624" spans="1:1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  <c r="J624" s="19"/>
      <c r="M624" s="7"/>
      <c r="O624">
        <f t="shared" si="45"/>
        <v>183</v>
      </c>
      <c r="P624">
        <f t="shared" si="46"/>
        <v>94</v>
      </c>
      <c r="Q624">
        <f t="shared" si="47"/>
        <v>23</v>
      </c>
      <c r="R624" s="10">
        <f t="shared" si="48"/>
        <v>30.5</v>
      </c>
      <c r="S624">
        <f t="shared" si="49"/>
        <v>40.799999999999997</v>
      </c>
    </row>
    <row r="625" spans="1:1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  <c r="J625" s="19"/>
      <c r="M625" s="7"/>
      <c r="O625">
        <f t="shared" si="45"/>
        <v>94</v>
      </c>
      <c r="P625">
        <f t="shared" si="46"/>
        <v>70</v>
      </c>
      <c r="Q625">
        <f t="shared" si="47"/>
        <v>27</v>
      </c>
      <c r="R625" s="10">
        <f t="shared" si="48"/>
        <v>115</v>
      </c>
      <c r="S625">
        <f t="shared" si="49"/>
        <v>43.5</v>
      </c>
    </row>
    <row r="626" spans="1:1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  <c r="J626" s="19"/>
      <c r="M626" s="7"/>
      <c r="O626">
        <f t="shared" si="45"/>
        <v>108</v>
      </c>
      <c r="P626">
        <f t="shared" si="46"/>
        <v>64</v>
      </c>
      <c r="Q626">
        <f t="shared" si="47"/>
        <v>23</v>
      </c>
      <c r="R626" s="10">
        <f t="shared" si="48"/>
        <v>30.5</v>
      </c>
      <c r="S626">
        <f t="shared" si="49"/>
        <v>30.8</v>
      </c>
    </row>
    <row r="627" spans="1:1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  <c r="J627" s="19"/>
      <c r="M627" s="7"/>
      <c r="O627">
        <f t="shared" si="45"/>
        <v>90</v>
      </c>
      <c r="P627">
        <f t="shared" si="46"/>
        <v>88</v>
      </c>
      <c r="Q627">
        <f t="shared" si="47"/>
        <v>47</v>
      </c>
      <c r="R627" s="10">
        <f t="shared" si="48"/>
        <v>54</v>
      </c>
      <c r="S627">
        <f t="shared" si="49"/>
        <v>37.700000000000003</v>
      </c>
    </row>
    <row r="628" spans="1:1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  <c r="J628" s="19"/>
      <c r="M628" s="7"/>
      <c r="O628">
        <f t="shared" si="45"/>
        <v>125</v>
      </c>
      <c r="P628">
        <f t="shared" si="46"/>
        <v>68</v>
      </c>
      <c r="Q628">
        <f t="shared" si="47"/>
        <v>23</v>
      </c>
      <c r="R628" s="10">
        <f t="shared" si="48"/>
        <v>30.5</v>
      </c>
      <c r="S628">
        <f t="shared" si="49"/>
        <v>24.7</v>
      </c>
    </row>
    <row r="629" spans="1:1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  <c r="J629" s="19"/>
      <c r="M629" s="7"/>
      <c r="O629">
        <f t="shared" si="45"/>
        <v>132</v>
      </c>
      <c r="P629">
        <f t="shared" si="46"/>
        <v>78</v>
      </c>
      <c r="Q629">
        <f t="shared" si="47"/>
        <v>23</v>
      </c>
      <c r="R629" s="10">
        <f t="shared" si="48"/>
        <v>30.5</v>
      </c>
      <c r="S629">
        <f t="shared" si="49"/>
        <v>32.4</v>
      </c>
    </row>
    <row r="630" spans="1:1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  <c r="J630" s="19"/>
      <c r="M630" s="7"/>
      <c r="O630">
        <f t="shared" si="45"/>
        <v>128</v>
      </c>
      <c r="P630">
        <f t="shared" si="46"/>
        <v>80</v>
      </c>
      <c r="Q630">
        <f t="shared" si="47"/>
        <v>23</v>
      </c>
      <c r="R630" s="10">
        <f t="shared" si="48"/>
        <v>30.5</v>
      </c>
      <c r="S630">
        <f t="shared" si="49"/>
        <v>34.6</v>
      </c>
    </row>
    <row r="631" spans="1:1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  <c r="J631" s="19"/>
      <c r="M631" s="7"/>
      <c r="O631">
        <f t="shared" si="45"/>
        <v>94</v>
      </c>
      <c r="P631">
        <f t="shared" si="46"/>
        <v>65</v>
      </c>
      <c r="Q631">
        <f t="shared" si="47"/>
        <v>22</v>
      </c>
      <c r="R631" s="10">
        <f t="shared" si="48"/>
        <v>30.5</v>
      </c>
      <c r="S631">
        <f t="shared" si="49"/>
        <v>24.7</v>
      </c>
    </row>
    <row r="632" spans="1:1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  <c r="J632" s="19"/>
      <c r="M632" s="7"/>
      <c r="O632">
        <f t="shared" si="45"/>
        <v>114</v>
      </c>
      <c r="P632">
        <f t="shared" si="46"/>
        <v>64</v>
      </c>
      <c r="Q632">
        <f t="shared" si="47"/>
        <v>23</v>
      </c>
      <c r="R632" s="10">
        <f t="shared" si="48"/>
        <v>30.5</v>
      </c>
      <c r="S632">
        <f t="shared" si="49"/>
        <v>27.4</v>
      </c>
    </row>
    <row r="633" spans="1:1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  <c r="J633" s="19"/>
      <c r="M633" s="7"/>
      <c r="O633">
        <f t="shared" si="45"/>
        <v>102</v>
      </c>
      <c r="P633">
        <f t="shared" si="46"/>
        <v>78</v>
      </c>
      <c r="Q633">
        <f t="shared" si="47"/>
        <v>40</v>
      </c>
      <c r="R633" s="10">
        <f t="shared" si="48"/>
        <v>90</v>
      </c>
      <c r="S633">
        <f t="shared" si="49"/>
        <v>34.5</v>
      </c>
    </row>
    <row r="634" spans="1:1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  <c r="J634" s="19"/>
      <c r="M634" s="7"/>
      <c r="O634">
        <f t="shared" si="45"/>
        <v>111</v>
      </c>
      <c r="P634">
        <f t="shared" si="46"/>
        <v>60</v>
      </c>
      <c r="Q634">
        <f t="shared" si="47"/>
        <v>23</v>
      </c>
      <c r="R634" s="10">
        <f t="shared" si="48"/>
        <v>30.5</v>
      </c>
      <c r="S634">
        <f t="shared" si="49"/>
        <v>26.2</v>
      </c>
    </row>
    <row r="635" spans="1:1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  <c r="J635" s="19"/>
      <c r="M635" s="7"/>
      <c r="O635">
        <f t="shared" si="45"/>
        <v>128</v>
      </c>
      <c r="P635">
        <f t="shared" si="46"/>
        <v>82</v>
      </c>
      <c r="Q635">
        <f t="shared" si="47"/>
        <v>17</v>
      </c>
      <c r="R635" s="10">
        <f t="shared" si="48"/>
        <v>183</v>
      </c>
      <c r="S635">
        <f t="shared" si="49"/>
        <v>27.5</v>
      </c>
    </row>
    <row r="636" spans="1:1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  <c r="J636" s="19"/>
      <c r="M636" s="7"/>
      <c r="O636">
        <f t="shared" si="45"/>
        <v>92</v>
      </c>
      <c r="P636">
        <f t="shared" si="46"/>
        <v>62</v>
      </c>
      <c r="Q636">
        <f t="shared" si="47"/>
        <v>23</v>
      </c>
      <c r="R636" s="10">
        <f t="shared" si="48"/>
        <v>30.5</v>
      </c>
      <c r="S636">
        <f t="shared" si="49"/>
        <v>25.9</v>
      </c>
    </row>
    <row r="637" spans="1:1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  <c r="J637" s="19"/>
      <c r="M637" s="7"/>
      <c r="O637">
        <f t="shared" si="45"/>
        <v>104</v>
      </c>
      <c r="P637">
        <f t="shared" si="46"/>
        <v>72</v>
      </c>
      <c r="Q637">
        <f t="shared" si="47"/>
        <v>23</v>
      </c>
      <c r="R637" s="10">
        <f t="shared" si="48"/>
        <v>30.5</v>
      </c>
      <c r="S637">
        <f t="shared" si="49"/>
        <v>31.2</v>
      </c>
    </row>
    <row r="638" spans="1:1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  <c r="J638" s="19"/>
      <c r="M638" s="7"/>
      <c r="O638">
        <f t="shared" si="45"/>
        <v>104</v>
      </c>
      <c r="P638">
        <f t="shared" si="46"/>
        <v>74</v>
      </c>
      <c r="Q638">
        <f t="shared" si="47"/>
        <v>23</v>
      </c>
      <c r="R638" s="10">
        <f t="shared" si="48"/>
        <v>30.5</v>
      </c>
      <c r="S638">
        <f t="shared" si="49"/>
        <v>28.8</v>
      </c>
    </row>
    <row r="639" spans="1:1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  <c r="J639" s="19"/>
      <c r="M639" s="7"/>
      <c r="O639">
        <f t="shared" si="45"/>
        <v>94</v>
      </c>
      <c r="P639">
        <f t="shared" si="46"/>
        <v>76</v>
      </c>
      <c r="Q639">
        <f t="shared" si="47"/>
        <v>18</v>
      </c>
      <c r="R639" s="10">
        <f t="shared" si="48"/>
        <v>66</v>
      </c>
      <c r="S639">
        <f t="shared" si="49"/>
        <v>31.6</v>
      </c>
    </row>
    <row r="640" spans="1:1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  <c r="J640" s="19"/>
      <c r="M640" s="7"/>
      <c r="O640">
        <f t="shared" si="45"/>
        <v>97</v>
      </c>
      <c r="P640">
        <f t="shared" si="46"/>
        <v>76</v>
      </c>
      <c r="Q640">
        <f t="shared" si="47"/>
        <v>32</v>
      </c>
      <c r="R640" s="10">
        <f t="shared" si="48"/>
        <v>91</v>
      </c>
      <c r="S640">
        <f t="shared" si="49"/>
        <v>40.9</v>
      </c>
    </row>
    <row r="641" spans="1:1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  <c r="J641" s="19"/>
      <c r="M641" s="7"/>
      <c r="O641">
        <f t="shared" si="45"/>
        <v>100</v>
      </c>
      <c r="P641">
        <f t="shared" si="46"/>
        <v>74</v>
      </c>
      <c r="Q641">
        <f t="shared" si="47"/>
        <v>12</v>
      </c>
      <c r="R641" s="10">
        <f t="shared" si="48"/>
        <v>46</v>
      </c>
      <c r="S641">
        <f t="shared" si="49"/>
        <v>19.5</v>
      </c>
    </row>
    <row r="642" spans="1:1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  <c r="J642" s="19"/>
      <c r="M642" s="7"/>
      <c r="O642">
        <f t="shared" si="45"/>
        <v>102</v>
      </c>
      <c r="P642">
        <f t="shared" si="46"/>
        <v>86</v>
      </c>
      <c r="Q642">
        <f t="shared" si="47"/>
        <v>17</v>
      </c>
      <c r="R642" s="10">
        <f t="shared" si="48"/>
        <v>105</v>
      </c>
      <c r="S642">
        <f t="shared" si="49"/>
        <v>29.3</v>
      </c>
    </row>
    <row r="643" spans="1:1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  <c r="J643" s="19"/>
      <c r="M643" s="7"/>
      <c r="O643">
        <f t="shared" ref="O643:O706" si="50">IF(B643=0,$L$11,B643)</f>
        <v>128</v>
      </c>
      <c r="P643">
        <f t="shared" ref="P643:P706" si="51">IF(C643=0,$L$12,C643)</f>
        <v>70</v>
      </c>
      <c r="Q643">
        <f t="shared" ref="Q643:Q706" si="52">IF(D643=0,$L$13,D643)</f>
        <v>23</v>
      </c>
      <c r="R643" s="10">
        <f t="shared" ref="R643:R706" si="53">IF(E643=0,$L$14,E643)</f>
        <v>30.5</v>
      </c>
      <c r="S643">
        <f t="shared" ref="S643:S706" si="54">IF(F643=0,$L$15,F643)</f>
        <v>34.299999999999997</v>
      </c>
    </row>
    <row r="644" spans="1:1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  <c r="J644" s="19"/>
      <c r="M644" s="7"/>
      <c r="O644">
        <f t="shared" si="50"/>
        <v>147</v>
      </c>
      <c r="P644">
        <f t="shared" si="51"/>
        <v>80</v>
      </c>
      <c r="Q644">
        <f t="shared" si="52"/>
        <v>23</v>
      </c>
      <c r="R644" s="10">
        <f t="shared" si="53"/>
        <v>30.5</v>
      </c>
      <c r="S644">
        <f t="shared" si="54"/>
        <v>29.5</v>
      </c>
    </row>
    <row r="645" spans="1:1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  <c r="J645" s="19"/>
      <c r="M645" s="7"/>
      <c r="O645">
        <f t="shared" si="50"/>
        <v>90</v>
      </c>
      <c r="P645">
        <f t="shared" si="51"/>
        <v>72</v>
      </c>
      <c r="Q645">
        <f t="shared" si="52"/>
        <v>23</v>
      </c>
      <c r="R645" s="10">
        <f t="shared" si="53"/>
        <v>30.5</v>
      </c>
      <c r="S645">
        <f t="shared" si="54"/>
        <v>28</v>
      </c>
    </row>
    <row r="646" spans="1:1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  <c r="J646" s="19"/>
      <c r="M646" s="7"/>
      <c r="O646">
        <f t="shared" si="50"/>
        <v>103</v>
      </c>
      <c r="P646">
        <f t="shared" si="51"/>
        <v>72</v>
      </c>
      <c r="Q646">
        <f t="shared" si="52"/>
        <v>30</v>
      </c>
      <c r="R646" s="10">
        <f t="shared" si="53"/>
        <v>152</v>
      </c>
      <c r="S646">
        <f t="shared" si="54"/>
        <v>27.6</v>
      </c>
    </row>
    <row r="647" spans="1:1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  <c r="J647" s="19"/>
      <c r="M647" s="7"/>
      <c r="O647">
        <f t="shared" si="50"/>
        <v>157</v>
      </c>
      <c r="P647">
        <f t="shared" si="51"/>
        <v>74</v>
      </c>
      <c r="Q647">
        <f t="shared" si="52"/>
        <v>35</v>
      </c>
      <c r="R647" s="10">
        <f t="shared" si="53"/>
        <v>440</v>
      </c>
      <c r="S647">
        <f t="shared" si="54"/>
        <v>39.4</v>
      </c>
    </row>
    <row r="648" spans="1:1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  <c r="J648" s="19"/>
      <c r="M648" s="7"/>
      <c r="O648">
        <f t="shared" si="50"/>
        <v>167</v>
      </c>
      <c r="P648">
        <f t="shared" si="51"/>
        <v>74</v>
      </c>
      <c r="Q648">
        <f t="shared" si="52"/>
        <v>17</v>
      </c>
      <c r="R648" s="10">
        <f t="shared" si="53"/>
        <v>144</v>
      </c>
      <c r="S648">
        <f t="shared" si="54"/>
        <v>23.4</v>
      </c>
    </row>
    <row r="649" spans="1:1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  <c r="J649" s="19"/>
      <c r="M649" s="7"/>
      <c r="O649">
        <f t="shared" si="50"/>
        <v>179</v>
      </c>
      <c r="P649">
        <f t="shared" si="51"/>
        <v>50</v>
      </c>
      <c r="Q649">
        <f t="shared" si="52"/>
        <v>36</v>
      </c>
      <c r="R649" s="10">
        <f t="shared" si="53"/>
        <v>159</v>
      </c>
      <c r="S649">
        <f t="shared" si="54"/>
        <v>37.799999999999997</v>
      </c>
    </row>
    <row r="650" spans="1:1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  <c r="J650" s="19"/>
      <c r="M650" s="7"/>
      <c r="O650">
        <f t="shared" si="50"/>
        <v>136</v>
      </c>
      <c r="P650">
        <f t="shared" si="51"/>
        <v>84</v>
      </c>
      <c r="Q650">
        <f t="shared" si="52"/>
        <v>35</v>
      </c>
      <c r="R650" s="10">
        <f t="shared" si="53"/>
        <v>130</v>
      </c>
      <c r="S650">
        <f t="shared" si="54"/>
        <v>28.3</v>
      </c>
    </row>
    <row r="651" spans="1:1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  <c r="J651" s="19"/>
      <c r="M651" s="7"/>
      <c r="O651">
        <f t="shared" si="50"/>
        <v>107</v>
      </c>
      <c r="P651">
        <f t="shared" si="51"/>
        <v>60</v>
      </c>
      <c r="Q651">
        <f t="shared" si="52"/>
        <v>25</v>
      </c>
      <c r="R651" s="10">
        <f t="shared" si="53"/>
        <v>30.5</v>
      </c>
      <c r="S651">
        <f t="shared" si="54"/>
        <v>26.4</v>
      </c>
    </row>
    <row r="652" spans="1:1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  <c r="J652" s="19"/>
      <c r="M652" s="7"/>
      <c r="O652">
        <f t="shared" si="50"/>
        <v>91</v>
      </c>
      <c r="P652">
        <f t="shared" si="51"/>
        <v>54</v>
      </c>
      <c r="Q652">
        <f t="shared" si="52"/>
        <v>25</v>
      </c>
      <c r="R652" s="10">
        <f t="shared" si="53"/>
        <v>100</v>
      </c>
      <c r="S652">
        <f t="shared" si="54"/>
        <v>25.2</v>
      </c>
    </row>
    <row r="653" spans="1:1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  <c r="J653" s="19"/>
      <c r="M653" s="7"/>
      <c r="O653">
        <f t="shared" si="50"/>
        <v>117</v>
      </c>
      <c r="P653">
        <f t="shared" si="51"/>
        <v>60</v>
      </c>
      <c r="Q653">
        <f t="shared" si="52"/>
        <v>23</v>
      </c>
      <c r="R653" s="10">
        <f t="shared" si="53"/>
        <v>106</v>
      </c>
      <c r="S653">
        <f t="shared" si="54"/>
        <v>33.799999999999997</v>
      </c>
    </row>
    <row r="654" spans="1:1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  <c r="J654" s="19"/>
      <c r="M654" s="7"/>
      <c r="O654">
        <f t="shared" si="50"/>
        <v>123</v>
      </c>
      <c r="P654">
        <f t="shared" si="51"/>
        <v>74</v>
      </c>
      <c r="Q654">
        <f t="shared" si="52"/>
        <v>40</v>
      </c>
      <c r="R654" s="10">
        <f t="shared" si="53"/>
        <v>77</v>
      </c>
      <c r="S654">
        <f t="shared" si="54"/>
        <v>34.1</v>
      </c>
    </row>
    <row r="655" spans="1:1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  <c r="J655" s="19"/>
      <c r="M655" s="7"/>
      <c r="O655">
        <f t="shared" si="50"/>
        <v>120</v>
      </c>
      <c r="P655">
        <f t="shared" si="51"/>
        <v>54</v>
      </c>
      <c r="Q655">
        <f t="shared" si="52"/>
        <v>23</v>
      </c>
      <c r="R655" s="10">
        <f t="shared" si="53"/>
        <v>30.5</v>
      </c>
      <c r="S655">
        <f t="shared" si="54"/>
        <v>26.8</v>
      </c>
    </row>
    <row r="656" spans="1:1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  <c r="J656" s="19"/>
      <c r="M656" s="7"/>
      <c r="O656">
        <f t="shared" si="50"/>
        <v>106</v>
      </c>
      <c r="P656">
        <f t="shared" si="51"/>
        <v>70</v>
      </c>
      <c r="Q656">
        <f t="shared" si="52"/>
        <v>28</v>
      </c>
      <c r="R656" s="10">
        <f t="shared" si="53"/>
        <v>135</v>
      </c>
      <c r="S656">
        <f t="shared" si="54"/>
        <v>34.200000000000003</v>
      </c>
    </row>
    <row r="657" spans="1:1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  <c r="J657" s="19"/>
      <c r="M657" s="7"/>
      <c r="O657">
        <f t="shared" si="50"/>
        <v>155</v>
      </c>
      <c r="P657">
        <f t="shared" si="51"/>
        <v>52</v>
      </c>
      <c r="Q657">
        <f t="shared" si="52"/>
        <v>27</v>
      </c>
      <c r="R657" s="10">
        <f t="shared" si="53"/>
        <v>540</v>
      </c>
      <c r="S657">
        <f t="shared" si="54"/>
        <v>38.700000000000003</v>
      </c>
    </row>
    <row r="658" spans="1:1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  <c r="J658" s="19"/>
      <c r="M658" s="7"/>
      <c r="O658">
        <f t="shared" si="50"/>
        <v>101</v>
      </c>
      <c r="P658">
        <f t="shared" si="51"/>
        <v>58</v>
      </c>
      <c r="Q658">
        <f t="shared" si="52"/>
        <v>35</v>
      </c>
      <c r="R658" s="10">
        <f t="shared" si="53"/>
        <v>90</v>
      </c>
      <c r="S658">
        <f t="shared" si="54"/>
        <v>21.8</v>
      </c>
    </row>
    <row r="659" spans="1:1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  <c r="J659" s="19"/>
      <c r="M659" s="7"/>
      <c r="O659">
        <f t="shared" si="50"/>
        <v>120</v>
      </c>
      <c r="P659">
        <f t="shared" si="51"/>
        <v>80</v>
      </c>
      <c r="Q659">
        <f t="shared" si="52"/>
        <v>48</v>
      </c>
      <c r="R659" s="10">
        <f t="shared" si="53"/>
        <v>200</v>
      </c>
      <c r="S659">
        <f t="shared" si="54"/>
        <v>38.9</v>
      </c>
    </row>
    <row r="660" spans="1:1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  <c r="J660" s="19"/>
      <c r="M660" s="7"/>
      <c r="O660">
        <f t="shared" si="50"/>
        <v>127</v>
      </c>
      <c r="P660">
        <f t="shared" si="51"/>
        <v>106</v>
      </c>
      <c r="Q660">
        <f t="shared" si="52"/>
        <v>23</v>
      </c>
      <c r="R660" s="10">
        <f t="shared" si="53"/>
        <v>30.5</v>
      </c>
      <c r="S660">
        <f t="shared" si="54"/>
        <v>39</v>
      </c>
    </row>
    <row r="661" spans="1:1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  <c r="J661" s="19"/>
      <c r="M661" s="7"/>
      <c r="O661">
        <f t="shared" si="50"/>
        <v>80</v>
      </c>
      <c r="P661">
        <f t="shared" si="51"/>
        <v>82</v>
      </c>
      <c r="Q661">
        <f t="shared" si="52"/>
        <v>31</v>
      </c>
      <c r="R661" s="10">
        <f t="shared" si="53"/>
        <v>70</v>
      </c>
      <c r="S661">
        <f t="shared" si="54"/>
        <v>34.200000000000003</v>
      </c>
    </row>
    <row r="662" spans="1:1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  <c r="J662" s="19"/>
      <c r="M662" s="7"/>
      <c r="O662">
        <f t="shared" si="50"/>
        <v>162</v>
      </c>
      <c r="P662">
        <f t="shared" si="51"/>
        <v>84</v>
      </c>
      <c r="Q662">
        <f t="shared" si="52"/>
        <v>23</v>
      </c>
      <c r="R662" s="10">
        <f t="shared" si="53"/>
        <v>30.5</v>
      </c>
      <c r="S662">
        <f t="shared" si="54"/>
        <v>27.7</v>
      </c>
    </row>
    <row r="663" spans="1:1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  <c r="J663" s="19"/>
      <c r="M663" s="7"/>
      <c r="O663">
        <f t="shared" si="50"/>
        <v>199</v>
      </c>
      <c r="P663">
        <f t="shared" si="51"/>
        <v>76</v>
      </c>
      <c r="Q663">
        <f t="shared" si="52"/>
        <v>43</v>
      </c>
      <c r="R663" s="10">
        <f t="shared" si="53"/>
        <v>30.5</v>
      </c>
      <c r="S663">
        <f t="shared" si="54"/>
        <v>42.9</v>
      </c>
    </row>
    <row r="664" spans="1:1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  <c r="J664" s="19"/>
      <c r="M664" s="7"/>
      <c r="O664">
        <f t="shared" si="50"/>
        <v>167</v>
      </c>
      <c r="P664">
        <f t="shared" si="51"/>
        <v>106</v>
      </c>
      <c r="Q664">
        <f t="shared" si="52"/>
        <v>46</v>
      </c>
      <c r="R664" s="10">
        <f t="shared" si="53"/>
        <v>231</v>
      </c>
      <c r="S664">
        <f t="shared" si="54"/>
        <v>37.6</v>
      </c>
    </row>
    <row r="665" spans="1:1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  <c r="J665" s="19"/>
      <c r="M665" s="7"/>
      <c r="O665">
        <f t="shared" si="50"/>
        <v>145</v>
      </c>
      <c r="P665">
        <f t="shared" si="51"/>
        <v>80</v>
      </c>
      <c r="Q665">
        <f t="shared" si="52"/>
        <v>46</v>
      </c>
      <c r="R665" s="10">
        <f t="shared" si="53"/>
        <v>130</v>
      </c>
      <c r="S665">
        <f t="shared" si="54"/>
        <v>37.9</v>
      </c>
    </row>
    <row r="666" spans="1:1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  <c r="J666" s="19"/>
      <c r="M666" s="7"/>
      <c r="O666">
        <f t="shared" si="50"/>
        <v>115</v>
      </c>
      <c r="P666">
        <f t="shared" si="51"/>
        <v>60</v>
      </c>
      <c r="Q666">
        <f t="shared" si="52"/>
        <v>39</v>
      </c>
      <c r="R666" s="10">
        <f t="shared" si="53"/>
        <v>30.5</v>
      </c>
      <c r="S666">
        <f t="shared" si="54"/>
        <v>33.700000000000003</v>
      </c>
    </row>
    <row r="667" spans="1:1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  <c r="J667" s="19"/>
      <c r="M667" s="7"/>
      <c r="O667">
        <f t="shared" si="50"/>
        <v>112</v>
      </c>
      <c r="P667">
        <f t="shared" si="51"/>
        <v>80</v>
      </c>
      <c r="Q667">
        <f t="shared" si="52"/>
        <v>45</v>
      </c>
      <c r="R667" s="10">
        <f t="shared" si="53"/>
        <v>132</v>
      </c>
      <c r="S667">
        <f t="shared" si="54"/>
        <v>34.799999999999997</v>
      </c>
    </row>
    <row r="668" spans="1:1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  <c r="J668" s="19"/>
      <c r="M668" s="7"/>
      <c r="O668">
        <f t="shared" si="50"/>
        <v>145</v>
      </c>
      <c r="P668">
        <f t="shared" si="51"/>
        <v>82</v>
      </c>
      <c r="Q668">
        <f t="shared" si="52"/>
        <v>18</v>
      </c>
      <c r="R668" s="10">
        <f t="shared" si="53"/>
        <v>30.5</v>
      </c>
      <c r="S668">
        <f t="shared" si="54"/>
        <v>32.5</v>
      </c>
    </row>
    <row r="669" spans="1:1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  <c r="J669" s="19"/>
      <c r="M669" s="7"/>
      <c r="O669">
        <f t="shared" si="50"/>
        <v>111</v>
      </c>
      <c r="P669">
        <f t="shared" si="51"/>
        <v>70</v>
      </c>
      <c r="Q669">
        <f t="shared" si="52"/>
        <v>27</v>
      </c>
      <c r="R669" s="10">
        <f t="shared" si="53"/>
        <v>30.5</v>
      </c>
      <c r="S669">
        <f t="shared" si="54"/>
        <v>27.5</v>
      </c>
    </row>
    <row r="670" spans="1:1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  <c r="J670" s="19"/>
      <c r="M670" s="7"/>
      <c r="O670">
        <f t="shared" si="50"/>
        <v>98</v>
      </c>
      <c r="P670">
        <f t="shared" si="51"/>
        <v>58</v>
      </c>
      <c r="Q670">
        <f t="shared" si="52"/>
        <v>33</v>
      </c>
      <c r="R670" s="10">
        <f t="shared" si="53"/>
        <v>190</v>
      </c>
      <c r="S670">
        <f t="shared" si="54"/>
        <v>34</v>
      </c>
    </row>
    <row r="671" spans="1:1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  <c r="J671" s="19"/>
      <c r="M671" s="7"/>
      <c r="O671">
        <f t="shared" si="50"/>
        <v>154</v>
      </c>
      <c r="P671">
        <f t="shared" si="51"/>
        <v>78</v>
      </c>
      <c r="Q671">
        <f t="shared" si="52"/>
        <v>30</v>
      </c>
      <c r="R671" s="10">
        <f t="shared" si="53"/>
        <v>100</v>
      </c>
      <c r="S671">
        <f t="shared" si="54"/>
        <v>30.9</v>
      </c>
    </row>
    <row r="672" spans="1:1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  <c r="J672" s="19"/>
      <c r="M672" s="7"/>
      <c r="O672">
        <f t="shared" si="50"/>
        <v>165</v>
      </c>
      <c r="P672">
        <f t="shared" si="51"/>
        <v>68</v>
      </c>
      <c r="Q672">
        <f t="shared" si="52"/>
        <v>26</v>
      </c>
      <c r="R672" s="10">
        <f t="shared" si="53"/>
        <v>168</v>
      </c>
      <c r="S672">
        <f t="shared" si="54"/>
        <v>33.6</v>
      </c>
    </row>
    <row r="673" spans="1:1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  <c r="J673" s="19"/>
      <c r="M673" s="7"/>
      <c r="O673">
        <f t="shared" si="50"/>
        <v>99</v>
      </c>
      <c r="P673">
        <f t="shared" si="51"/>
        <v>58</v>
      </c>
      <c r="Q673">
        <f t="shared" si="52"/>
        <v>10</v>
      </c>
      <c r="R673" s="10">
        <f t="shared" si="53"/>
        <v>30.5</v>
      </c>
      <c r="S673">
        <f t="shared" si="54"/>
        <v>25.4</v>
      </c>
    </row>
    <row r="674" spans="1:1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  <c r="J674" s="19"/>
      <c r="M674" s="7"/>
      <c r="O674">
        <f t="shared" si="50"/>
        <v>68</v>
      </c>
      <c r="P674">
        <f t="shared" si="51"/>
        <v>106</v>
      </c>
      <c r="Q674">
        <f t="shared" si="52"/>
        <v>23</v>
      </c>
      <c r="R674" s="10">
        <f t="shared" si="53"/>
        <v>49</v>
      </c>
      <c r="S674">
        <f t="shared" si="54"/>
        <v>35.5</v>
      </c>
    </row>
    <row r="675" spans="1:1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  <c r="J675" s="19"/>
      <c r="M675" s="7"/>
      <c r="O675">
        <f t="shared" si="50"/>
        <v>123</v>
      </c>
      <c r="P675">
        <f t="shared" si="51"/>
        <v>100</v>
      </c>
      <c r="Q675">
        <f t="shared" si="52"/>
        <v>35</v>
      </c>
      <c r="R675" s="10">
        <f t="shared" si="53"/>
        <v>240</v>
      </c>
      <c r="S675">
        <f t="shared" si="54"/>
        <v>57.3</v>
      </c>
    </row>
    <row r="676" spans="1:1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  <c r="J676" s="19"/>
      <c r="M676" s="7"/>
      <c r="O676">
        <f t="shared" si="50"/>
        <v>91</v>
      </c>
      <c r="P676">
        <f t="shared" si="51"/>
        <v>82</v>
      </c>
      <c r="Q676">
        <f t="shared" si="52"/>
        <v>23</v>
      </c>
      <c r="R676" s="10">
        <f t="shared" si="53"/>
        <v>30.5</v>
      </c>
      <c r="S676">
        <f t="shared" si="54"/>
        <v>35.6</v>
      </c>
    </row>
    <row r="677" spans="1:1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  <c r="J677" s="19"/>
      <c r="M677" s="7"/>
      <c r="O677">
        <f t="shared" si="50"/>
        <v>195</v>
      </c>
      <c r="P677">
        <f t="shared" si="51"/>
        <v>70</v>
      </c>
      <c r="Q677">
        <f t="shared" si="52"/>
        <v>23</v>
      </c>
      <c r="R677" s="10">
        <f t="shared" si="53"/>
        <v>30.5</v>
      </c>
      <c r="S677">
        <f t="shared" si="54"/>
        <v>30.9</v>
      </c>
    </row>
    <row r="678" spans="1:1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  <c r="J678" s="19"/>
      <c r="M678" s="7"/>
      <c r="O678">
        <f t="shared" si="50"/>
        <v>156</v>
      </c>
      <c r="P678">
        <f t="shared" si="51"/>
        <v>86</v>
      </c>
      <c r="Q678">
        <f t="shared" si="52"/>
        <v>23</v>
      </c>
      <c r="R678" s="10">
        <f t="shared" si="53"/>
        <v>30.5</v>
      </c>
      <c r="S678">
        <f t="shared" si="54"/>
        <v>24.8</v>
      </c>
    </row>
    <row r="679" spans="1:1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  <c r="J679" s="19"/>
      <c r="M679" s="7"/>
      <c r="O679">
        <f t="shared" si="50"/>
        <v>93</v>
      </c>
      <c r="P679">
        <f t="shared" si="51"/>
        <v>60</v>
      </c>
      <c r="Q679">
        <f t="shared" si="52"/>
        <v>23</v>
      </c>
      <c r="R679" s="10">
        <f t="shared" si="53"/>
        <v>30.5</v>
      </c>
      <c r="S679">
        <f t="shared" si="54"/>
        <v>35.299999999999997</v>
      </c>
    </row>
    <row r="680" spans="1:1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  <c r="J680" s="19"/>
      <c r="M680" s="7"/>
      <c r="O680">
        <f t="shared" si="50"/>
        <v>121</v>
      </c>
      <c r="P680">
        <f t="shared" si="51"/>
        <v>52</v>
      </c>
      <c r="Q680">
        <f t="shared" si="52"/>
        <v>23</v>
      </c>
      <c r="R680" s="10">
        <f t="shared" si="53"/>
        <v>30.5</v>
      </c>
      <c r="S680">
        <f t="shared" si="54"/>
        <v>36</v>
      </c>
    </row>
    <row r="681" spans="1:1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  <c r="J681" s="19"/>
      <c r="M681" s="7"/>
      <c r="O681">
        <f t="shared" si="50"/>
        <v>101</v>
      </c>
      <c r="P681">
        <f t="shared" si="51"/>
        <v>58</v>
      </c>
      <c r="Q681">
        <f t="shared" si="52"/>
        <v>17</v>
      </c>
      <c r="R681" s="10">
        <f t="shared" si="53"/>
        <v>265</v>
      </c>
      <c r="S681">
        <f t="shared" si="54"/>
        <v>24.2</v>
      </c>
    </row>
    <row r="682" spans="1:1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  <c r="J682" s="19"/>
      <c r="M682" s="7"/>
      <c r="O682">
        <f t="shared" si="50"/>
        <v>56</v>
      </c>
      <c r="P682">
        <f t="shared" si="51"/>
        <v>56</v>
      </c>
      <c r="Q682">
        <f t="shared" si="52"/>
        <v>28</v>
      </c>
      <c r="R682" s="10">
        <f t="shared" si="53"/>
        <v>45</v>
      </c>
      <c r="S682">
        <f t="shared" si="54"/>
        <v>24.2</v>
      </c>
    </row>
    <row r="683" spans="1:1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  <c r="J683" s="19"/>
      <c r="M683" s="7"/>
      <c r="O683">
        <f t="shared" si="50"/>
        <v>162</v>
      </c>
      <c r="P683">
        <f t="shared" si="51"/>
        <v>76</v>
      </c>
      <c r="Q683">
        <f t="shared" si="52"/>
        <v>36</v>
      </c>
      <c r="R683" s="10">
        <f t="shared" si="53"/>
        <v>30.5</v>
      </c>
      <c r="S683">
        <f t="shared" si="54"/>
        <v>49.6</v>
      </c>
    </row>
    <row r="684" spans="1:1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  <c r="J684" s="19"/>
      <c r="M684" s="7"/>
      <c r="O684">
        <f t="shared" si="50"/>
        <v>95</v>
      </c>
      <c r="P684">
        <f t="shared" si="51"/>
        <v>64</v>
      </c>
      <c r="Q684">
        <f t="shared" si="52"/>
        <v>39</v>
      </c>
      <c r="R684" s="10">
        <f t="shared" si="53"/>
        <v>105</v>
      </c>
      <c r="S684">
        <f t="shared" si="54"/>
        <v>44.6</v>
      </c>
    </row>
    <row r="685" spans="1:1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  <c r="J685" s="19"/>
      <c r="M685" s="7"/>
      <c r="O685">
        <f t="shared" si="50"/>
        <v>125</v>
      </c>
      <c r="P685">
        <f t="shared" si="51"/>
        <v>80</v>
      </c>
      <c r="Q685">
        <f t="shared" si="52"/>
        <v>23</v>
      </c>
      <c r="R685" s="10">
        <f t="shared" si="53"/>
        <v>30.5</v>
      </c>
      <c r="S685">
        <f t="shared" si="54"/>
        <v>32.299999999999997</v>
      </c>
    </row>
    <row r="686" spans="1:1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  <c r="J686" s="19"/>
      <c r="M686" s="7"/>
      <c r="O686">
        <f t="shared" si="50"/>
        <v>136</v>
      </c>
      <c r="P686">
        <f t="shared" si="51"/>
        <v>82</v>
      </c>
      <c r="Q686">
        <f t="shared" si="52"/>
        <v>23</v>
      </c>
      <c r="R686" s="10">
        <f t="shared" si="53"/>
        <v>30.5</v>
      </c>
      <c r="S686">
        <f t="shared" si="54"/>
        <v>32</v>
      </c>
    </row>
    <row r="687" spans="1:1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  <c r="J687" s="19"/>
      <c r="M687" s="7"/>
      <c r="O687">
        <f t="shared" si="50"/>
        <v>129</v>
      </c>
      <c r="P687">
        <f t="shared" si="51"/>
        <v>74</v>
      </c>
      <c r="Q687">
        <f t="shared" si="52"/>
        <v>26</v>
      </c>
      <c r="R687" s="10">
        <f t="shared" si="53"/>
        <v>205</v>
      </c>
      <c r="S687">
        <f t="shared" si="54"/>
        <v>33.200000000000003</v>
      </c>
    </row>
    <row r="688" spans="1:1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  <c r="J688" s="19"/>
      <c r="M688" s="7"/>
      <c r="O688">
        <f t="shared" si="50"/>
        <v>130</v>
      </c>
      <c r="P688">
        <f t="shared" si="51"/>
        <v>64</v>
      </c>
      <c r="Q688">
        <f t="shared" si="52"/>
        <v>23</v>
      </c>
      <c r="R688" s="10">
        <f t="shared" si="53"/>
        <v>30.5</v>
      </c>
      <c r="S688">
        <f t="shared" si="54"/>
        <v>23.1</v>
      </c>
    </row>
    <row r="689" spans="1:1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  <c r="J689" s="19"/>
      <c r="M689" s="7"/>
      <c r="O689">
        <f t="shared" si="50"/>
        <v>107</v>
      </c>
      <c r="P689">
        <f t="shared" si="51"/>
        <v>50</v>
      </c>
      <c r="Q689">
        <f t="shared" si="52"/>
        <v>19</v>
      </c>
      <c r="R689" s="10">
        <f t="shared" si="53"/>
        <v>30.5</v>
      </c>
      <c r="S689">
        <f t="shared" si="54"/>
        <v>28.3</v>
      </c>
    </row>
    <row r="690" spans="1:1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  <c r="J690" s="19"/>
      <c r="M690" s="7"/>
      <c r="O690">
        <f t="shared" si="50"/>
        <v>140</v>
      </c>
      <c r="P690">
        <f t="shared" si="51"/>
        <v>74</v>
      </c>
      <c r="Q690">
        <f t="shared" si="52"/>
        <v>26</v>
      </c>
      <c r="R690" s="10">
        <f t="shared" si="53"/>
        <v>180</v>
      </c>
      <c r="S690">
        <f t="shared" si="54"/>
        <v>24.1</v>
      </c>
    </row>
    <row r="691" spans="1:1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  <c r="J691" s="19"/>
      <c r="M691" s="7"/>
      <c r="O691">
        <f t="shared" si="50"/>
        <v>144</v>
      </c>
      <c r="P691">
        <f t="shared" si="51"/>
        <v>82</v>
      </c>
      <c r="Q691">
        <f t="shared" si="52"/>
        <v>46</v>
      </c>
      <c r="R691" s="10">
        <f t="shared" si="53"/>
        <v>180</v>
      </c>
      <c r="S691">
        <f t="shared" si="54"/>
        <v>46.1</v>
      </c>
    </row>
    <row r="692" spans="1:1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  <c r="J692" s="19"/>
      <c r="M692" s="7"/>
      <c r="O692">
        <f t="shared" si="50"/>
        <v>107</v>
      </c>
      <c r="P692">
        <f t="shared" si="51"/>
        <v>80</v>
      </c>
      <c r="Q692">
        <f t="shared" si="52"/>
        <v>23</v>
      </c>
      <c r="R692" s="10">
        <f t="shared" si="53"/>
        <v>30.5</v>
      </c>
      <c r="S692">
        <f t="shared" si="54"/>
        <v>24.6</v>
      </c>
    </row>
    <row r="693" spans="1:1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  <c r="J693" s="19"/>
      <c r="M693" s="7"/>
      <c r="O693">
        <f t="shared" si="50"/>
        <v>158</v>
      </c>
      <c r="P693">
        <f t="shared" si="51"/>
        <v>114</v>
      </c>
      <c r="Q693">
        <f t="shared" si="52"/>
        <v>23</v>
      </c>
      <c r="R693" s="10">
        <f t="shared" si="53"/>
        <v>30.5</v>
      </c>
      <c r="S693">
        <f t="shared" si="54"/>
        <v>42.3</v>
      </c>
    </row>
    <row r="694" spans="1:1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  <c r="J694" s="19"/>
      <c r="M694" s="7"/>
      <c r="O694">
        <f t="shared" si="50"/>
        <v>121</v>
      </c>
      <c r="P694">
        <f t="shared" si="51"/>
        <v>70</v>
      </c>
      <c r="Q694">
        <f t="shared" si="52"/>
        <v>32</v>
      </c>
      <c r="R694" s="10">
        <f t="shared" si="53"/>
        <v>95</v>
      </c>
      <c r="S694">
        <f t="shared" si="54"/>
        <v>39.1</v>
      </c>
    </row>
    <row r="695" spans="1:1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  <c r="J695" s="19"/>
      <c r="M695" s="7"/>
      <c r="O695">
        <f t="shared" si="50"/>
        <v>129</v>
      </c>
      <c r="P695">
        <f t="shared" si="51"/>
        <v>68</v>
      </c>
      <c r="Q695">
        <f t="shared" si="52"/>
        <v>49</v>
      </c>
      <c r="R695" s="10">
        <f t="shared" si="53"/>
        <v>125</v>
      </c>
      <c r="S695">
        <f t="shared" si="54"/>
        <v>38.5</v>
      </c>
    </row>
    <row r="696" spans="1:1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  <c r="J696" s="19"/>
      <c r="M696" s="7"/>
      <c r="O696">
        <f t="shared" si="50"/>
        <v>90</v>
      </c>
      <c r="P696">
        <f t="shared" si="51"/>
        <v>60</v>
      </c>
      <c r="Q696">
        <f t="shared" si="52"/>
        <v>23</v>
      </c>
      <c r="R696" s="10">
        <f t="shared" si="53"/>
        <v>30.5</v>
      </c>
      <c r="S696">
        <f t="shared" si="54"/>
        <v>23.5</v>
      </c>
    </row>
    <row r="697" spans="1:1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  <c r="J697" s="19"/>
      <c r="M697" s="7"/>
      <c r="O697">
        <f t="shared" si="50"/>
        <v>142</v>
      </c>
      <c r="P697">
        <f t="shared" si="51"/>
        <v>90</v>
      </c>
      <c r="Q697">
        <f t="shared" si="52"/>
        <v>24</v>
      </c>
      <c r="R697" s="10">
        <f t="shared" si="53"/>
        <v>480</v>
      </c>
      <c r="S697">
        <f t="shared" si="54"/>
        <v>30.4</v>
      </c>
    </row>
    <row r="698" spans="1:1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  <c r="J698" s="19"/>
      <c r="M698" s="7"/>
      <c r="O698">
        <f t="shared" si="50"/>
        <v>169</v>
      </c>
      <c r="P698">
        <f t="shared" si="51"/>
        <v>74</v>
      </c>
      <c r="Q698">
        <f t="shared" si="52"/>
        <v>19</v>
      </c>
      <c r="R698" s="10">
        <f t="shared" si="53"/>
        <v>125</v>
      </c>
      <c r="S698">
        <f t="shared" si="54"/>
        <v>29.9</v>
      </c>
    </row>
    <row r="699" spans="1:1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  <c r="J699" s="19"/>
      <c r="M699" s="7"/>
      <c r="O699">
        <f t="shared" si="50"/>
        <v>99</v>
      </c>
      <c r="P699">
        <f t="shared" si="51"/>
        <v>72</v>
      </c>
      <c r="Q699">
        <f t="shared" si="52"/>
        <v>23</v>
      </c>
      <c r="R699" s="10">
        <f t="shared" si="53"/>
        <v>30.5</v>
      </c>
      <c r="S699">
        <f t="shared" si="54"/>
        <v>25</v>
      </c>
    </row>
    <row r="700" spans="1:1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  <c r="J700" s="19"/>
      <c r="M700" s="7"/>
      <c r="O700">
        <f t="shared" si="50"/>
        <v>127</v>
      </c>
      <c r="P700">
        <f t="shared" si="51"/>
        <v>88</v>
      </c>
      <c r="Q700">
        <f t="shared" si="52"/>
        <v>11</v>
      </c>
      <c r="R700" s="10">
        <f t="shared" si="53"/>
        <v>155</v>
      </c>
      <c r="S700">
        <f t="shared" si="54"/>
        <v>34.5</v>
      </c>
    </row>
    <row r="701" spans="1:1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  <c r="J701" s="19"/>
      <c r="M701" s="7"/>
      <c r="O701">
        <f t="shared" si="50"/>
        <v>118</v>
      </c>
      <c r="P701">
        <f t="shared" si="51"/>
        <v>70</v>
      </c>
      <c r="Q701">
        <f t="shared" si="52"/>
        <v>23</v>
      </c>
      <c r="R701" s="10">
        <f t="shared" si="53"/>
        <v>30.5</v>
      </c>
      <c r="S701">
        <f t="shared" si="54"/>
        <v>44.5</v>
      </c>
    </row>
    <row r="702" spans="1:1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  <c r="J702" s="19"/>
      <c r="M702" s="7"/>
      <c r="O702">
        <f t="shared" si="50"/>
        <v>122</v>
      </c>
      <c r="P702">
        <f t="shared" si="51"/>
        <v>76</v>
      </c>
      <c r="Q702">
        <f t="shared" si="52"/>
        <v>27</v>
      </c>
      <c r="R702" s="10">
        <f t="shared" si="53"/>
        <v>200</v>
      </c>
      <c r="S702">
        <f t="shared" si="54"/>
        <v>35.9</v>
      </c>
    </row>
    <row r="703" spans="1:1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  <c r="J703" s="19"/>
      <c r="M703" s="7"/>
      <c r="O703">
        <f t="shared" si="50"/>
        <v>125</v>
      </c>
      <c r="P703">
        <f t="shared" si="51"/>
        <v>78</v>
      </c>
      <c r="Q703">
        <f t="shared" si="52"/>
        <v>31</v>
      </c>
      <c r="R703" s="10">
        <f t="shared" si="53"/>
        <v>30.5</v>
      </c>
      <c r="S703">
        <f t="shared" si="54"/>
        <v>27.6</v>
      </c>
    </row>
    <row r="704" spans="1:1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  <c r="J704" s="19"/>
      <c r="M704" s="7"/>
      <c r="O704">
        <f t="shared" si="50"/>
        <v>168</v>
      </c>
      <c r="P704">
        <f t="shared" si="51"/>
        <v>88</v>
      </c>
      <c r="Q704">
        <f t="shared" si="52"/>
        <v>29</v>
      </c>
      <c r="R704" s="10">
        <f t="shared" si="53"/>
        <v>30.5</v>
      </c>
      <c r="S704">
        <f t="shared" si="54"/>
        <v>35</v>
      </c>
    </row>
    <row r="705" spans="1:1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  <c r="J705" s="19"/>
      <c r="M705" s="7"/>
      <c r="O705">
        <f t="shared" si="50"/>
        <v>129</v>
      </c>
      <c r="P705">
        <f t="shared" si="51"/>
        <v>72</v>
      </c>
      <c r="Q705">
        <f t="shared" si="52"/>
        <v>23</v>
      </c>
      <c r="R705" s="10">
        <f t="shared" si="53"/>
        <v>30.5</v>
      </c>
      <c r="S705">
        <f t="shared" si="54"/>
        <v>38.5</v>
      </c>
    </row>
    <row r="706" spans="1:1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  <c r="J706" s="19"/>
      <c r="M706" s="7"/>
      <c r="O706">
        <f t="shared" si="50"/>
        <v>110</v>
      </c>
      <c r="P706">
        <f t="shared" si="51"/>
        <v>76</v>
      </c>
      <c r="Q706">
        <f t="shared" si="52"/>
        <v>20</v>
      </c>
      <c r="R706" s="10">
        <f t="shared" si="53"/>
        <v>100</v>
      </c>
      <c r="S706">
        <f t="shared" si="54"/>
        <v>28.4</v>
      </c>
    </row>
    <row r="707" spans="1:1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  <c r="J707" s="19"/>
      <c r="M707" s="7"/>
      <c r="O707">
        <f t="shared" ref="O707:O769" si="55">IF(B707=0,$L$11,B707)</f>
        <v>80</v>
      </c>
      <c r="P707">
        <f t="shared" ref="P707:P769" si="56">IF(C707=0,$L$12,C707)</f>
        <v>80</v>
      </c>
      <c r="Q707">
        <f t="shared" ref="Q707:Q769" si="57">IF(D707=0,$L$13,D707)</f>
        <v>36</v>
      </c>
      <c r="R707" s="10">
        <f t="shared" ref="R707:R769" si="58">IF(E707=0,$L$14,E707)</f>
        <v>30.5</v>
      </c>
      <c r="S707">
        <f t="shared" ref="S707:S769" si="59">IF(F707=0,$L$15,F707)</f>
        <v>39.799999999999997</v>
      </c>
    </row>
    <row r="708" spans="1:1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  <c r="J708" s="19"/>
      <c r="M708" s="7"/>
      <c r="O708">
        <f t="shared" si="55"/>
        <v>115</v>
      </c>
      <c r="P708">
        <f t="shared" si="56"/>
        <v>72</v>
      </c>
      <c r="Q708">
        <f t="shared" si="57"/>
        <v>23</v>
      </c>
      <c r="R708" s="10">
        <f t="shared" si="58"/>
        <v>30.5</v>
      </c>
      <c r="S708">
        <f t="shared" si="59"/>
        <v>32</v>
      </c>
    </row>
    <row r="709" spans="1:1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  <c r="J709" s="19"/>
      <c r="M709" s="7"/>
      <c r="O709">
        <f t="shared" si="55"/>
        <v>127</v>
      </c>
      <c r="P709">
        <f t="shared" si="56"/>
        <v>46</v>
      </c>
      <c r="Q709">
        <f t="shared" si="57"/>
        <v>21</v>
      </c>
      <c r="R709" s="10">
        <f t="shared" si="58"/>
        <v>335</v>
      </c>
      <c r="S709">
        <f t="shared" si="59"/>
        <v>34.4</v>
      </c>
    </row>
    <row r="710" spans="1:1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  <c r="J710" s="19"/>
      <c r="M710" s="7"/>
      <c r="O710">
        <f t="shared" si="55"/>
        <v>164</v>
      </c>
      <c r="P710">
        <f t="shared" si="56"/>
        <v>78</v>
      </c>
      <c r="Q710">
        <f t="shared" si="57"/>
        <v>23</v>
      </c>
      <c r="R710" s="10">
        <f t="shared" si="58"/>
        <v>30.5</v>
      </c>
      <c r="S710">
        <f t="shared" si="59"/>
        <v>32.799999999999997</v>
      </c>
    </row>
    <row r="711" spans="1:1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  <c r="J711" s="19"/>
      <c r="M711" s="7"/>
      <c r="O711">
        <f t="shared" si="55"/>
        <v>93</v>
      </c>
      <c r="P711">
        <f t="shared" si="56"/>
        <v>64</v>
      </c>
      <c r="Q711">
        <f t="shared" si="57"/>
        <v>32</v>
      </c>
      <c r="R711" s="10">
        <f t="shared" si="58"/>
        <v>160</v>
      </c>
      <c r="S711">
        <f t="shared" si="59"/>
        <v>38</v>
      </c>
    </row>
    <row r="712" spans="1:1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  <c r="J712" s="19"/>
      <c r="M712" s="7"/>
      <c r="O712">
        <f t="shared" si="55"/>
        <v>158</v>
      </c>
      <c r="P712">
        <f t="shared" si="56"/>
        <v>64</v>
      </c>
      <c r="Q712">
        <f t="shared" si="57"/>
        <v>13</v>
      </c>
      <c r="R712" s="10">
        <f t="shared" si="58"/>
        <v>387</v>
      </c>
      <c r="S712">
        <f t="shared" si="59"/>
        <v>31.2</v>
      </c>
    </row>
    <row r="713" spans="1:1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  <c r="J713" s="19"/>
      <c r="M713" s="7"/>
      <c r="O713">
        <f t="shared" si="55"/>
        <v>126</v>
      </c>
      <c r="P713">
        <f t="shared" si="56"/>
        <v>78</v>
      </c>
      <c r="Q713">
        <f t="shared" si="57"/>
        <v>27</v>
      </c>
      <c r="R713" s="10">
        <f t="shared" si="58"/>
        <v>22</v>
      </c>
      <c r="S713">
        <f t="shared" si="59"/>
        <v>29.6</v>
      </c>
    </row>
    <row r="714" spans="1:1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  <c r="J714" s="19"/>
      <c r="M714" s="7"/>
      <c r="O714">
        <f t="shared" si="55"/>
        <v>129</v>
      </c>
      <c r="P714">
        <f t="shared" si="56"/>
        <v>62</v>
      </c>
      <c r="Q714">
        <f t="shared" si="57"/>
        <v>36</v>
      </c>
      <c r="R714" s="10">
        <f t="shared" si="58"/>
        <v>30.5</v>
      </c>
      <c r="S714">
        <f t="shared" si="59"/>
        <v>41.2</v>
      </c>
    </row>
    <row r="715" spans="1:1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  <c r="J715" s="19"/>
      <c r="M715" s="7"/>
      <c r="O715">
        <f t="shared" si="55"/>
        <v>134</v>
      </c>
      <c r="P715">
        <f t="shared" si="56"/>
        <v>58</v>
      </c>
      <c r="Q715">
        <f t="shared" si="57"/>
        <v>20</v>
      </c>
      <c r="R715" s="10">
        <f t="shared" si="58"/>
        <v>291</v>
      </c>
      <c r="S715">
        <f t="shared" si="59"/>
        <v>26.4</v>
      </c>
    </row>
    <row r="716" spans="1:1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  <c r="J716" s="19"/>
      <c r="M716" s="7"/>
      <c r="O716">
        <f t="shared" si="55"/>
        <v>102</v>
      </c>
      <c r="P716">
        <f t="shared" si="56"/>
        <v>74</v>
      </c>
      <c r="Q716">
        <f t="shared" si="57"/>
        <v>23</v>
      </c>
      <c r="R716" s="10">
        <f t="shared" si="58"/>
        <v>30.5</v>
      </c>
      <c r="S716">
        <f t="shared" si="59"/>
        <v>29.5</v>
      </c>
    </row>
    <row r="717" spans="1:1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  <c r="J717" s="19"/>
      <c r="M717" s="7"/>
      <c r="O717">
        <f t="shared" si="55"/>
        <v>187</v>
      </c>
      <c r="P717">
        <f t="shared" si="56"/>
        <v>50</v>
      </c>
      <c r="Q717">
        <f t="shared" si="57"/>
        <v>33</v>
      </c>
      <c r="R717" s="10">
        <f t="shared" si="58"/>
        <v>392</v>
      </c>
      <c r="S717">
        <f t="shared" si="59"/>
        <v>33.9</v>
      </c>
    </row>
    <row r="718" spans="1:1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  <c r="J718" s="19"/>
      <c r="M718" s="7"/>
      <c r="O718">
        <f t="shared" si="55"/>
        <v>173</v>
      </c>
      <c r="P718">
        <f t="shared" si="56"/>
        <v>78</v>
      </c>
      <c r="Q718">
        <f t="shared" si="57"/>
        <v>39</v>
      </c>
      <c r="R718" s="10">
        <f t="shared" si="58"/>
        <v>185</v>
      </c>
      <c r="S718">
        <f t="shared" si="59"/>
        <v>33.799999999999997</v>
      </c>
    </row>
    <row r="719" spans="1:1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  <c r="J719" s="19"/>
      <c r="M719" s="7"/>
      <c r="O719">
        <f t="shared" si="55"/>
        <v>94</v>
      </c>
      <c r="P719">
        <f t="shared" si="56"/>
        <v>72</v>
      </c>
      <c r="Q719">
        <f t="shared" si="57"/>
        <v>18</v>
      </c>
      <c r="R719" s="10">
        <f t="shared" si="58"/>
        <v>30.5</v>
      </c>
      <c r="S719">
        <f t="shared" si="59"/>
        <v>23.1</v>
      </c>
    </row>
    <row r="720" spans="1:1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  <c r="J720" s="19"/>
      <c r="M720" s="7"/>
      <c r="O720">
        <f t="shared" si="55"/>
        <v>108</v>
      </c>
      <c r="P720">
        <f t="shared" si="56"/>
        <v>60</v>
      </c>
      <c r="Q720">
        <f t="shared" si="57"/>
        <v>46</v>
      </c>
      <c r="R720" s="10">
        <f t="shared" si="58"/>
        <v>178</v>
      </c>
      <c r="S720">
        <f t="shared" si="59"/>
        <v>35.5</v>
      </c>
    </row>
    <row r="721" spans="1:1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  <c r="J721" s="19"/>
      <c r="M721" s="7"/>
      <c r="O721">
        <f t="shared" si="55"/>
        <v>97</v>
      </c>
      <c r="P721">
        <f t="shared" si="56"/>
        <v>76</v>
      </c>
      <c r="Q721">
        <f t="shared" si="57"/>
        <v>27</v>
      </c>
      <c r="R721" s="10">
        <f t="shared" si="58"/>
        <v>30.5</v>
      </c>
      <c r="S721">
        <f t="shared" si="59"/>
        <v>35.6</v>
      </c>
    </row>
    <row r="722" spans="1:1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  <c r="J722" s="19"/>
      <c r="M722" s="7"/>
      <c r="O722">
        <f t="shared" si="55"/>
        <v>83</v>
      </c>
      <c r="P722">
        <f t="shared" si="56"/>
        <v>86</v>
      </c>
      <c r="Q722">
        <f t="shared" si="57"/>
        <v>19</v>
      </c>
      <c r="R722" s="10">
        <f t="shared" si="58"/>
        <v>30.5</v>
      </c>
      <c r="S722">
        <f t="shared" si="59"/>
        <v>29.3</v>
      </c>
    </row>
    <row r="723" spans="1:1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  <c r="J723" s="19"/>
      <c r="M723" s="7"/>
      <c r="O723">
        <f t="shared" si="55"/>
        <v>114</v>
      </c>
      <c r="P723">
        <f t="shared" si="56"/>
        <v>66</v>
      </c>
      <c r="Q723">
        <f t="shared" si="57"/>
        <v>36</v>
      </c>
      <c r="R723" s="10">
        <f t="shared" si="58"/>
        <v>200</v>
      </c>
      <c r="S723">
        <f t="shared" si="59"/>
        <v>38.1</v>
      </c>
    </row>
    <row r="724" spans="1:1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  <c r="J724" s="19"/>
      <c r="M724" s="7"/>
      <c r="O724">
        <f t="shared" si="55"/>
        <v>149</v>
      </c>
      <c r="P724">
        <f t="shared" si="56"/>
        <v>68</v>
      </c>
      <c r="Q724">
        <f t="shared" si="57"/>
        <v>29</v>
      </c>
      <c r="R724" s="10">
        <f t="shared" si="58"/>
        <v>127</v>
      </c>
      <c r="S724">
        <f t="shared" si="59"/>
        <v>29.3</v>
      </c>
    </row>
    <row r="725" spans="1:1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  <c r="J725" s="19"/>
      <c r="M725" s="7"/>
      <c r="O725">
        <f t="shared" si="55"/>
        <v>117</v>
      </c>
      <c r="P725">
        <f t="shared" si="56"/>
        <v>86</v>
      </c>
      <c r="Q725">
        <f t="shared" si="57"/>
        <v>30</v>
      </c>
      <c r="R725" s="10">
        <f t="shared" si="58"/>
        <v>105</v>
      </c>
      <c r="S725">
        <f t="shared" si="59"/>
        <v>39.1</v>
      </c>
    </row>
    <row r="726" spans="1:1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  <c r="J726" s="19"/>
      <c r="M726" s="7"/>
      <c r="O726">
        <f t="shared" si="55"/>
        <v>111</v>
      </c>
      <c r="P726">
        <f t="shared" si="56"/>
        <v>94</v>
      </c>
      <c r="Q726">
        <f t="shared" si="57"/>
        <v>23</v>
      </c>
      <c r="R726" s="10">
        <f t="shared" si="58"/>
        <v>30.5</v>
      </c>
      <c r="S726">
        <f t="shared" si="59"/>
        <v>32.799999999999997</v>
      </c>
    </row>
    <row r="727" spans="1:1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  <c r="J727" s="19"/>
      <c r="M727" s="7"/>
      <c r="O727">
        <f t="shared" si="55"/>
        <v>112</v>
      </c>
      <c r="P727">
        <f t="shared" si="56"/>
        <v>78</v>
      </c>
      <c r="Q727">
        <f t="shared" si="57"/>
        <v>40</v>
      </c>
      <c r="R727" s="10">
        <f t="shared" si="58"/>
        <v>30.5</v>
      </c>
      <c r="S727">
        <f t="shared" si="59"/>
        <v>39.4</v>
      </c>
    </row>
    <row r="728" spans="1:1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  <c r="J728" s="19"/>
      <c r="M728" s="7"/>
      <c r="O728">
        <f t="shared" si="55"/>
        <v>116</v>
      </c>
      <c r="P728">
        <f t="shared" si="56"/>
        <v>78</v>
      </c>
      <c r="Q728">
        <f t="shared" si="57"/>
        <v>29</v>
      </c>
      <c r="R728" s="10">
        <f t="shared" si="58"/>
        <v>180</v>
      </c>
      <c r="S728">
        <f t="shared" si="59"/>
        <v>36.1</v>
      </c>
    </row>
    <row r="729" spans="1:1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  <c r="J729" s="19"/>
      <c r="M729" s="7"/>
      <c r="O729">
        <f t="shared" si="55"/>
        <v>141</v>
      </c>
      <c r="P729">
        <f t="shared" si="56"/>
        <v>84</v>
      </c>
      <c r="Q729">
        <f t="shared" si="57"/>
        <v>26</v>
      </c>
      <c r="R729" s="10">
        <f t="shared" si="58"/>
        <v>30.5</v>
      </c>
      <c r="S729">
        <f t="shared" si="59"/>
        <v>32.4</v>
      </c>
    </row>
    <row r="730" spans="1:1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  <c r="J730" s="19"/>
      <c r="M730" s="7"/>
      <c r="O730">
        <f t="shared" si="55"/>
        <v>175</v>
      </c>
      <c r="P730">
        <f t="shared" si="56"/>
        <v>88</v>
      </c>
      <c r="Q730">
        <f t="shared" si="57"/>
        <v>23</v>
      </c>
      <c r="R730" s="10">
        <f t="shared" si="58"/>
        <v>30.5</v>
      </c>
      <c r="S730">
        <f t="shared" si="59"/>
        <v>22.9</v>
      </c>
    </row>
    <row r="731" spans="1:1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  <c r="J731" s="19"/>
      <c r="M731" s="7"/>
      <c r="O731">
        <f t="shared" si="55"/>
        <v>92</v>
      </c>
      <c r="P731">
        <f t="shared" si="56"/>
        <v>52</v>
      </c>
      <c r="Q731">
        <f t="shared" si="57"/>
        <v>23</v>
      </c>
      <c r="R731" s="10">
        <f t="shared" si="58"/>
        <v>30.5</v>
      </c>
      <c r="S731">
        <f t="shared" si="59"/>
        <v>30.1</v>
      </c>
    </row>
    <row r="732" spans="1:1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  <c r="J732" s="19"/>
      <c r="M732" s="7"/>
      <c r="O732">
        <f t="shared" si="55"/>
        <v>130</v>
      </c>
      <c r="P732">
        <f t="shared" si="56"/>
        <v>78</v>
      </c>
      <c r="Q732">
        <f t="shared" si="57"/>
        <v>23</v>
      </c>
      <c r="R732" s="10">
        <f t="shared" si="58"/>
        <v>79</v>
      </c>
      <c r="S732">
        <f t="shared" si="59"/>
        <v>28.4</v>
      </c>
    </row>
    <row r="733" spans="1:1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  <c r="J733" s="19"/>
      <c r="M733" s="7"/>
      <c r="O733">
        <f t="shared" si="55"/>
        <v>120</v>
      </c>
      <c r="P733">
        <f t="shared" si="56"/>
        <v>86</v>
      </c>
      <c r="Q733">
        <f t="shared" si="57"/>
        <v>23</v>
      </c>
      <c r="R733" s="10">
        <f t="shared" si="58"/>
        <v>30.5</v>
      </c>
      <c r="S733">
        <f t="shared" si="59"/>
        <v>28.4</v>
      </c>
    </row>
    <row r="734" spans="1:1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  <c r="J734" s="19"/>
      <c r="M734" s="7"/>
      <c r="O734">
        <f t="shared" si="55"/>
        <v>174</v>
      </c>
      <c r="P734">
        <f t="shared" si="56"/>
        <v>88</v>
      </c>
      <c r="Q734">
        <f t="shared" si="57"/>
        <v>37</v>
      </c>
      <c r="R734" s="10">
        <f t="shared" si="58"/>
        <v>120</v>
      </c>
      <c r="S734">
        <f t="shared" si="59"/>
        <v>44.5</v>
      </c>
    </row>
    <row r="735" spans="1:1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  <c r="J735" s="19"/>
      <c r="M735" s="7"/>
      <c r="O735">
        <f t="shared" si="55"/>
        <v>106</v>
      </c>
      <c r="P735">
        <f t="shared" si="56"/>
        <v>56</v>
      </c>
      <c r="Q735">
        <f t="shared" si="57"/>
        <v>27</v>
      </c>
      <c r="R735" s="10">
        <f t="shared" si="58"/>
        <v>165</v>
      </c>
      <c r="S735">
        <f t="shared" si="59"/>
        <v>29</v>
      </c>
    </row>
    <row r="736" spans="1:1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  <c r="J736" s="19"/>
      <c r="M736" s="7"/>
      <c r="O736">
        <f t="shared" si="55"/>
        <v>105</v>
      </c>
      <c r="P736">
        <f t="shared" si="56"/>
        <v>75</v>
      </c>
      <c r="Q736">
        <f t="shared" si="57"/>
        <v>23</v>
      </c>
      <c r="R736" s="10">
        <f t="shared" si="58"/>
        <v>30.5</v>
      </c>
      <c r="S736">
        <f t="shared" si="59"/>
        <v>23.3</v>
      </c>
    </row>
    <row r="737" spans="1:1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  <c r="J737" s="19"/>
      <c r="M737" s="7"/>
      <c r="O737">
        <f t="shared" si="55"/>
        <v>95</v>
      </c>
      <c r="P737">
        <f t="shared" si="56"/>
        <v>60</v>
      </c>
      <c r="Q737">
        <f t="shared" si="57"/>
        <v>32</v>
      </c>
      <c r="R737" s="10">
        <f t="shared" si="58"/>
        <v>30.5</v>
      </c>
      <c r="S737">
        <f t="shared" si="59"/>
        <v>35.4</v>
      </c>
    </row>
    <row r="738" spans="1:1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  <c r="J738" s="19"/>
      <c r="M738" s="7"/>
      <c r="O738">
        <f t="shared" si="55"/>
        <v>126</v>
      </c>
      <c r="P738">
        <f t="shared" si="56"/>
        <v>86</v>
      </c>
      <c r="Q738">
        <f t="shared" si="57"/>
        <v>27</v>
      </c>
      <c r="R738" s="10">
        <f t="shared" si="58"/>
        <v>120</v>
      </c>
      <c r="S738">
        <f t="shared" si="59"/>
        <v>27.4</v>
      </c>
    </row>
    <row r="739" spans="1:1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  <c r="J739" s="19"/>
      <c r="M739" s="7"/>
      <c r="O739">
        <f t="shared" si="55"/>
        <v>65</v>
      </c>
      <c r="P739">
        <f t="shared" si="56"/>
        <v>72</v>
      </c>
      <c r="Q739">
        <f t="shared" si="57"/>
        <v>23</v>
      </c>
      <c r="R739" s="10">
        <f t="shared" si="58"/>
        <v>30.5</v>
      </c>
      <c r="S739">
        <f t="shared" si="59"/>
        <v>32</v>
      </c>
    </row>
    <row r="740" spans="1:1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  <c r="J740" s="19"/>
      <c r="M740" s="7"/>
      <c r="O740">
        <f t="shared" si="55"/>
        <v>99</v>
      </c>
      <c r="P740">
        <f t="shared" si="56"/>
        <v>60</v>
      </c>
      <c r="Q740">
        <f t="shared" si="57"/>
        <v>17</v>
      </c>
      <c r="R740" s="10">
        <f t="shared" si="58"/>
        <v>160</v>
      </c>
      <c r="S740">
        <f t="shared" si="59"/>
        <v>36.6</v>
      </c>
    </row>
    <row r="741" spans="1:1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  <c r="J741" s="19"/>
      <c r="M741" s="7"/>
      <c r="O741">
        <f t="shared" si="55"/>
        <v>102</v>
      </c>
      <c r="P741">
        <f t="shared" si="56"/>
        <v>74</v>
      </c>
      <c r="Q741">
        <f t="shared" si="57"/>
        <v>23</v>
      </c>
      <c r="R741" s="10">
        <f t="shared" si="58"/>
        <v>30.5</v>
      </c>
      <c r="S741">
        <f t="shared" si="59"/>
        <v>39.5</v>
      </c>
    </row>
    <row r="742" spans="1:1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  <c r="J742" s="19"/>
      <c r="M742" s="7"/>
      <c r="O742">
        <f t="shared" si="55"/>
        <v>120</v>
      </c>
      <c r="P742">
        <f t="shared" si="56"/>
        <v>80</v>
      </c>
      <c r="Q742">
        <f t="shared" si="57"/>
        <v>37</v>
      </c>
      <c r="R742" s="10">
        <f t="shared" si="58"/>
        <v>150</v>
      </c>
      <c r="S742">
        <f t="shared" si="59"/>
        <v>42.3</v>
      </c>
    </row>
    <row r="743" spans="1:1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  <c r="J743" s="19"/>
      <c r="M743" s="7"/>
      <c r="O743">
        <f t="shared" si="55"/>
        <v>102</v>
      </c>
      <c r="P743">
        <f t="shared" si="56"/>
        <v>44</v>
      </c>
      <c r="Q743">
        <f t="shared" si="57"/>
        <v>20</v>
      </c>
      <c r="R743" s="10">
        <f t="shared" si="58"/>
        <v>94</v>
      </c>
      <c r="S743">
        <f t="shared" si="59"/>
        <v>30.8</v>
      </c>
    </row>
    <row r="744" spans="1:1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  <c r="J744" s="19"/>
      <c r="M744" s="7"/>
      <c r="O744">
        <f t="shared" si="55"/>
        <v>109</v>
      </c>
      <c r="P744">
        <f t="shared" si="56"/>
        <v>58</v>
      </c>
      <c r="Q744">
        <f t="shared" si="57"/>
        <v>18</v>
      </c>
      <c r="R744" s="10">
        <f t="shared" si="58"/>
        <v>116</v>
      </c>
      <c r="S744">
        <f t="shared" si="59"/>
        <v>28.5</v>
      </c>
    </row>
    <row r="745" spans="1:1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  <c r="J745" s="19"/>
      <c r="M745" s="7"/>
      <c r="O745">
        <f t="shared" si="55"/>
        <v>140</v>
      </c>
      <c r="P745">
        <f t="shared" si="56"/>
        <v>94</v>
      </c>
      <c r="Q745">
        <f t="shared" si="57"/>
        <v>23</v>
      </c>
      <c r="R745" s="10">
        <f t="shared" si="58"/>
        <v>30.5</v>
      </c>
      <c r="S745">
        <f t="shared" si="59"/>
        <v>32.700000000000003</v>
      </c>
    </row>
    <row r="746" spans="1:1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  <c r="J746" s="19"/>
      <c r="M746" s="7"/>
      <c r="O746">
        <f t="shared" si="55"/>
        <v>153</v>
      </c>
      <c r="P746">
        <f t="shared" si="56"/>
        <v>88</v>
      </c>
      <c r="Q746">
        <f t="shared" si="57"/>
        <v>37</v>
      </c>
      <c r="R746" s="10">
        <f t="shared" si="58"/>
        <v>140</v>
      </c>
      <c r="S746">
        <f t="shared" si="59"/>
        <v>40.6</v>
      </c>
    </row>
    <row r="747" spans="1:1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  <c r="J747" s="19"/>
      <c r="M747" s="7"/>
      <c r="O747">
        <f t="shared" si="55"/>
        <v>100</v>
      </c>
      <c r="P747">
        <f t="shared" si="56"/>
        <v>84</v>
      </c>
      <c r="Q747">
        <f t="shared" si="57"/>
        <v>33</v>
      </c>
      <c r="R747" s="10">
        <f t="shared" si="58"/>
        <v>105</v>
      </c>
      <c r="S747">
        <f t="shared" si="59"/>
        <v>30</v>
      </c>
    </row>
    <row r="748" spans="1:1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  <c r="J748" s="19"/>
      <c r="M748" s="7"/>
      <c r="O748">
        <f t="shared" si="55"/>
        <v>147</v>
      </c>
      <c r="P748">
        <f t="shared" si="56"/>
        <v>94</v>
      </c>
      <c r="Q748">
        <f t="shared" si="57"/>
        <v>41</v>
      </c>
      <c r="R748" s="10">
        <f t="shared" si="58"/>
        <v>30.5</v>
      </c>
      <c r="S748">
        <f t="shared" si="59"/>
        <v>49.3</v>
      </c>
    </row>
    <row r="749" spans="1:1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  <c r="J749" s="19"/>
      <c r="M749" s="7"/>
      <c r="O749">
        <f t="shared" si="55"/>
        <v>81</v>
      </c>
      <c r="P749">
        <f t="shared" si="56"/>
        <v>74</v>
      </c>
      <c r="Q749">
        <f t="shared" si="57"/>
        <v>41</v>
      </c>
      <c r="R749" s="10">
        <f t="shared" si="58"/>
        <v>57</v>
      </c>
      <c r="S749">
        <f t="shared" si="59"/>
        <v>46.3</v>
      </c>
    </row>
    <row r="750" spans="1:1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  <c r="J750" s="19"/>
      <c r="M750" s="7"/>
      <c r="O750">
        <f t="shared" si="55"/>
        <v>187</v>
      </c>
      <c r="P750">
        <f t="shared" si="56"/>
        <v>70</v>
      </c>
      <c r="Q750">
        <f t="shared" si="57"/>
        <v>22</v>
      </c>
      <c r="R750" s="10">
        <f t="shared" si="58"/>
        <v>200</v>
      </c>
      <c r="S750">
        <f t="shared" si="59"/>
        <v>36.4</v>
      </c>
    </row>
    <row r="751" spans="1:1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  <c r="J751" s="19"/>
      <c r="M751" s="7"/>
      <c r="O751">
        <f t="shared" si="55"/>
        <v>162</v>
      </c>
      <c r="P751">
        <f t="shared" si="56"/>
        <v>62</v>
      </c>
      <c r="Q751">
        <f t="shared" si="57"/>
        <v>23</v>
      </c>
      <c r="R751" s="10">
        <f t="shared" si="58"/>
        <v>30.5</v>
      </c>
      <c r="S751">
        <f t="shared" si="59"/>
        <v>24.3</v>
      </c>
    </row>
    <row r="752" spans="1:1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  <c r="J752" s="19"/>
      <c r="M752" s="7"/>
      <c r="O752">
        <f t="shared" si="55"/>
        <v>136</v>
      </c>
      <c r="P752">
        <f t="shared" si="56"/>
        <v>70</v>
      </c>
      <c r="Q752">
        <f t="shared" si="57"/>
        <v>23</v>
      </c>
      <c r="R752" s="10">
        <f t="shared" si="58"/>
        <v>30.5</v>
      </c>
      <c r="S752">
        <f t="shared" si="59"/>
        <v>31.2</v>
      </c>
    </row>
    <row r="753" spans="1:1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  <c r="J753" s="19"/>
      <c r="M753" s="7"/>
      <c r="O753">
        <f t="shared" si="55"/>
        <v>121</v>
      </c>
      <c r="P753">
        <f t="shared" si="56"/>
        <v>78</v>
      </c>
      <c r="Q753">
        <f t="shared" si="57"/>
        <v>39</v>
      </c>
      <c r="R753" s="10">
        <f t="shared" si="58"/>
        <v>74</v>
      </c>
      <c r="S753">
        <f t="shared" si="59"/>
        <v>39</v>
      </c>
    </row>
    <row r="754" spans="1:1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  <c r="J754" s="19"/>
      <c r="M754" s="7"/>
      <c r="O754">
        <f t="shared" si="55"/>
        <v>108</v>
      </c>
      <c r="P754">
        <f t="shared" si="56"/>
        <v>62</v>
      </c>
      <c r="Q754">
        <f t="shared" si="57"/>
        <v>24</v>
      </c>
      <c r="R754" s="10">
        <f t="shared" si="58"/>
        <v>30.5</v>
      </c>
      <c r="S754">
        <f t="shared" si="59"/>
        <v>26</v>
      </c>
    </row>
    <row r="755" spans="1:1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  <c r="J755" s="19"/>
      <c r="M755" s="7"/>
      <c r="O755">
        <f t="shared" si="55"/>
        <v>181</v>
      </c>
      <c r="P755">
        <f t="shared" si="56"/>
        <v>88</v>
      </c>
      <c r="Q755">
        <f t="shared" si="57"/>
        <v>44</v>
      </c>
      <c r="R755" s="10">
        <f t="shared" si="58"/>
        <v>510</v>
      </c>
      <c r="S755">
        <f t="shared" si="59"/>
        <v>43.3</v>
      </c>
    </row>
    <row r="756" spans="1:1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  <c r="J756" s="19"/>
      <c r="M756" s="7"/>
      <c r="O756">
        <f t="shared" si="55"/>
        <v>154</v>
      </c>
      <c r="P756">
        <f t="shared" si="56"/>
        <v>78</v>
      </c>
      <c r="Q756">
        <f t="shared" si="57"/>
        <v>32</v>
      </c>
      <c r="R756" s="10">
        <f t="shared" si="58"/>
        <v>30.5</v>
      </c>
      <c r="S756">
        <f t="shared" si="59"/>
        <v>32.4</v>
      </c>
    </row>
    <row r="757" spans="1:1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  <c r="J757" s="19"/>
      <c r="M757" s="7"/>
      <c r="O757">
        <f t="shared" si="55"/>
        <v>128</v>
      </c>
      <c r="P757">
        <f t="shared" si="56"/>
        <v>88</v>
      </c>
      <c r="Q757">
        <f t="shared" si="57"/>
        <v>39</v>
      </c>
      <c r="R757" s="10">
        <f t="shared" si="58"/>
        <v>110</v>
      </c>
      <c r="S757">
        <f t="shared" si="59"/>
        <v>36.5</v>
      </c>
    </row>
    <row r="758" spans="1:1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  <c r="J758" s="19"/>
      <c r="M758" s="7"/>
      <c r="O758">
        <f t="shared" si="55"/>
        <v>137</v>
      </c>
      <c r="P758">
        <f t="shared" si="56"/>
        <v>90</v>
      </c>
      <c r="Q758">
        <f t="shared" si="57"/>
        <v>41</v>
      </c>
      <c r="R758" s="10">
        <f t="shared" si="58"/>
        <v>30.5</v>
      </c>
      <c r="S758">
        <f t="shared" si="59"/>
        <v>32</v>
      </c>
    </row>
    <row r="759" spans="1:1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  <c r="J759" s="19"/>
      <c r="M759" s="7"/>
      <c r="O759">
        <f t="shared" si="55"/>
        <v>123</v>
      </c>
      <c r="P759">
        <f t="shared" si="56"/>
        <v>72</v>
      </c>
      <c r="Q759">
        <f t="shared" si="57"/>
        <v>23</v>
      </c>
      <c r="R759" s="10">
        <f t="shared" si="58"/>
        <v>30.5</v>
      </c>
      <c r="S759">
        <f t="shared" si="59"/>
        <v>36.299999999999997</v>
      </c>
    </row>
    <row r="760" spans="1:1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  <c r="J760" s="19"/>
      <c r="M760" s="7"/>
      <c r="O760">
        <f t="shared" si="55"/>
        <v>106</v>
      </c>
      <c r="P760">
        <f t="shared" si="56"/>
        <v>76</v>
      </c>
      <c r="Q760">
        <f t="shared" si="57"/>
        <v>23</v>
      </c>
      <c r="R760" s="10">
        <f t="shared" si="58"/>
        <v>30.5</v>
      </c>
      <c r="S760">
        <f t="shared" si="59"/>
        <v>37.5</v>
      </c>
    </row>
    <row r="761" spans="1:1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  <c r="J761" s="19"/>
      <c r="M761" s="7"/>
      <c r="O761">
        <f t="shared" si="55"/>
        <v>190</v>
      </c>
      <c r="P761">
        <f t="shared" si="56"/>
        <v>92</v>
      </c>
      <c r="Q761">
        <f t="shared" si="57"/>
        <v>23</v>
      </c>
      <c r="R761" s="10">
        <f t="shared" si="58"/>
        <v>30.5</v>
      </c>
      <c r="S761">
        <f t="shared" si="59"/>
        <v>35.5</v>
      </c>
    </row>
    <row r="762" spans="1:1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  <c r="J762" s="19"/>
      <c r="M762" s="7"/>
      <c r="O762">
        <f t="shared" si="55"/>
        <v>88</v>
      </c>
      <c r="P762">
        <f t="shared" si="56"/>
        <v>58</v>
      </c>
      <c r="Q762">
        <f t="shared" si="57"/>
        <v>26</v>
      </c>
      <c r="R762" s="10">
        <f t="shared" si="58"/>
        <v>16</v>
      </c>
      <c r="S762">
        <f t="shared" si="59"/>
        <v>28.4</v>
      </c>
    </row>
    <row r="763" spans="1:1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  <c r="J763" s="19"/>
      <c r="M763" s="7"/>
      <c r="O763">
        <f t="shared" si="55"/>
        <v>170</v>
      </c>
      <c r="P763">
        <f t="shared" si="56"/>
        <v>74</v>
      </c>
      <c r="Q763">
        <f t="shared" si="57"/>
        <v>31</v>
      </c>
      <c r="R763" s="10">
        <f t="shared" si="58"/>
        <v>30.5</v>
      </c>
      <c r="S763">
        <f t="shared" si="59"/>
        <v>44</v>
      </c>
    </row>
    <row r="764" spans="1:1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  <c r="J764" s="19"/>
      <c r="M764" s="7"/>
      <c r="O764">
        <f t="shared" si="55"/>
        <v>89</v>
      </c>
      <c r="P764">
        <f t="shared" si="56"/>
        <v>62</v>
      </c>
      <c r="Q764">
        <f t="shared" si="57"/>
        <v>23</v>
      </c>
      <c r="R764" s="10">
        <f t="shared" si="58"/>
        <v>30.5</v>
      </c>
      <c r="S764">
        <f t="shared" si="59"/>
        <v>22.5</v>
      </c>
    </row>
    <row r="765" spans="1:1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  <c r="J765" s="19"/>
      <c r="M765" s="7"/>
      <c r="O765">
        <f t="shared" si="55"/>
        <v>101</v>
      </c>
      <c r="P765">
        <f t="shared" si="56"/>
        <v>76</v>
      </c>
      <c r="Q765">
        <f t="shared" si="57"/>
        <v>48</v>
      </c>
      <c r="R765" s="10">
        <f t="shared" si="58"/>
        <v>180</v>
      </c>
      <c r="S765">
        <f t="shared" si="59"/>
        <v>32.9</v>
      </c>
    </row>
    <row r="766" spans="1:1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  <c r="J766" s="19"/>
      <c r="M766" s="7"/>
      <c r="O766">
        <f t="shared" si="55"/>
        <v>122</v>
      </c>
      <c r="P766">
        <f t="shared" si="56"/>
        <v>70</v>
      </c>
      <c r="Q766">
        <f t="shared" si="57"/>
        <v>27</v>
      </c>
      <c r="R766" s="10">
        <f t="shared" si="58"/>
        <v>30.5</v>
      </c>
      <c r="S766">
        <f t="shared" si="59"/>
        <v>36.799999999999997</v>
      </c>
    </row>
    <row r="767" spans="1:1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  <c r="J767" s="19"/>
      <c r="M767" s="7"/>
      <c r="O767">
        <f t="shared" si="55"/>
        <v>121</v>
      </c>
      <c r="P767">
        <f t="shared" si="56"/>
        <v>72</v>
      </c>
      <c r="Q767">
        <f t="shared" si="57"/>
        <v>23</v>
      </c>
      <c r="R767" s="10">
        <f t="shared" si="58"/>
        <v>112</v>
      </c>
      <c r="S767">
        <f t="shared" si="59"/>
        <v>26.2</v>
      </c>
    </row>
    <row r="768" spans="1:1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  <c r="J768" s="19"/>
      <c r="M768" s="7"/>
      <c r="O768">
        <f t="shared" si="55"/>
        <v>126</v>
      </c>
      <c r="P768">
        <f t="shared" si="56"/>
        <v>60</v>
      </c>
      <c r="Q768">
        <f t="shared" si="57"/>
        <v>23</v>
      </c>
      <c r="R768" s="10">
        <f t="shared" si="58"/>
        <v>30.5</v>
      </c>
      <c r="S768">
        <f t="shared" si="59"/>
        <v>30.1</v>
      </c>
    </row>
    <row r="769" spans="1:1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  <c r="J769" s="19"/>
      <c r="M769" s="7"/>
      <c r="O769">
        <f t="shared" si="55"/>
        <v>93</v>
      </c>
      <c r="P769">
        <f t="shared" si="56"/>
        <v>70</v>
      </c>
      <c r="Q769">
        <f t="shared" si="57"/>
        <v>31</v>
      </c>
      <c r="R769" s="10">
        <f t="shared" si="58"/>
        <v>30.5</v>
      </c>
      <c r="S769">
        <f t="shared" si="59"/>
        <v>30.4</v>
      </c>
    </row>
  </sheetData>
  <mergeCells count="3">
    <mergeCell ref="J1:J769"/>
    <mergeCell ref="K1:L1"/>
    <mergeCell ref="K9:L9"/>
  </mergeCells>
  <pageMargins left="0.7" right="0.7" top="0.75" bottom="0.75" header="0.3" footer="0.3"/>
  <pageSetup orientation="portrait" r:id="rId1"/>
  <ignoredErrors>
    <ignoredError sqref="L3:L4 L5 L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5E85-219A-48E0-A6B2-A0648F03930C}">
  <dimension ref="A1:V616"/>
  <sheetViews>
    <sheetView topLeftCell="D1" zoomScale="76" workbookViewId="0">
      <selection activeCell="O3" sqref="O3"/>
    </sheetView>
  </sheetViews>
  <sheetFormatPr defaultRowHeight="14.4" x14ac:dyDescent="0.3"/>
  <cols>
    <col min="1" max="1" width="11.109375" bestFit="1" customWidth="1"/>
    <col min="10" max="10" width="8.88671875" style="23"/>
    <col min="11" max="11" width="10.21875" bestFit="1" customWidth="1"/>
    <col min="12" max="12" width="11" bestFit="1" customWidth="1"/>
    <col min="13" max="13" width="52.109375" style="23" customWidth="1"/>
    <col min="14" max="14" width="14.77734375" bestFit="1" customWidth="1"/>
    <col min="15" max="15" width="11.109375" bestFit="1" customWidth="1"/>
    <col min="17" max="17" width="13.109375" bestFit="1" customWidth="1"/>
    <col min="18" max="18" width="12.6640625" bestFit="1" customWidth="1"/>
    <col min="21" max="21" width="23.21875" bestFit="1" customWidth="1"/>
  </cols>
  <sheetData>
    <row r="1" spans="1:2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3" t="s">
        <v>25</v>
      </c>
      <c r="K1" s="11" t="s">
        <v>19</v>
      </c>
      <c r="L1" s="11" t="s">
        <v>20</v>
      </c>
      <c r="M1" s="23" t="s">
        <v>26</v>
      </c>
      <c r="N1" s="24" t="s">
        <v>27</v>
      </c>
      <c r="O1" s="25"/>
      <c r="P1" s="25"/>
      <c r="Q1" s="25"/>
      <c r="R1" s="25"/>
      <c r="S1" s="25"/>
      <c r="T1" s="25"/>
      <c r="U1" s="25"/>
      <c r="V1" s="26"/>
    </row>
    <row r="2" spans="1:22" x14ac:dyDescent="0.3">
      <c r="A2">
        <v>1</v>
      </c>
      <c r="B2">
        <v>153</v>
      </c>
      <c r="C2">
        <v>82</v>
      </c>
      <c r="D2">
        <v>42</v>
      </c>
      <c r="E2">
        <v>485</v>
      </c>
      <c r="F2">
        <v>40.6</v>
      </c>
      <c r="G2">
        <v>0.68700000000000006</v>
      </c>
      <c r="H2">
        <v>23</v>
      </c>
      <c r="I2">
        <v>0</v>
      </c>
      <c r="K2" s="2" t="s">
        <v>22</v>
      </c>
      <c r="L2" s="12">
        <f>COUNTIF(I2:I616,0)/COUNTA(I2:I616)</f>
        <v>0.6520325203252032</v>
      </c>
      <c r="N2" s="8"/>
      <c r="O2" s="13" t="s">
        <v>0</v>
      </c>
      <c r="P2" s="13" t="s">
        <v>1</v>
      </c>
      <c r="Q2" s="13" t="s">
        <v>2</v>
      </c>
      <c r="R2" s="13" t="s">
        <v>3</v>
      </c>
      <c r="S2" s="13" t="s">
        <v>4</v>
      </c>
      <c r="T2" s="13" t="s">
        <v>5</v>
      </c>
      <c r="U2" s="13" t="s">
        <v>6</v>
      </c>
      <c r="V2" s="13" t="s">
        <v>7</v>
      </c>
    </row>
    <row r="3" spans="1:22" x14ac:dyDescent="0.3">
      <c r="A3">
        <v>8</v>
      </c>
      <c r="B3">
        <v>188</v>
      </c>
      <c r="C3">
        <v>78</v>
      </c>
      <c r="D3">
        <v>23</v>
      </c>
      <c r="E3">
        <v>30.5</v>
      </c>
      <c r="F3">
        <v>47.9</v>
      </c>
      <c r="G3">
        <v>0.13700000000000001</v>
      </c>
      <c r="H3">
        <v>43</v>
      </c>
      <c r="I3">
        <v>1</v>
      </c>
      <c r="K3" s="2" t="s">
        <v>21</v>
      </c>
      <c r="L3" s="12">
        <v>0.34</v>
      </c>
      <c r="N3" s="6" t="s">
        <v>23</v>
      </c>
      <c r="O3" s="4">
        <f>AVERAGEIF($I$2:$I$616,0,A2:A616)</f>
        <v>3.2219451371571073</v>
      </c>
      <c r="P3" s="4">
        <f t="shared" ref="P3:V3" si="0">AVERAGEIF($I$2:$I$616,0,B2:B616)</f>
        <v>111.25436408977556</v>
      </c>
      <c r="Q3" s="4">
        <f t="shared" si="0"/>
        <v>71.062344139650875</v>
      </c>
      <c r="R3" s="4">
        <f t="shared" si="0"/>
        <v>26.099750623441395</v>
      </c>
      <c r="S3" s="4">
        <f t="shared" si="0"/>
        <v>86.215710723192018</v>
      </c>
      <c r="T3" s="4">
        <f t="shared" si="0"/>
        <v>30.966334164588527</v>
      </c>
      <c r="U3" s="4">
        <f t="shared" si="0"/>
        <v>0.43365835411471315</v>
      </c>
      <c r="V3" s="4">
        <f t="shared" si="0"/>
        <v>31.32418952618454</v>
      </c>
    </row>
    <row r="4" spans="1:22" x14ac:dyDescent="0.3">
      <c r="A4">
        <v>7</v>
      </c>
      <c r="B4">
        <v>152</v>
      </c>
      <c r="C4">
        <v>88</v>
      </c>
      <c r="D4">
        <v>44</v>
      </c>
      <c r="E4">
        <v>30.5</v>
      </c>
      <c r="F4">
        <v>50</v>
      </c>
      <c r="G4">
        <v>0.33700000000000002</v>
      </c>
      <c r="H4">
        <v>36</v>
      </c>
      <c r="I4">
        <v>1</v>
      </c>
      <c r="N4" s="6" t="s">
        <v>24</v>
      </c>
      <c r="O4" s="4">
        <f>AVERAGEIF($I$2:$I$616,1,A2:A616)</f>
        <v>4.8271028037383177</v>
      </c>
      <c r="P4" s="4">
        <f t="shared" ref="P4:V4" si="1">AVERAGEIF($I$2:$I$616,1,B2:B616)</f>
        <v>143.37383177570092</v>
      </c>
      <c r="Q4" s="4">
        <f t="shared" si="1"/>
        <v>75.383177570093451</v>
      </c>
      <c r="R4" s="4">
        <f t="shared" si="1"/>
        <v>29.738317757009344</v>
      </c>
      <c r="S4" s="4">
        <f t="shared" si="1"/>
        <v>114.10981308411215</v>
      </c>
      <c r="T4" s="4">
        <f t="shared" si="1"/>
        <v>35.311214953271012</v>
      </c>
      <c r="U4" s="4">
        <f t="shared" si="1"/>
        <v>0.55064953271028061</v>
      </c>
      <c r="V4" s="4">
        <f t="shared" si="1"/>
        <v>36.626168224299064</v>
      </c>
    </row>
    <row r="5" spans="1:22" x14ac:dyDescent="0.3">
      <c r="A5">
        <v>2</v>
      </c>
      <c r="B5">
        <v>99</v>
      </c>
      <c r="C5">
        <v>52</v>
      </c>
      <c r="D5">
        <v>15</v>
      </c>
      <c r="E5">
        <v>94</v>
      </c>
      <c r="F5">
        <v>24.6</v>
      </c>
      <c r="G5">
        <v>0.63700000000000001</v>
      </c>
      <c r="H5">
        <v>21</v>
      </c>
      <c r="I5">
        <v>0</v>
      </c>
    </row>
    <row r="6" spans="1:22" x14ac:dyDescent="0.3">
      <c r="A6">
        <v>1</v>
      </c>
      <c r="B6">
        <v>109</v>
      </c>
      <c r="C6">
        <v>56</v>
      </c>
      <c r="D6">
        <v>21</v>
      </c>
      <c r="E6">
        <v>135</v>
      </c>
      <c r="F6">
        <v>25.2</v>
      </c>
      <c r="G6">
        <v>0.83299999999999996</v>
      </c>
      <c r="H6">
        <v>23</v>
      </c>
      <c r="I6">
        <v>0</v>
      </c>
      <c r="N6" s="27" t="s">
        <v>28</v>
      </c>
      <c r="O6" s="28"/>
      <c r="P6" s="28"/>
      <c r="Q6" s="28"/>
      <c r="R6" s="28"/>
      <c r="S6" s="28"/>
      <c r="T6" s="28"/>
      <c r="U6" s="28"/>
      <c r="V6" s="29"/>
    </row>
    <row r="7" spans="1:22" x14ac:dyDescent="0.3">
      <c r="A7">
        <v>2</v>
      </c>
      <c r="B7">
        <v>88</v>
      </c>
      <c r="C7">
        <v>74</v>
      </c>
      <c r="D7">
        <v>19</v>
      </c>
      <c r="E7">
        <v>53</v>
      </c>
      <c r="F7">
        <v>29</v>
      </c>
      <c r="G7">
        <v>0.22900000000000001</v>
      </c>
      <c r="H7">
        <v>22</v>
      </c>
      <c r="I7">
        <v>0</v>
      </c>
      <c r="N7" s="4"/>
      <c r="O7" s="13" t="s">
        <v>0</v>
      </c>
      <c r="P7" s="13" t="s">
        <v>1</v>
      </c>
      <c r="Q7" s="13" t="s">
        <v>2</v>
      </c>
      <c r="R7" s="13" t="s">
        <v>3</v>
      </c>
      <c r="S7" s="13" t="s">
        <v>4</v>
      </c>
      <c r="T7" s="13" t="s">
        <v>5</v>
      </c>
      <c r="U7" s="13" t="s">
        <v>6</v>
      </c>
      <c r="V7" s="13" t="s">
        <v>7</v>
      </c>
    </row>
    <row r="8" spans="1:22" x14ac:dyDescent="0.3">
      <c r="A8">
        <v>17</v>
      </c>
      <c r="B8">
        <v>163</v>
      </c>
      <c r="C8">
        <v>72</v>
      </c>
      <c r="D8">
        <v>41</v>
      </c>
      <c r="E8">
        <v>114</v>
      </c>
      <c r="F8">
        <v>40.9</v>
      </c>
      <c r="G8">
        <v>0.81699999999999995</v>
      </c>
      <c r="H8">
        <v>47</v>
      </c>
      <c r="I8">
        <v>1</v>
      </c>
      <c r="N8" s="6" t="s">
        <v>23</v>
      </c>
      <c r="O8" s="4" cm="1">
        <f t="array" ref="O8">_xlfn.STDEV.S(_xlfn._xlws.FILTER(A2:A616,$I$2:$I$616=0))</f>
        <v>3.0254119069942433</v>
      </c>
      <c r="P8" s="4" cm="1">
        <f t="array" ref="P8">_xlfn.STDEV.S(_xlfn._xlws.FILTER(B2:B616,$I$2:$I$616=0))</f>
        <v>24.661409877724086</v>
      </c>
      <c r="Q8" s="4" cm="1">
        <f t="array" ref="Q8">_xlfn.STDEV.S(_xlfn._xlws.FILTER(C2:C616,$I$2:$I$616=0))</f>
        <v>11.62190188786982</v>
      </c>
      <c r="R8" s="4" cm="1">
        <f t="array" ref="R8">_xlfn.STDEV.S(_xlfn._xlws.FILTER(D2:D616,$I$2:$I$616=0))</f>
        <v>8.7800925358253394</v>
      </c>
      <c r="S8" s="4" cm="1">
        <f t="array" ref="S8">_xlfn.STDEV.S(_xlfn._xlws.FILTER(E2:E616,$I$2:$I$616=0))</f>
        <v>93.782808806071216</v>
      </c>
      <c r="T8" s="4" cm="1">
        <f t="array" ref="T8">_xlfn.STDEV.S(_xlfn._xlws.FILTER(F2:F616,$I$2:$I$616=0))</f>
        <v>6.5286628629494139</v>
      </c>
      <c r="U8" s="4" cm="1">
        <f t="array" ref="U8">_xlfn.STDEV.S(_xlfn._xlws.FILTER(G2:G616,$I$2:$I$616=0))</f>
        <v>0.30120524644548341</v>
      </c>
      <c r="V8" s="4" cm="1">
        <f t="array" ref="V8">_xlfn.STDEV.S(_xlfn._xlws.FILTER(H2:H616,$I$2:$I$616=0))</f>
        <v>11.870115349228497</v>
      </c>
    </row>
    <row r="9" spans="1:22" x14ac:dyDescent="0.3">
      <c r="A9">
        <v>4</v>
      </c>
      <c r="B9">
        <v>151</v>
      </c>
      <c r="C9">
        <v>90</v>
      </c>
      <c r="D9">
        <v>38</v>
      </c>
      <c r="E9">
        <v>30.5</v>
      </c>
      <c r="F9">
        <v>29.7</v>
      </c>
      <c r="G9">
        <v>0.29399999999999998</v>
      </c>
      <c r="H9">
        <v>36</v>
      </c>
      <c r="I9">
        <v>0</v>
      </c>
      <c r="N9" s="6" t="s">
        <v>24</v>
      </c>
      <c r="O9" s="4" cm="1">
        <f t="array" ref="O9">_xlfn.STDEV.S(_xlfn._xlws.FILTER(A2:A616,$I$2:$I$616=1))</f>
        <v>3.7118025205852598</v>
      </c>
      <c r="P9" s="4" cm="1">
        <f t="array" ref="P9">_xlfn.STDEV.S(_xlfn._xlws.FILTER(B2:B616,$I$2:$I$616=1))</f>
        <v>29.17295788283284</v>
      </c>
      <c r="Q9" s="4" cm="1">
        <f t="array" ref="Q9">_xlfn.STDEV.S(_xlfn._xlws.FILTER(C2:C616,$I$2:$I$616=1))</f>
        <v>11.265173270872541</v>
      </c>
      <c r="R9" s="4" cm="1">
        <f t="array" ref="R9">_xlfn.STDEV.S(_xlfn._xlws.FILTER(D2:D616,$I$2:$I$616=1))</f>
        <v>9.867989172182563</v>
      </c>
      <c r="S9" s="4" cm="1">
        <f t="array" ref="S9">_xlfn.STDEV.S(_xlfn._xlws.FILTER(E2:E616,$I$2:$I$616=1))</f>
        <v>121.14991235966137</v>
      </c>
      <c r="T9" s="4" cm="1">
        <f t="array" ref="T9">_xlfn.STDEV.S(_xlfn._xlws.FILTER(F2:F616,$I$2:$I$616=1))</f>
        <v>6.5758103747777676</v>
      </c>
      <c r="U9" s="4" cm="1">
        <f t="array" ref="U9">_xlfn.STDEV.S(_xlfn._xlws.FILTER(G2:G616,$I$2:$I$616=1))</f>
        <v>0.36056638228299165</v>
      </c>
      <c r="V9" s="4" cm="1">
        <f t="array" ref="V9">_xlfn.STDEV.S(_xlfn._xlws.FILTER(H2:H616,$I$2:$I$616=1))</f>
        <v>10.926148473264981</v>
      </c>
    </row>
    <row r="10" spans="1:22" x14ac:dyDescent="0.3">
      <c r="A10">
        <v>7</v>
      </c>
      <c r="B10">
        <v>102</v>
      </c>
      <c r="C10">
        <v>74</v>
      </c>
      <c r="D10">
        <v>40</v>
      </c>
      <c r="E10">
        <v>105</v>
      </c>
      <c r="F10">
        <v>37.200000000000003</v>
      </c>
      <c r="G10">
        <v>0.20399999999999999</v>
      </c>
      <c r="H10">
        <v>45</v>
      </c>
      <c r="I10">
        <v>0</v>
      </c>
    </row>
    <row r="11" spans="1:22" x14ac:dyDescent="0.3">
      <c r="A11">
        <v>0</v>
      </c>
      <c r="B11">
        <v>114</v>
      </c>
      <c r="C11">
        <v>80</v>
      </c>
      <c r="D11">
        <v>34</v>
      </c>
      <c r="E11">
        <v>285</v>
      </c>
      <c r="F11">
        <v>44.2</v>
      </c>
      <c r="G11">
        <v>0.16700000000000001</v>
      </c>
      <c r="H11">
        <v>27</v>
      </c>
      <c r="I11">
        <v>0</v>
      </c>
    </row>
    <row r="12" spans="1:22" x14ac:dyDescent="0.3">
      <c r="A12">
        <v>2</v>
      </c>
      <c r="B12">
        <v>100</v>
      </c>
      <c r="C12">
        <v>64</v>
      </c>
      <c r="D12">
        <v>23</v>
      </c>
      <c r="E12">
        <v>30.5</v>
      </c>
      <c r="F12">
        <v>29.7</v>
      </c>
      <c r="G12">
        <v>0.36799999999999999</v>
      </c>
      <c r="H12">
        <v>21</v>
      </c>
      <c r="I12">
        <v>0</v>
      </c>
    </row>
    <row r="13" spans="1:22" x14ac:dyDescent="0.3">
      <c r="A13">
        <v>0</v>
      </c>
      <c r="B13">
        <v>131</v>
      </c>
      <c r="C13">
        <v>88</v>
      </c>
      <c r="D13">
        <v>23</v>
      </c>
      <c r="E13">
        <v>30.5</v>
      </c>
      <c r="F13">
        <v>31.6</v>
      </c>
      <c r="G13">
        <v>0.74299999999999999</v>
      </c>
      <c r="H13">
        <v>32</v>
      </c>
      <c r="I13">
        <v>1</v>
      </c>
    </row>
    <row r="14" spans="1:22" x14ac:dyDescent="0.3">
      <c r="A14">
        <v>6</v>
      </c>
      <c r="B14">
        <v>104</v>
      </c>
      <c r="C14">
        <v>74</v>
      </c>
      <c r="D14">
        <v>18</v>
      </c>
      <c r="E14">
        <v>156</v>
      </c>
      <c r="F14">
        <v>29.9</v>
      </c>
      <c r="G14">
        <v>0.72199999999999998</v>
      </c>
      <c r="H14">
        <v>41</v>
      </c>
      <c r="I14">
        <v>1</v>
      </c>
    </row>
    <row r="15" spans="1:22" x14ac:dyDescent="0.3">
      <c r="A15">
        <v>3</v>
      </c>
      <c r="B15">
        <v>148</v>
      </c>
      <c r="C15">
        <v>66</v>
      </c>
      <c r="D15">
        <v>25</v>
      </c>
      <c r="E15">
        <v>30.5</v>
      </c>
      <c r="F15">
        <v>32.5</v>
      </c>
      <c r="G15">
        <v>0.25600000000000001</v>
      </c>
      <c r="H15">
        <v>22</v>
      </c>
      <c r="I15">
        <v>0</v>
      </c>
    </row>
    <row r="16" spans="1:22" x14ac:dyDescent="0.3">
      <c r="A16">
        <v>4</v>
      </c>
      <c r="B16">
        <v>120</v>
      </c>
      <c r="C16">
        <v>68</v>
      </c>
      <c r="D16">
        <v>23</v>
      </c>
      <c r="E16">
        <v>30.5</v>
      </c>
      <c r="F16">
        <v>29.6</v>
      </c>
      <c r="G16">
        <v>0.70899999999999996</v>
      </c>
      <c r="H16">
        <v>34</v>
      </c>
      <c r="I16">
        <v>0</v>
      </c>
    </row>
    <row r="17" spans="1:9" x14ac:dyDescent="0.3">
      <c r="A17">
        <v>4</v>
      </c>
      <c r="B17">
        <v>110</v>
      </c>
      <c r="C17">
        <v>66</v>
      </c>
      <c r="D17">
        <v>23</v>
      </c>
      <c r="E17">
        <v>30.5</v>
      </c>
      <c r="F17">
        <v>31.9</v>
      </c>
      <c r="G17">
        <v>0.47099999999999997</v>
      </c>
      <c r="H17">
        <v>29</v>
      </c>
      <c r="I17">
        <v>0</v>
      </c>
    </row>
    <row r="18" spans="1:9" x14ac:dyDescent="0.3">
      <c r="A18">
        <v>3</v>
      </c>
      <c r="B18">
        <v>111</v>
      </c>
      <c r="C18">
        <v>90</v>
      </c>
      <c r="D18">
        <v>12</v>
      </c>
      <c r="E18">
        <v>78</v>
      </c>
      <c r="F18">
        <v>28.4</v>
      </c>
      <c r="G18">
        <v>0.495</v>
      </c>
      <c r="H18">
        <v>29</v>
      </c>
      <c r="I18">
        <v>0</v>
      </c>
    </row>
    <row r="19" spans="1:9" x14ac:dyDescent="0.3">
      <c r="A19">
        <v>6</v>
      </c>
      <c r="B19">
        <v>102</v>
      </c>
      <c r="C19">
        <v>82</v>
      </c>
      <c r="D19">
        <v>23</v>
      </c>
      <c r="E19">
        <v>30.5</v>
      </c>
      <c r="F19">
        <v>30.8</v>
      </c>
      <c r="G19">
        <v>0.18</v>
      </c>
      <c r="H19">
        <v>36</v>
      </c>
      <c r="I19">
        <v>1</v>
      </c>
    </row>
    <row r="20" spans="1:9" x14ac:dyDescent="0.3">
      <c r="A20">
        <v>6</v>
      </c>
      <c r="B20">
        <v>134</v>
      </c>
      <c r="C20">
        <v>70</v>
      </c>
      <c r="D20">
        <v>23</v>
      </c>
      <c r="E20">
        <v>130</v>
      </c>
      <c r="F20">
        <v>35.4</v>
      </c>
      <c r="G20">
        <v>0.54200000000000004</v>
      </c>
      <c r="H20">
        <v>29</v>
      </c>
      <c r="I20">
        <v>1</v>
      </c>
    </row>
    <row r="21" spans="1:9" x14ac:dyDescent="0.3">
      <c r="A21">
        <v>2</v>
      </c>
      <c r="B21">
        <v>87</v>
      </c>
      <c r="C21">
        <v>72</v>
      </c>
      <c r="D21">
        <v>23</v>
      </c>
      <c r="E21">
        <v>30.5</v>
      </c>
      <c r="F21">
        <v>28.9</v>
      </c>
      <c r="G21">
        <v>0.77300000000000002</v>
      </c>
      <c r="H21">
        <v>25</v>
      </c>
      <c r="I21">
        <v>0</v>
      </c>
    </row>
    <row r="22" spans="1:9" x14ac:dyDescent="0.3">
      <c r="A22">
        <v>1</v>
      </c>
      <c r="B22">
        <v>79</v>
      </c>
      <c r="C22">
        <v>60</v>
      </c>
      <c r="D22">
        <v>42</v>
      </c>
      <c r="E22">
        <v>48</v>
      </c>
      <c r="F22">
        <v>43.5</v>
      </c>
      <c r="G22">
        <v>0.67800000000000005</v>
      </c>
      <c r="H22">
        <v>23</v>
      </c>
      <c r="I22">
        <v>0</v>
      </c>
    </row>
    <row r="23" spans="1:9" x14ac:dyDescent="0.3">
      <c r="A23">
        <v>2</v>
      </c>
      <c r="B23">
        <v>75</v>
      </c>
      <c r="C23">
        <v>64</v>
      </c>
      <c r="D23">
        <v>24</v>
      </c>
      <c r="E23">
        <v>55</v>
      </c>
      <c r="F23">
        <v>29.7</v>
      </c>
      <c r="G23">
        <v>0.37</v>
      </c>
      <c r="H23">
        <v>33</v>
      </c>
      <c r="I23">
        <v>0</v>
      </c>
    </row>
    <row r="24" spans="1:9" x14ac:dyDescent="0.3">
      <c r="A24">
        <v>8</v>
      </c>
      <c r="B24">
        <v>179</v>
      </c>
      <c r="C24">
        <v>72</v>
      </c>
      <c r="D24">
        <v>42</v>
      </c>
      <c r="E24">
        <v>130</v>
      </c>
      <c r="F24">
        <v>32.700000000000003</v>
      </c>
      <c r="G24">
        <v>0.71899999999999997</v>
      </c>
      <c r="H24">
        <v>36</v>
      </c>
      <c r="I24">
        <v>1</v>
      </c>
    </row>
    <row r="25" spans="1:9" x14ac:dyDescent="0.3">
      <c r="A25">
        <v>6</v>
      </c>
      <c r="B25">
        <v>85</v>
      </c>
      <c r="C25">
        <v>78</v>
      </c>
      <c r="D25">
        <v>23</v>
      </c>
      <c r="E25">
        <v>30.5</v>
      </c>
      <c r="F25">
        <v>31.2</v>
      </c>
      <c r="G25">
        <v>0.38200000000000001</v>
      </c>
      <c r="H25">
        <v>42</v>
      </c>
      <c r="I25">
        <v>0</v>
      </c>
    </row>
    <row r="26" spans="1:9" x14ac:dyDescent="0.3">
      <c r="A26">
        <v>0</v>
      </c>
      <c r="B26">
        <v>129</v>
      </c>
      <c r="C26">
        <v>110</v>
      </c>
      <c r="D26">
        <v>46</v>
      </c>
      <c r="E26">
        <v>130</v>
      </c>
      <c r="F26">
        <v>67.099999999999994</v>
      </c>
      <c r="G26">
        <v>0.31900000000000001</v>
      </c>
      <c r="H26">
        <v>26</v>
      </c>
      <c r="I26">
        <v>1</v>
      </c>
    </row>
    <row r="27" spans="1:9" x14ac:dyDescent="0.3">
      <c r="A27">
        <v>5</v>
      </c>
      <c r="B27">
        <v>143</v>
      </c>
      <c r="C27">
        <v>78</v>
      </c>
      <c r="D27">
        <v>23</v>
      </c>
      <c r="E27">
        <v>30.5</v>
      </c>
      <c r="F27">
        <v>45</v>
      </c>
      <c r="G27">
        <v>0.19</v>
      </c>
      <c r="H27">
        <v>47</v>
      </c>
      <c r="I27">
        <v>0</v>
      </c>
    </row>
    <row r="28" spans="1:9" x14ac:dyDescent="0.3">
      <c r="A28">
        <v>5</v>
      </c>
      <c r="B28">
        <v>130</v>
      </c>
      <c r="C28">
        <v>82</v>
      </c>
      <c r="D28">
        <v>23</v>
      </c>
      <c r="E28">
        <v>30.5</v>
      </c>
      <c r="F28">
        <v>39.1</v>
      </c>
      <c r="G28">
        <v>0.95599999999999996</v>
      </c>
      <c r="H28">
        <v>37</v>
      </c>
      <c r="I28">
        <v>1</v>
      </c>
    </row>
    <row r="29" spans="1:9" x14ac:dyDescent="0.3">
      <c r="A29">
        <v>6</v>
      </c>
      <c r="B29">
        <v>87</v>
      </c>
      <c r="C29">
        <v>80</v>
      </c>
      <c r="D29">
        <v>23</v>
      </c>
      <c r="E29">
        <v>30.5</v>
      </c>
      <c r="F29">
        <v>23.2</v>
      </c>
      <c r="G29">
        <v>8.4000000000000005E-2</v>
      </c>
      <c r="H29">
        <v>32</v>
      </c>
      <c r="I29">
        <v>0</v>
      </c>
    </row>
    <row r="30" spans="1:9" x14ac:dyDescent="0.3">
      <c r="A30">
        <v>0</v>
      </c>
      <c r="B30">
        <v>119</v>
      </c>
      <c r="C30">
        <v>64</v>
      </c>
      <c r="D30">
        <v>18</v>
      </c>
      <c r="E30">
        <v>92</v>
      </c>
      <c r="F30">
        <v>34.9</v>
      </c>
      <c r="G30">
        <v>0.72499999999999998</v>
      </c>
      <c r="H30">
        <v>23</v>
      </c>
      <c r="I30">
        <v>0</v>
      </c>
    </row>
    <row r="31" spans="1:9" x14ac:dyDescent="0.3">
      <c r="A31">
        <v>1</v>
      </c>
      <c r="B31">
        <v>117</v>
      </c>
      <c r="C31">
        <v>74</v>
      </c>
      <c r="D31">
        <v>20</v>
      </c>
      <c r="E31">
        <v>23</v>
      </c>
      <c r="F31">
        <v>27.7</v>
      </c>
      <c r="G31">
        <v>0.29899999999999999</v>
      </c>
      <c r="H31">
        <v>21</v>
      </c>
      <c r="I31">
        <v>0</v>
      </c>
    </row>
    <row r="32" spans="1:9" x14ac:dyDescent="0.3">
      <c r="A32">
        <v>5</v>
      </c>
      <c r="B32">
        <v>73</v>
      </c>
      <c r="C32">
        <v>60</v>
      </c>
      <c r="D32">
        <v>23</v>
      </c>
      <c r="E32">
        <v>30.5</v>
      </c>
      <c r="F32">
        <v>26.8</v>
      </c>
      <c r="G32">
        <v>0.26800000000000002</v>
      </c>
      <c r="H32">
        <v>27</v>
      </c>
      <c r="I32">
        <v>0</v>
      </c>
    </row>
    <row r="33" spans="1:9" x14ac:dyDescent="0.3">
      <c r="A33">
        <v>4</v>
      </c>
      <c r="B33">
        <v>141</v>
      </c>
      <c r="C33">
        <v>74</v>
      </c>
      <c r="D33">
        <v>23</v>
      </c>
      <c r="E33">
        <v>30.5</v>
      </c>
      <c r="F33">
        <v>27.6</v>
      </c>
      <c r="G33">
        <v>0.24399999999999999</v>
      </c>
      <c r="H33">
        <v>40</v>
      </c>
      <c r="I33">
        <v>0</v>
      </c>
    </row>
    <row r="34" spans="1:9" x14ac:dyDescent="0.3">
      <c r="A34">
        <v>7</v>
      </c>
      <c r="B34">
        <v>194</v>
      </c>
      <c r="C34">
        <v>68</v>
      </c>
      <c r="D34">
        <v>28</v>
      </c>
      <c r="E34">
        <v>30.5</v>
      </c>
      <c r="F34">
        <v>35.9</v>
      </c>
      <c r="G34">
        <v>0.745</v>
      </c>
      <c r="H34">
        <v>41</v>
      </c>
      <c r="I34">
        <v>1</v>
      </c>
    </row>
    <row r="35" spans="1:9" x14ac:dyDescent="0.3">
      <c r="A35">
        <v>8</v>
      </c>
      <c r="B35">
        <v>181</v>
      </c>
      <c r="C35">
        <v>68</v>
      </c>
      <c r="D35">
        <v>36</v>
      </c>
      <c r="E35">
        <v>495</v>
      </c>
      <c r="F35">
        <v>30.1</v>
      </c>
      <c r="G35">
        <v>0.61499999999999999</v>
      </c>
      <c r="H35">
        <v>60</v>
      </c>
      <c r="I35">
        <v>1</v>
      </c>
    </row>
    <row r="36" spans="1:9" x14ac:dyDescent="0.3">
      <c r="A36">
        <v>1</v>
      </c>
      <c r="B36">
        <v>128</v>
      </c>
      <c r="C36">
        <v>98</v>
      </c>
      <c r="D36">
        <v>41</v>
      </c>
      <c r="E36">
        <v>58</v>
      </c>
      <c r="F36">
        <v>32</v>
      </c>
      <c r="G36">
        <v>1.321</v>
      </c>
      <c r="H36">
        <v>33</v>
      </c>
      <c r="I36">
        <v>1</v>
      </c>
    </row>
    <row r="37" spans="1:9" x14ac:dyDescent="0.3">
      <c r="A37">
        <v>8</v>
      </c>
      <c r="B37">
        <v>109</v>
      </c>
      <c r="C37">
        <v>76</v>
      </c>
      <c r="D37">
        <v>39</v>
      </c>
      <c r="E37">
        <v>114</v>
      </c>
      <c r="F37">
        <v>27.9</v>
      </c>
      <c r="G37">
        <v>0.64</v>
      </c>
      <c r="H37">
        <v>31</v>
      </c>
      <c r="I37">
        <v>1</v>
      </c>
    </row>
    <row r="38" spans="1:9" x14ac:dyDescent="0.3">
      <c r="A38">
        <v>5</v>
      </c>
      <c r="B38">
        <v>139</v>
      </c>
      <c r="C38">
        <v>80</v>
      </c>
      <c r="D38">
        <v>35</v>
      </c>
      <c r="E38">
        <v>160</v>
      </c>
      <c r="F38">
        <v>31.6</v>
      </c>
      <c r="G38">
        <v>0.36099999999999999</v>
      </c>
      <c r="H38">
        <v>25</v>
      </c>
      <c r="I38">
        <v>1</v>
      </c>
    </row>
    <row r="39" spans="1:9" x14ac:dyDescent="0.3">
      <c r="A39">
        <v>3</v>
      </c>
      <c r="B39">
        <v>111</v>
      </c>
      <c r="C39">
        <v>62</v>
      </c>
      <c r="D39">
        <v>23</v>
      </c>
      <c r="E39">
        <v>30.5</v>
      </c>
      <c r="F39">
        <v>22.6</v>
      </c>
      <c r="G39">
        <v>0.14199999999999999</v>
      </c>
      <c r="H39">
        <v>21</v>
      </c>
      <c r="I39">
        <v>0</v>
      </c>
    </row>
    <row r="40" spans="1:9" x14ac:dyDescent="0.3">
      <c r="A40">
        <v>9</v>
      </c>
      <c r="B40">
        <v>123</v>
      </c>
      <c r="C40">
        <v>70</v>
      </c>
      <c r="D40">
        <v>44</v>
      </c>
      <c r="E40">
        <v>94</v>
      </c>
      <c r="F40">
        <v>33.1</v>
      </c>
      <c r="G40">
        <v>0.374</v>
      </c>
      <c r="H40">
        <v>40</v>
      </c>
      <c r="I40">
        <v>0</v>
      </c>
    </row>
    <row r="41" spans="1:9" x14ac:dyDescent="0.3">
      <c r="A41">
        <v>7</v>
      </c>
      <c r="B41">
        <v>159</v>
      </c>
      <c r="C41">
        <v>66</v>
      </c>
      <c r="D41">
        <v>23</v>
      </c>
      <c r="E41">
        <v>30.5</v>
      </c>
      <c r="F41">
        <v>30.4</v>
      </c>
      <c r="G41">
        <v>0.38300000000000001</v>
      </c>
      <c r="H41">
        <v>36</v>
      </c>
      <c r="I41">
        <v>1</v>
      </c>
    </row>
    <row r="42" spans="1:9" x14ac:dyDescent="0.3">
      <c r="A42">
        <v>11</v>
      </c>
      <c r="B42">
        <v>135</v>
      </c>
      <c r="C42">
        <v>72</v>
      </c>
      <c r="D42">
        <v>23</v>
      </c>
      <c r="E42">
        <v>30.5</v>
      </c>
      <c r="F42">
        <v>52.3</v>
      </c>
      <c r="G42">
        <v>0.57799999999999996</v>
      </c>
      <c r="H42">
        <v>40</v>
      </c>
      <c r="I42">
        <v>1</v>
      </c>
    </row>
    <row r="43" spans="1:9" x14ac:dyDescent="0.3">
      <c r="A43">
        <v>8</v>
      </c>
      <c r="B43">
        <v>85</v>
      </c>
      <c r="C43">
        <v>55</v>
      </c>
      <c r="D43">
        <v>20</v>
      </c>
      <c r="E43">
        <v>30.5</v>
      </c>
      <c r="F43">
        <v>24.4</v>
      </c>
      <c r="G43">
        <v>0.13600000000000001</v>
      </c>
      <c r="H43">
        <v>42</v>
      </c>
      <c r="I43">
        <v>0</v>
      </c>
    </row>
    <row r="44" spans="1:9" x14ac:dyDescent="0.3">
      <c r="A44">
        <v>5</v>
      </c>
      <c r="B44">
        <v>158</v>
      </c>
      <c r="C44">
        <v>84</v>
      </c>
      <c r="D44">
        <v>41</v>
      </c>
      <c r="E44">
        <v>210</v>
      </c>
      <c r="F44">
        <v>39.4</v>
      </c>
      <c r="G44">
        <v>0.39500000000000002</v>
      </c>
      <c r="H44">
        <v>29</v>
      </c>
      <c r="I44">
        <v>1</v>
      </c>
    </row>
    <row r="45" spans="1:9" x14ac:dyDescent="0.3">
      <c r="A45">
        <v>1</v>
      </c>
      <c r="B45">
        <v>105</v>
      </c>
      <c r="C45">
        <v>58</v>
      </c>
      <c r="D45">
        <v>23</v>
      </c>
      <c r="E45">
        <v>30.5</v>
      </c>
      <c r="F45">
        <v>24.3</v>
      </c>
      <c r="G45">
        <v>0.187</v>
      </c>
      <c r="H45">
        <v>21</v>
      </c>
      <c r="I45">
        <v>0</v>
      </c>
    </row>
    <row r="46" spans="1:9" x14ac:dyDescent="0.3">
      <c r="A46">
        <v>3</v>
      </c>
      <c r="B46">
        <v>107</v>
      </c>
      <c r="C46">
        <v>62</v>
      </c>
      <c r="D46">
        <v>13</v>
      </c>
      <c r="E46">
        <v>48</v>
      </c>
      <c r="F46">
        <v>22.9</v>
      </c>
      <c r="G46">
        <v>0.67800000000000005</v>
      </c>
      <c r="H46">
        <v>23</v>
      </c>
      <c r="I46">
        <v>1</v>
      </c>
    </row>
    <row r="47" spans="1:9" x14ac:dyDescent="0.3">
      <c r="A47">
        <v>4</v>
      </c>
      <c r="B47">
        <v>109</v>
      </c>
      <c r="C47">
        <v>64</v>
      </c>
      <c r="D47">
        <v>44</v>
      </c>
      <c r="E47">
        <v>99</v>
      </c>
      <c r="F47">
        <v>34.799999999999997</v>
      </c>
      <c r="G47">
        <v>0.90500000000000003</v>
      </c>
      <c r="H47">
        <v>26</v>
      </c>
      <c r="I47">
        <v>1</v>
      </c>
    </row>
    <row r="48" spans="1:9" x14ac:dyDescent="0.3">
      <c r="A48">
        <v>4</v>
      </c>
      <c r="B48">
        <v>148</v>
      </c>
      <c r="C48">
        <v>60</v>
      </c>
      <c r="D48">
        <v>27</v>
      </c>
      <c r="E48">
        <v>318</v>
      </c>
      <c r="F48">
        <v>30.9</v>
      </c>
      <c r="G48">
        <v>0.15</v>
      </c>
      <c r="H48">
        <v>29</v>
      </c>
      <c r="I48">
        <v>1</v>
      </c>
    </row>
    <row r="49" spans="1:9" x14ac:dyDescent="0.3">
      <c r="A49">
        <v>0</v>
      </c>
      <c r="B49">
        <v>113</v>
      </c>
      <c r="C49">
        <v>80</v>
      </c>
      <c r="D49">
        <v>16</v>
      </c>
      <c r="E49">
        <v>30.5</v>
      </c>
      <c r="F49">
        <v>31</v>
      </c>
      <c r="G49">
        <v>0.874</v>
      </c>
      <c r="H49">
        <v>21</v>
      </c>
      <c r="I49">
        <v>0</v>
      </c>
    </row>
    <row r="50" spans="1:9" x14ac:dyDescent="0.3">
      <c r="A50">
        <v>1</v>
      </c>
      <c r="B50">
        <v>138</v>
      </c>
      <c r="C50">
        <v>82</v>
      </c>
      <c r="D50">
        <v>23</v>
      </c>
      <c r="E50">
        <v>30.5</v>
      </c>
      <c r="F50">
        <v>40.1</v>
      </c>
      <c r="G50">
        <v>0.23599999999999999</v>
      </c>
      <c r="H50">
        <v>28</v>
      </c>
      <c r="I50">
        <v>0</v>
      </c>
    </row>
    <row r="51" spans="1:9" x14ac:dyDescent="0.3">
      <c r="A51">
        <v>0</v>
      </c>
      <c r="B51">
        <v>108</v>
      </c>
      <c r="C51">
        <v>68</v>
      </c>
      <c r="D51">
        <v>20</v>
      </c>
      <c r="E51">
        <v>30.5</v>
      </c>
      <c r="F51">
        <v>27.3</v>
      </c>
      <c r="G51">
        <v>0.78700000000000003</v>
      </c>
      <c r="H51">
        <v>32</v>
      </c>
      <c r="I51">
        <v>0</v>
      </c>
    </row>
    <row r="52" spans="1:9" x14ac:dyDescent="0.3">
      <c r="A52">
        <v>2</v>
      </c>
      <c r="B52">
        <v>99</v>
      </c>
      <c r="C52">
        <v>70</v>
      </c>
      <c r="D52">
        <v>16</v>
      </c>
      <c r="E52">
        <v>44</v>
      </c>
      <c r="F52">
        <v>20.399999999999999</v>
      </c>
      <c r="G52">
        <v>0.23499999999999999</v>
      </c>
      <c r="H52">
        <v>27</v>
      </c>
      <c r="I52">
        <v>0</v>
      </c>
    </row>
    <row r="53" spans="1:9" x14ac:dyDescent="0.3">
      <c r="A53">
        <v>6</v>
      </c>
      <c r="B53">
        <v>103</v>
      </c>
      <c r="C53">
        <v>72</v>
      </c>
      <c r="D53">
        <v>32</v>
      </c>
      <c r="E53">
        <v>190</v>
      </c>
      <c r="F53">
        <v>37.700000000000003</v>
      </c>
      <c r="G53">
        <v>0.32400000000000001</v>
      </c>
      <c r="H53">
        <v>55</v>
      </c>
      <c r="I53">
        <v>0</v>
      </c>
    </row>
    <row r="54" spans="1:9" x14ac:dyDescent="0.3">
      <c r="A54">
        <v>5</v>
      </c>
      <c r="B54">
        <v>111</v>
      </c>
      <c r="C54">
        <v>72</v>
      </c>
      <c r="D54">
        <v>28</v>
      </c>
      <c r="E54">
        <v>30.5</v>
      </c>
      <c r="F54">
        <v>23.9</v>
      </c>
      <c r="G54">
        <v>0.40699999999999997</v>
      </c>
      <c r="H54">
        <v>27</v>
      </c>
      <c r="I54">
        <v>0</v>
      </c>
    </row>
    <row r="55" spans="1:9" x14ac:dyDescent="0.3">
      <c r="A55">
        <v>8</v>
      </c>
      <c r="B55">
        <v>196</v>
      </c>
      <c r="C55">
        <v>76</v>
      </c>
      <c r="D55">
        <v>29</v>
      </c>
      <c r="E55">
        <v>280</v>
      </c>
      <c r="F55">
        <v>37.5</v>
      </c>
      <c r="G55">
        <v>0.60499999999999998</v>
      </c>
      <c r="H55">
        <v>57</v>
      </c>
      <c r="I55">
        <v>1</v>
      </c>
    </row>
    <row r="56" spans="1:9" x14ac:dyDescent="0.3">
      <c r="A56">
        <v>5</v>
      </c>
      <c r="B56">
        <v>162</v>
      </c>
      <c r="C56">
        <v>104</v>
      </c>
      <c r="D56">
        <v>23</v>
      </c>
      <c r="E56">
        <v>30.5</v>
      </c>
      <c r="F56">
        <v>37.700000000000003</v>
      </c>
      <c r="G56">
        <v>0.151</v>
      </c>
      <c r="H56">
        <v>52</v>
      </c>
      <c r="I56">
        <v>1</v>
      </c>
    </row>
    <row r="57" spans="1:9" x14ac:dyDescent="0.3">
      <c r="A57">
        <v>1</v>
      </c>
      <c r="B57">
        <v>96</v>
      </c>
      <c r="C57">
        <v>64</v>
      </c>
      <c r="D57">
        <v>27</v>
      </c>
      <c r="E57">
        <v>87</v>
      </c>
      <c r="F57">
        <v>33.200000000000003</v>
      </c>
      <c r="G57">
        <v>0.28899999999999998</v>
      </c>
      <c r="H57">
        <v>21</v>
      </c>
      <c r="I57">
        <v>0</v>
      </c>
    </row>
    <row r="58" spans="1:9" x14ac:dyDescent="0.3">
      <c r="A58">
        <v>7</v>
      </c>
      <c r="B58">
        <v>184</v>
      </c>
      <c r="C58">
        <v>84</v>
      </c>
      <c r="D58">
        <v>33</v>
      </c>
      <c r="E58">
        <v>30.5</v>
      </c>
      <c r="F58">
        <v>35.5</v>
      </c>
      <c r="G58">
        <v>0.35499999999999998</v>
      </c>
      <c r="H58">
        <v>41</v>
      </c>
      <c r="I58">
        <v>1</v>
      </c>
    </row>
    <row r="59" spans="1:9" x14ac:dyDescent="0.3">
      <c r="A59">
        <v>2</v>
      </c>
      <c r="B59">
        <v>81</v>
      </c>
      <c r="C59">
        <v>60</v>
      </c>
      <c r="D59">
        <v>22</v>
      </c>
      <c r="E59">
        <v>30.5</v>
      </c>
      <c r="F59">
        <v>27.7</v>
      </c>
      <c r="G59">
        <v>0.28999999999999998</v>
      </c>
      <c r="H59">
        <v>25</v>
      </c>
      <c r="I59">
        <v>0</v>
      </c>
    </row>
    <row r="60" spans="1:9" x14ac:dyDescent="0.3">
      <c r="A60">
        <v>0</v>
      </c>
      <c r="B60">
        <v>147</v>
      </c>
      <c r="C60">
        <v>85</v>
      </c>
      <c r="D60">
        <v>54</v>
      </c>
      <c r="E60">
        <v>30.5</v>
      </c>
      <c r="F60">
        <v>42.8</v>
      </c>
      <c r="G60">
        <v>0.375</v>
      </c>
      <c r="H60">
        <v>24</v>
      </c>
      <c r="I60">
        <v>0</v>
      </c>
    </row>
    <row r="61" spans="1:9" x14ac:dyDescent="0.3">
      <c r="A61">
        <v>7</v>
      </c>
      <c r="B61">
        <v>179</v>
      </c>
      <c r="C61">
        <v>95</v>
      </c>
      <c r="D61">
        <v>31</v>
      </c>
      <c r="E61">
        <v>30.5</v>
      </c>
      <c r="F61">
        <v>34.200000000000003</v>
      </c>
      <c r="G61">
        <v>0.16400000000000001</v>
      </c>
      <c r="H61">
        <v>60</v>
      </c>
      <c r="I61">
        <v>0</v>
      </c>
    </row>
    <row r="62" spans="1:9" x14ac:dyDescent="0.3">
      <c r="A62">
        <v>0</v>
      </c>
      <c r="B62">
        <v>140</v>
      </c>
      <c r="C62">
        <v>65</v>
      </c>
      <c r="D62">
        <v>26</v>
      </c>
      <c r="E62">
        <v>130</v>
      </c>
      <c r="F62">
        <v>42.6</v>
      </c>
      <c r="G62">
        <v>0.43099999999999999</v>
      </c>
      <c r="H62">
        <v>24</v>
      </c>
      <c r="I62">
        <v>1</v>
      </c>
    </row>
    <row r="63" spans="1:9" x14ac:dyDescent="0.3">
      <c r="A63">
        <v>9</v>
      </c>
      <c r="B63">
        <v>112</v>
      </c>
      <c r="C63">
        <v>82</v>
      </c>
      <c r="D63">
        <v>32</v>
      </c>
      <c r="E63">
        <v>175</v>
      </c>
      <c r="F63">
        <v>34.200000000000003</v>
      </c>
      <c r="G63">
        <v>0.26</v>
      </c>
      <c r="H63">
        <v>36</v>
      </c>
      <c r="I63">
        <v>1</v>
      </c>
    </row>
    <row r="64" spans="1:9" x14ac:dyDescent="0.3">
      <c r="A64">
        <v>12</v>
      </c>
      <c r="B64">
        <v>151</v>
      </c>
      <c r="C64">
        <v>70</v>
      </c>
      <c r="D64">
        <v>40</v>
      </c>
      <c r="E64">
        <v>271</v>
      </c>
      <c r="F64">
        <v>41.8</v>
      </c>
      <c r="G64">
        <v>0.74199999999999999</v>
      </c>
      <c r="H64">
        <v>38</v>
      </c>
      <c r="I64">
        <v>1</v>
      </c>
    </row>
    <row r="65" spans="1:9" x14ac:dyDescent="0.3">
      <c r="A65">
        <v>5</v>
      </c>
      <c r="B65">
        <v>109</v>
      </c>
      <c r="C65">
        <v>62</v>
      </c>
      <c r="D65">
        <v>41</v>
      </c>
      <c r="E65">
        <v>129</v>
      </c>
      <c r="F65">
        <v>35.799999999999997</v>
      </c>
      <c r="G65">
        <v>0.51400000000000001</v>
      </c>
      <c r="H65">
        <v>25</v>
      </c>
      <c r="I65">
        <v>1</v>
      </c>
    </row>
    <row r="66" spans="1:9" x14ac:dyDescent="0.3">
      <c r="A66">
        <v>6</v>
      </c>
      <c r="B66">
        <v>125</v>
      </c>
      <c r="C66">
        <v>68</v>
      </c>
      <c r="D66">
        <v>30</v>
      </c>
      <c r="E66">
        <v>120</v>
      </c>
      <c r="F66">
        <v>30</v>
      </c>
      <c r="G66">
        <v>0.46400000000000002</v>
      </c>
      <c r="H66">
        <v>32</v>
      </c>
      <c r="I66">
        <v>0</v>
      </c>
    </row>
    <row r="67" spans="1:9" x14ac:dyDescent="0.3">
      <c r="A67">
        <v>5</v>
      </c>
      <c r="B67">
        <v>85</v>
      </c>
      <c r="C67">
        <v>74</v>
      </c>
      <c r="D67">
        <v>22</v>
      </c>
      <c r="E67">
        <v>30.5</v>
      </c>
      <c r="F67">
        <v>29</v>
      </c>
      <c r="G67">
        <v>1.224</v>
      </c>
      <c r="H67">
        <v>32</v>
      </c>
      <c r="I67">
        <v>1</v>
      </c>
    </row>
    <row r="68" spans="1:9" x14ac:dyDescent="0.3">
      <c r="A68">
        <v>5</v>
      </c>
      <c r="B68">
        <v>112</v>
      </c>
      <c r="C68">
        <v>66</v>
      </c>
      <c r="D68">
        <v>23</v>
      </c>
      <c r="E68">
        <v>30.5</v>
      </c>
      <c r="F68">
        <v>37.799999999999997</v>
      </c>
      <c r="G68">
        <v>0.26100000000000001</v>
      </c>
      <c r="H68">
        <v>41</v>
      </c>
      <c r="I68">
        <v>1</v>
      </c>
    </row>
    <row r="69" spans="1:9" x14ac:dyDescent="0.3">
      <c r="A69">
        <v>0</v>
      </c>
      <c r="B69">
        <v>177</v>
      </c>
      <c r="C69">
        <v>60</v>
      </c>
      <c r="D69">
        <v>29</v>
      </c>
      <c r="E69">
        <v>478</v>
      </c>
      <c r="F69">
        <v>34.6</v>
      </c>
      <c r="G69">
        <v>1.0720000000000001</v>
      </c>
      <c r="H69">
        <v>21</v>
      </c>
      <c r="I69">
        <v>1</v>
      </c>
    </row>
    <row r="70" spans="1:9" x14ac:dyDescent="0.3">
      <c r="A70">
        <v>2</v>
      </c>
      <c r="B70">
        <v>158</v>
      </c>
      <c r="C70">
        <v>90</v>
      </c>
      <c r="D70">
        <v>23</v>
      </c>
      <c r="E70">
        <v>30.5</v>
      </c>
      <c r="F70">
        <v>31.6</v>
      </c>
      <c r="G70">
        <v>0.80500000000000005</v>
      </c>
      <c r="H70">
        <v>66</v>
      </c>
      <c r="I70">
        <v>1</v>
      </c>
    </row>
    <row r="71" spans="1:9" x14ac:dyDescent="0.3">
      <c r="A71">
        <v>7</v>
      </c>
      <c r="B71">
        <v>119</v>
      </c>
      <c r="C71">
        <v>72</v>
      </c>
      <c r="D71">
        <v>23</v>
      </c>
      <c r="E71">
        <v>30.5</v>
      </c>
      <c r="F71">
        <v>25.2</v>
      </c>
      <c r="G71">
        <v>0.20899999999999999</v>
      </c>
      <c r="H71">
        <v>37</v>
      </c>
      <c r="I71">
        <v>0</v>
      </c>
    </row>
    <row r="72" spans="1:9" x14ac:dyDescent="0.3">
      <c r="A72">
        <v>7</v>
      </c>
      <c r="B72">
        <v>142</v>
      </c>
      <c r="C72">
        <v>60</v>
      </c>
      <c r="D72">
        <v>33</v>
      </c>
      <c r="E72">
        <v>190</v>
      </c>
      <c r="F72">
        <v>28.8</v>
      </c>
      <c r="G72">
        <v>0.68700000000000006</v>
      </c>
      <c r="H72">
        <v>61</v>
      </c>
      <c r="I72">
        <v>0</v>
      </c>
    </row>
    <row r="73" spans="1:9" x14ac:dyDescent="0.3">
      <c r="A73">
        <v>1</v>
      </c>
      <c r="B73">
        <v>100</v>
      </c>
      <c r="C73">
        <v>66</v>
      </c>
      <c r="D73">
        <v>15</v>
      </c>
      <c r="E73">
        <v>56</v>
      </c>
      <c r="F73">
        <v>23.6</v>
      </c>
      <c r="G73">
        <v>0.66600000000000004</v>
      </c>
      <c r="H73">
        <v>26</v>
      </c>
      <c r="I73">
        <v>0</v>
      </c>
    </row>
    <row r="74" spans="1:9" x14ac:dyDescent="0.3">
      <c r="A74">
        <v>1</v>
      </c>
      <c r="B74">
        <v>87</v>
      </c>
      <c r="C74">
        <v>78</v>
      </c>
      <c r="D74">
        <v>27</v>
      </c>
      <c r="E74">
        <v>32</v>
      </c>
      <c r="F74">
        <v>34.6</v>
      </c>
      <c r="G74">
        <v>0.10100000000000001</v>
      </c>
      <c r="H74">
        <v>22</v>
      </c>
      <c r="I74">
        <v>0</v>
      </c>
    </row>
    <row r="75" spans="1:9" x14ac:dyDescent="0.3">
      <c r="A75">
        <v>0</v>
      </c>
      <c r="B75">
        <v>101</v>
      </c>
      <c r="C75">
        <v>76</v>
      </c>
      <c r="D75">
        <v>23</v>
      </c>
      <c r="E75">
        <v>30.5</v>
      </c>
      <c r="F75">
        <v>35.700000000000003</v>
      </c>
      <c r="G75">
        <v>0.19800000000000001</v>
      </c>
      <c r="H75">
        <v>26</v>
      </c>
      <c r="I75">
        <v>0</v>
      </c>
    </row>
    <row r="76" spans="1:9" x14ac:dyDescent="0.3">
      <c r="A76">
        <v>3</v>
      </c>
      <c r="B76">
        <v>162</v>
      </c>
      <c r="C76">
        <v>52</v>
      </c>
      <c r="D76">
        <v>38</v>
      </c>
      <c r="E76">
        <v>30.5</v>
      </c>
      <c r="F76">
        <v>37.200000000000003</v>
      </c>
      <c r="G76">
        <v>0.65200000000000002</v>
      </c>
      <c r="H76">
        <v>24</v>
      </c>
      <c r="I76">
        <v>1</v>
      </c>
    </row>
    <row r="77" spans="1:9" x14ac:dyDescent="0.3">
      <c r="A77">
        <v>4</v>
      </c>
      <c r="B77">
        <v>197</v>
      </c>
      <c r="C77">
        <v>70</v>
      </c>
      <c r="D77">
        <v>39</v>
      </c>
      <c r="E77">
        <v>744</v>
      </c>
      <c r="F77">
        <v>36.700000000000003</v>
      </c>
      <c r="G77">
        <v>2.3290000000000002</v>
      </c>
      <c r="H77">
        <v>31</v>
      </c>
      <c r="I77">
        <v>0</v>
      </c>
    </row>
    <row r="78" spans="1:9" x14ac:dyDescent="0.3">
      <c r="A78">
        <v>0</v>
      </c>
      <c r="B78">
        <v>117</v>
      </c>
      <c r="C78">
        <v>80</v>
      </c>
      <c r="D78">
        <v>31</v>
      </c>
      <c r="E78">
        <v>53</v>
      </c>
      <c r="F78">
        <v>45.2</v>
      </c>
      <c r="G78">
        <v>8.8999999999999996E-2</v>
      </c>
      <c r="H78">
        <v>24</v>
      </c>
      <c r="I78">
        <v>0</v>
      </c>
    </row>
    <row r="79" spans="1:9" x14ac:dyDescent="0.3">
      <c r="A79">
        <v>4</v>
      </c>
      <c r="B79">
        <v>142</v>
      </c>
      <c r="C79">
        <v>86</v>
      </c>
      <c r="D79">
        <v>23</v>
      </c>
      <c r="E79">
        <v>30.5</v>
      </c>
      <c r="F79">
        <v>44</v>
      </c>
      <c r="G79">
        <v>0.64500000000000002</v>
      </c>
      <c r="H79">
        <v>22</v>
      </c>
      <c r="I79">
        <v>1</v>
      </c>
    </row>
    <row r="80" spans="1:9" x14ac:dyDescent="0.3">
      <c r="A80">
        <v>6</v>
      </c>
      <c r="B80">
        <v>134</v>
      </c>
      <c r="C80">
        <v>80</v>
      </c>
      <c r="D80">
        <v>37</v>
      </c>
      <c r="E80">
        <v>370</v>
      </c>
      <c r="F80">
        <v>46.2</v>
      </c>
      <c r="G80">
        <v>0.23799999999999999</v>
      </c>
      <c r="H80">
        <v>46</v>
      </c>
      <c r="I80">
        <v>1</v>
      </c>
    </row>
    <row r="81" spans="1:9" x14ac:dyDescent="0.3">
      <c r="A81">
        <v>1</v>
      </c>
      <c r="B81">
        <v>79</v>
      </c>
      <c r="C81">
        <v>80</v>
      </c>
      <c r="D81">
        <v>25</v>
      </c>
      <c r="E81">
        <v>37</v>
      </c>
      <c r="F81">
        <v>25.4</v>
      </c>
      <c r="G81">
        <v>0.58299999999999996</v>
      </c>
      <c r="H81">
        <v>22</v>
      </c>
      <c r="I81">
        <v>0</v>
      </c>
    </row>
    <row r="82" spans="1:9" x14ac:dyDescent="0.3">
      <c r="A82">
        <v>4</v>
      </c>
      <c r="B82">
        <v>122</v>
      </c>
      <c r="C82">
        <v>68</v>
      </c>
      <c r="D82">
        <v>23</v>
      </c>
      <c r="E82">
        <v>30.5</v>
      </c>
      <c r="F82">
        <v>35</v>
      </c>
      <c r="G82">
        <v>0.39400000000000002</v>
      </c>
      <c r="H82">
        <v>29</v>
      </c>
      <c r="I82">
        <v>0</v>
      </c>
    </row>
    <row r="83" spans="1:9" x14ac:dyDescent="0.3">
      <c r="A83">
        <v>3</v>
      </c>
      <c r="B83">
        <v>74</v>
      </c>
      <c r="C83">
        <v>68</v>
      </c>
      <c r="D83">
        <v>28</v>
      </c>
      <c r="E83">
        <v>45</v>
      </c>
      <c r="F83">
        <v>29.7</v>
      </c>
      <c r="G83">
        <v>0.29299999999999998</v>
      </c>
      <c r="H83">
        <v>23</v>
      </c>
      <c r="I83">
        <v>0</v>
      </c>
    </row>
    <row r="84" spans="1:9" x14ac:dyDescent="0.3">
      <c r="A84">
        <v>4</v>
      </c>
      <c r="B84">
        <v>171</v>
      </c>
      <c r="C84">
        <v>72</v>
      </c>
      <c r="D84">
        <v>23</v>
      </c>
      <c r="E84">
        <v>30.5</v>
      </c>
      <c r="F84">
        <v>43.6</v>
      </c>
      <c r="G84">
        <v>0.47899999999999998</v>
      </c>
      <c r="H84">
        <v>26</v>
      </c>
      <c r="I84">
        <v>1</v>
      </c>
    </row>
    <row r="85" spans="1:9" x14ac:dyDescent="0.3">
      <c r="A85">
        <v>7</v>
      </c>
      <c r="B85">
        <v>181</v>
      </c>
      <c r="C85">
        <v>84</v>
      </c>
      <c r="D85">
        <v>21</v>
      </c>
      <c r="E85">
        <v>192</v>
      </c>
      <c r="F85">
        <v>35.9</v>
      </c>
      <c r="G85">
        <v>0.58599999999999997</v>
      </c>
      <c r="H85">
        <v>51</v>
      </c>
      <c r="I85">
        <v>1</v>
      </c>
    </row>
    <row r="86" spans="1:9" x14ac:dyDescent="0.3">
      <c r="A86">
        <v>0</v>
      </c>
      <c r="B86">
        <v>179</v>
      </c>
      <c r="C86">
        <v>90</v>
      </c>
      <c r="D86">
        <v>27</v>
      </c>
      <c r="E86">
        <v>30.5</v>
      </c>
      <c r="F86">
        <v>44.1</v>
      </c>
      <c r="G86">
        <v>0.68600000000000005</v>
      </c>
      <c r="H86">
        <v>23</v>
      </c>
      <c r="I86">
        <v>1</v>
      </c>
    </row>
    <row r="87" spans="1:9" x14ac:dyDescent="0.3">
      <c r="A87">
        <v>9</v>
      </c>
      <c r="B87">
        <v>164</v>
      </c>
      <c r="C87">
        <v>84</v>
      </c>
      <c r="D87">
        <v>21</v>
      </c>
      <c r="E87">
        <v>30.5</v>
      </c>
      <c r="F87">
        <v>30.8</v>
      </c>
      <c r="G87">
        <v>0.83099999999999996</v>
      </c>
      <c r="H87">
        <v>32</v>
      </c>
      <c r="I87">
        <v>1</v>
      </c>
    </row>
    <row r="88" spans="1:9" x14ac:dyDescent="0.3">
      <c r="A88">
        <v>0</v>
      </c>
      <c r="B88">
        <v>104</v>
      </c>
      <c r="C88">
        <v>76</v>
      </c>
      <c r="D88">
        <v>23</v>
      </c>
      <c r="E88">
        <v>30.5</v>
      </c>
      <c r="F88">
        <v>18.399999999999999</v>
      </c>
      <c r="G88">
        <v>0.58199999999999996</v>
      </c>
      <c r="H88">
        <v>27</v>
      </c>
      <c r="I88">
        <v>0</v>
      </c>
    </row>
    <row r="89" spans="1:9" x14ac:dyDescent="0.3">
      <c r="A89">
        <v>1</v>
      </c>
      <c r="B89">
        <v>91</v>
      </c>
      <c r="C89">
        <v>64</v>
      </c>
      <c r="D89">
        <v>24</v>
      </c>
      <c r="E89">
        <v>30.5</v>
      </c>
      <c r="F89">
        <v>29.2</v>
      </c>
      <c r="G89">
        <v>0.192</v>
      </c>
      <c r="H89">
        <v>21</v>
      </c>
      <c r="I89">
        <v>0</v>
      </c>
    </row>
    <row r="90" spans="1:9" x14ac:dyDescent="0.3">
      <c r="A90">
        <v>4</v>
      </c>
      <c r="B90">
        <v>91</v>
      </c>
      <c r="C90">
        <v>70</v>
      </c>
      <c r="D90">
        <v>32</v>
      </c>
      <c r="E90">
        <v>88</v>
      </c>
      <c r="F90">
        <v>33.1</v>
      </c>
      <c r="G90">
        <v>0.44600000000000001</v>
      </c>
      <c r="H90">
        <v>22</v>
      </c>
      <c r="I90">
        <v>0</v>
      </c>
    </row>
    <row r="91" spans="1:9" x14ac:dyDescent="0.3">
      <c r="A91">
        <v>3</v>
      </c>
      <c r="B91">
        <v>139</v>
      </c>
      <c r="C91">
        <v>54</v>
      </c>
      <c r="D91">
        <v>23</v>
      </c>
      <c r="E91">
        <v>30.5</v>
      </c>
      <c r="F91">
        <v>25.6</v>
      </c>
      <c r="G91">
        <v>0.40200000000000002</v>
      </c>
      <c r="H91">
        <v>22</v>
      </c>
      <c r="I91">
        <v>1</v>
      </c>
    </row>
    <row r="92" spans="1:9" x14ac:dyDescent="0.3">
      <c r="A92">
        <v>6</v>
      </c>
      <c r="B92">
        <v>119</v>
      </c>
      <c r="C92">
        <v>50</v>
      </c>
      <c r="D92">
        <v>22</v>
      </c>
      <c r="E92">
        <v>176</v>
      </c>
      <c r="F92">
        <v>27.1</v>
      </c>
      <c r="G92">
        <v>1.3180000000000001</v>
      </c>
      <c r="H92">
        <v>33</v>
      </c>
      <c r="I92">
        <v>1</v>
      </c>
    </row>
    <row r="93" spans="1:9" x14ac:dyDescent="0.3">
      <c r="A93">
        <v>2</v>
      </c>
      <c r="B93">
        <v>146</v>
      </c>
      <c r="C93">
        <v>76</v>
      </c>
      <c r="D93">
        <v>35</v>
      </c>
      <c r="E93">
        <v>194</v>
      </c>
      <c r="F93">
        <v>38.200000000000003</v>
      </c>
      <c r="G93">
        <v>0.32900000000000001</v>
      </c>
      <c r="H93">
        <v>29</v>
      </c>
      <c r="I93">
        <v>0</v>
      </c>
    </row>
    <row r="94" spans="1:9" x14ac:dyDescent="0.3">
      <c r="A94">
        <v>9</v>
      </c>
      <c r="B94">
        <v>184</v>
      </c>
      <c r="C94">
        <v>85</v>
      </c>
      <c r="D94">
        <v>15</v>
      </c>
      <c r="E94">
        <v>30.5</v>
      </c>
      <c r="F94">
        <v>30</v>
      </c>
      <c r="G94">
        <v>1.2130000000000001</v>
      </c>
      <c r="H94">
        <v>49</v>
      </c>
      <c r="I94">
        <v>1</v>
      </c>
    </row>
    <row r="95" spans="1:9" x14ac:dyDescent="0.3">
      <c r="A95">
        <v>10</v>
      </c>
      <c r="B95">
        <v>122</v>
      </c>
      <c r="C95">
        <v>68</v>
      </c>
      <c r="D95">
        <v>23</v>
      </c>
      <c r="E95">
        <v>30.5</v>
      </c>
      <c r="F95">
        <v>31.2</v>
      </c>
      <c r="G95">
        <v>0.25800000000000001</v>
      </c>
      <c r="H95">
        <v>41</v>
      </c>
      <c r="I95">
        <v>0</v>
      </c>
    </row>
    <row r="96" spans="1:9" x14ac:dyDescent="0.3">
      <c r="A96">
        <v>0</v>
      </c>
      <c r="B96">
        <v>165</v>
      </c>
      <c r="C96">
        <v>90</v>
      </c>
      <c r="D96">
        <v>33</v>
      </c>
      <c r="E96">
        <v>680</v>
      </c>
      <c r="F96">
        <v>52.3</v>
      </c>
      <c r="G96">
        <v>0.42699999999999999</v>
      </c>
      <c r="H96">
        <v>23</v>
      </c>
      <c r="I96">
        <v>0</v>
      </c>
    </row>
    <row r="97" spans="1:9" x14ac:dyDescent="0.3">
      <c r="A97">
        <v>9</v>
      </c>
      <c r="B97">
        <v>124</v>
      </c>
      <c r="C97">
        <v>70</v>
      </c>
      <c r="D97">
        <v>33</v>
      </c>
      <c r="E97">
        <v>402</v>
      </c>
      <c r="F97">
        <v>35.4</v>
      </c>
      <c r="G97">
        <v>0.28199999999999997</v>
      </c>
      <c r="H97">
        <v>34</v>
      </c>
      <c r="I97">
        <v>0</v>
      </c>
    </row>
    <row r="98" spans="1:9" x14ac:dyDescent="0.3">
      <c r="A98">
        <v>1</v>
      </c>
      <c r="B98">
        <v>111</v>
      </c>
      <c r="C98">
        <v>86</v>
      </c>
      <c r="D98">
        <v>19</v>
      </c>
      <c r="E98">
        <v>30.5</v>
      </c>
      <c r="F98">
        <v>30.1</v>
      </c>
      <c r="G98">
        <v>0.14299999999999999</v>
      </c>
      <c r="H98">
        <v>23</v>
      </c>
      <c r="I98">
        <v>0</v>
      </c>
    </row>
    <row r="99" spans="1:9" x14ac:dyDescent="0.3">
      <c r="A99">
        <v>9</v>
      </c>
      <c r="B99">
        <v>106</v>
      </c>
      <c r="C99">
        <v>52</v>
      </c>
      <c r="D99">
        <v>23</v>
      </c>
      <c r="E99">
        <v>30.5</v>
      </c>
      <c r="F99">
        <v>31.2</v>
      </c>
      <c r="G99">
        <v>0.38</v>
      </c>
      <c r="H99">
        <v>42</v>
      </c>
      <c r="I99">
        <v>0</v>
      </c>
    </row>
    <row r="100" spans="1:9" x14ac:dyDescent="0.3">
      <c r="A100">
        <v>2</v>
      </c>
      <c r="B100">
        <v>129</v>
      </c>
      <c r="C100">
        <v>84</v>
      </c>
      <c r="D100">
        <v>23</v>
      </c>
      <c r="E100">
        <v>30.5</v>
      </c>
      <c r="F100">
        <v>28</v>
      </c>
      <c r="G100">
        <v>0.28399999999999997</v>
      </c>
      <c r="H100">
        <v>27</v>
      </c>
      <c r="I100">
        <v>0</v>
      </c>
    </row>
    <row r="101" spans="1:9" x14ac:dyDescent="0.3">
      <c r="A101">
        <v>2</v>
      </c>
      <c r="B101">
        <v>90</v>
      </c>
      <c r="C101">
        <v>80</v>
      </c>
      <c r="D101">
        <v>14</v>
      </c>
      <c r="E101">
        <v>55</v>
      </c>
      <c r="F101">
        <v>24.4</v>
      </c>
      <c r="G101">
        <v>0.249</v>
      </c>
      <c r="H101">
        <v>24</v>
      </c>
      <c r="I101">
        <v>0</v>
      </c>
    </row>
    <row r="102" spans="1:9" x14ac:dyDescent="0.3">
      <c r="A102">
        <v>0</v>
      </c>
      <c r="B102">
        <v>86</v>
      </c>
      <c r="C102">
        <v>68</v>
      </c>
      <c r="D102">
        <v>32</v>
      </c>
      <c r="E102">
        <v>30.5</v>
      </c>
      <c r="F102">
        <v>35.799999999999997</v>
      </c>
      <c r="G102">
        <v>0.23799999999999999</v>
      </c>
      <c r="H102">
        <v>25</v>
      </c>
      <c r="I102">
        <v>0</v>
      </c>
    </row>
    <row r="103" spans="1:9" x14ac:dyDescent="0.3">
      <c r="A103">
        <v>12</v>
      </c>
      <c r="B103">
        <v>92</v>
      </c>
      <c r="C103">
        <v>62</v>
      </c>
      <c r="D103">
        <v>7</v>
      </c>
      <c r="E103">
        <v>258</v>
      </c>
      <c r="F103">
        <v>27.6</v>
      </c>
      <c r="G103">
        <v>0.92600000000000005</v>
      </c>
      <c r="H103">
        <v>44</v>
      </c>
      <c r="I103">
        <v>1</v>
      </c>
    </row>
    <row r="104" spans="1:9" x14ac:dyDescent="0.3">
      <c r="A104">
        <v>1</v>
      </c>
      <c r="B104">
        <v>113</v>
      </c>
      <c r="C104">
        <v>64</v>
      </c>
      <c r="D104">
        <v>35</v>
      </c>
      <c r="E104">
        <v>30.5</v>
      </c>
      <c r="F104">
        <v>33.6</v>
      </c>
      <c r="G104">
        <v>0.54300000000000004</v>
      </c>
      <c r="H104">
        <v>21</v>
      </c>
      <c r="I104">
        <v>1</v>
      </c>
    </row>
    <row r="105" spans="1:9" x14ac:dyDescent="0.3">
      <c r="A105">
        <v>3</v>
      </c>
      <c r="B105">
        <v>111</v>
      </c>
      <c r="C105">
        <v>56</v>
      </c>
      <c r="D105">
        <v>39</v>
      </c>
      <c r="E105">
        <v>30.5</v>
      </c>
      <c r="F105">
        <v>30.1</v>
      </c>
      <c r="G105">
        <v>0.55700000000000005</v>
      </c>
      <c r="H105">
        <v>30</v>
      </c>
      <c r="I105">
        <v>0</v>
      </c>
    </row>
    <row r="106" spans="1:9" x14ac:dyDescent="0.3">
      <c r="A106">
        <v>2</v>
      </c>
      <c r="B106">
        <v>114</v>
      </c>
      <c r="C106">
        <v>68</v>
      </c>
      <c r="D106">
        <v>22</v>
      </c>
      <c r="E106">
        <v>30.5</v>
      </c>
      <c r="F106">
        <v>28.7</v>
      </c>
      <c r="G106">
        <v>9.1999999999999998E-2</v>
      </c>
      <c r="H106">
        <v>25</v>
      </c>
      <c r="I106">
        <v>0</v>
      </c>
    </row>
    <row r="107" spans="1:9" x14ac:dyDescent="0.3">
      <c r="A107">
        <v>1</v>
      </c>
      <c r="B107">
        <v>193</v>
      </c>
      <c r="C107">
        <v>50</v>
      </c>
      <c r="D107">
        <v>16</v>
      </c>
      <c r="E107">
        <v>375</v>
      </c>
      <c r="F107">
        <v>25.9</v>
      </c>
      <c r="G107">
        <v>0.65500000000000003</v>
      </c>
      <c r="H107">
        <v>24</v>
      </c>
      <c r="I107">
        <v>0</v>
      </c>
    </row>
    <row r="108" spans="1:9" x14ac:dyDescent="0.3">
      <c r="A108">
        <v>11</v>
      </c>
      <c r="B108">
        <v>155</v>
      </c>
      <c r="C108">
        <v>76</v>
      </c>
      <c r="D108">
        <v>28</v>
      </c>
      <c r="E108">
        <v>150</v>
      </c>
      <c r="F108">
        <v>33.299999999999997</v>
      </c>
      <c r="G108">
        <v>1.353</v>
      </c>
      <c r="H108">
        <v>51</v>
      </c>
      <c r="I108">
        <v>1</v>
      </c>
    </row>
    <row r="109" spans="1:9" x14ac:dyDescent="0.3">
      <c r="A109">
        <v>3</v>
      </c>
      <c r="B109">
        <v>191</v>
      </c>
      <c r="C109">
        <v>68</v>
      </c>
      <c r="D109">
        <v>15</v>
      </c>
      <c r="E109">
        <v>130</v>
      </c>
      <c r="F109">
        <v>30.9</v>
      </c>
      <c r="G109">
        <v>0.29899999999999999</v>
      </c>
      <c r="H109">
        <v>34</v>
      </c>
      <c r="I109">
        <v>0</v>
      </c>
    </row>
    <row r="110" spans="1:9" x14ac:dyDescent="0.3">
      <c r="A110">
        <v>3</v>
      </c>
      <c r="B110">
        <v>141</v>
      </c>
      <c r="C110">
        <v>72</v>
      </c>
      <c r="D110">
        <v>23</v>
      </c>
      <c r="E110">
        <v>30.5</v>
      </c>
      <c r="F110">
        <v>30</v>
      </c>
      <c r="G110">
        <v>0.76100000000000001</v>
      </c>
      <c r="H110">
        <v>27</v>
      </c>
      <c r="I110">
        <v>1</v>
      </c>
    </row>
    <row r="111" spans="1:9" x14ac:dyDescent="0.3">
      <c r="A111">
        <v>4</v>
      </c>
      <c r="B111">
        <v>95</v>
      </c>
      <c r="C111">
        <v>70</v>
      </c>
      <c r="D111">
        <v>32</v>
      </c>
      <c r="E111">
        <v>30.5</v>
      </c>
      <c r="F111">
        <v>32.1</v>
      </c>
      <c r="G111">
        <v>0.61199999999999999</v>
      </c>
      <c r="H111">
        <v>24</v>
      </c>
      <c r="I111">
        <v>0</v>
      </c>
    </row>
    <row r="112" spans="1:9" x14ac:dyDescent="0.3">
      <c r="A112">
        <v>3</v>
      </c>
      <c r="B112">
        <v>142</v>
      </c>
      <c r="C112">
        <v>80</v>
      </c>
      <c r="D112">
        <v>15</v>
      </c>
      <c r="E112">
        <v>30.5</v>
      </c>
      <c r="F112">
        <v>32.4</v>
      </c>
      <c r="G112">
        <v>0.2</v>
      </c>
      <c r="H112">
        <v>63</v>
      </c>
      <c r="I112">
        <v>0</v>
      </c>
    </row>
    <row r="113" spans="1:9" x14ac:dyDescent="0.3">
      <c r="A113">
        <v>4</v>
      </c>
      <c r="B113">
        <v>123</v>
      </c>
      <c r="C113">
        <v>62</v>
      </c>
      <c r="D113">
        <v>23</v>
      </c>
      <c r="E113">
        <v>30.5</v>
      </c>
      <c r="F113">
        <v>32</v>
      </c>
      <c r="G113">
        <v>0.22600000000000001</v>
      </c>
      <c r="H113">
        <v>35</v>
      </c>
      <c r="I113">
        <v>1</v>
      </c>
    </row>
    <row r="114" spans="1:9" x14ac:dyDescent="0.3">
      <c r="A114">
        <v>5</v>
      </c>
      <c r="B114">
        <v>96</v>
      </c>
      <c r="C114">
        <v>74</v>
      </c>
      <c r="D114">
        <v>18</v>
      </c>
      <c r="E114">
        <v>67</v>
      </c>
      <c r="F114">
        <v>33.6</v>
      </c>
      <c r="G114">
        <v>0.997</v>
      </c>
      <c r="H114">
        <v>43</v>
      </c>
      <c r="I114">
        <v>0</v>
      </c>
    </row>
    <row r="115" spans="1:9" x14ac:dyDescent="0.3">
      <c r="A115">
        <v>0</v>
      </c>
      <c r="B115">
        <v>138</v>
      </c>
      <c r="C115">
        <v>72</v>
      </c>
      <c r="D115">
        <v>23</v>
      </c>
      <c r="E115">
        <v>30.5</v>
      </c>
      <c r="F115">
        <v>36.299999999999997</v>
      </c>
      <c r="G115">
        <v>0.93300000000000005</v>
      </c>
      <c r="H115">
        <v>25</v>
      </c>
      <c r="I115">
        <v>1</v>
      </c>
    </row>
    <row r="116" spans="1:9" x14ac:dyDescent="0.3">
      <c r="A116">
        <v>2</v>
      </c>
      <c r="B116">
        <v>128</v>
      </c>
      <c r="C116">
        <v>64</v>
      </c>
      <c r="D116">
        <v>42</v>
      </c>
      <c r="E116">
        <v>30.5</v>
      </c>
      <c r="F116">
        <v>40</v>
      </c>
      <c r="G116">
        <v>1.101</v>
      </c>
      <c r="H116">
        <v>24</v>
      </c>
      <c r="I116">
        <v>0</v>
      </c>
    </row>
    <row r="117" spans="1:9" x14ac:dyDescent="0.3">
      <c r="A117">
        <v>0</v>
      </c>
      <c r="B117">
        <v>102</v>
      </c>
      <c r="C117">
        <v>52</v>
      </c>
      <c r="D117">
        <v>23</v>
      </c>
      <c r="E117">
        <v>30.5</v>
      </c>
      <c r="F117">
        <v>25.1</v>
      </c>
      <c r="G117">
        <v>7.8E-2</v>
      </c>
      <c r="H117">
        <v>21</v>
      </c>
      <c r="I117">
        <v>0</v>
      </c>
    </row>
    <row r="118" spans="1:9" x14ac:dyDescent="0.3">
      <c r="A118">
        <v>2</v>
      </c>
      <c r="B118">
        <v>146</v>
      </c>
      <c r="C118">
        <v>72</v>
      </c>
      <c r="D118">
        <v>23</v>
      </c>
      <c r="E118">
        <v>30.5</v>
      </c>
      <c r="F118">
        <v>27.5</v>
      </c>
      <c r="G118">
        <v>0.24</v>
      </c>
      <c r="H118">
        <v>28</v>
      </c>
      <c r="I118">
        <v>1</v>
      </c>
    </row>
    <row r="119" spans="1:9" x14ac:dyDescent="0.3">
      <c r="A119">
        <v>10</v>
      </c>
      <c r="B119">
        <v>101</v>
      </c>
      <c r="C119">
        <v>86</v>
      </c>
      <c r="D119">
        <v>37</v>
      </c>
      <c r="E119">
        <v>30.5</v>
      </c>
      <c r="F119">
        <v>45.6</v>
      </c>
      <c r="G119">
        <v>1.1359999999999999</v>
      </c>
      <c r="H119">
        <v>38</v>
      </c>
      <c r="I119">
        <v>1</v>
      </c>
    </row>
    <row r="120" spans="1:9" x14ac:dyDescent="0.3">
      <c r="A120">
        <v>2</v>
      </c>
      <c r="B120">
        <v>108</v>
      </c>
      <c r="C120">
        <v>62</v>
      </c>
      <c r="D120">
        <v>32</v>
      </c>
      <c r="E120">
        <v>56</v>
      </c>
      <c r="F120">
        <v>25.2</v>
      </c>
      <c r="G120">
        <v>0.128</v>
      </c>
      <c r="H120">
        <v>21</v>
      </c>
      <c r="I120">
        <v>0</v>
      </c>
    </row>
    <row r="121" spans="1:9" x14ac:dyDescent="0.3">
      <c r="A121">
        <v>3</v>
      </c>
      <c r="B121">
        <v>122</v>
      </c>
      <c r="C121">
        <v>78</v>
      </c>
      <c r="D121">
        <v>23</v>
      </c>
      <c r="E121">
        <v>30.5</v>
      </c>
      <c r="F121">
        <v>23</v>
      </c>
      <c r="G121">
        <v>0.254</v>
      </c>
      <c r="H121">
        <v>40</v>
      </c>
      <c r="I121">
        <v>0</v>
      </c>
    </row>
    <row r="122" spans="1:9" x14ac:dyDescent="0.3">
      <c r="A122">
        <v>1</v>
      </c>
      <c r="B122">
        <v>71</v>
      </c>
      <c r="C122">
        <v>78</v>
      </c>
      <c r="D122">
        <v>50</v>
      </c>
      <c r="E122">
        <v>45</v>
      </c>
      <c r="F122">
        <v>33.200000000000003</v>
      </c>
      <c r="G122">
        <v>0.42199999999999999</v>
      </c>
      <c r="H122">
        <v>21</v>
      </c>
      <c r="I122">
        <v>0</v>
      </c>
    </row>
    <row r="123" spans="1:9" x14ac:dyDescent="0.3">
      <c r="A123">
        <v>13</v>
      </c>
      <c r="B123">
        <v>106</v>
      </c>
      <c r="C123">
        <v>70</v>
      </c>
      <c r="D123">
        <v>23</v>
      </c>
      <c r="E123">
        <v>30.5</v>
      </c>
      <c r="F123">
        <v>34.200000000000003</v>
      </c>
      <c r="G123">
        <v>0.251</v>
      </c>
      <c r="H123">
        <v>52</v>
      </c>
      <c r="I123">
        <v>0</v>
      </c>
    </row>
    <row r="124" spans="1:9" x14ac:dyDescent="0.3">
      <c r="A124">
        <v>2</v>
      </c>
      <c r="B124">
        <v>100</v>
      </c>
      <c r="C124">
        <v>70</v>
      </c>
      <c r="D124">
        <v>52</v>
      </c>
      <c r="E124">
        <v>57</v>
      </c>
      <c r="F124">
        <v>40.5</v>
      </c>
      <c r="G124">
        <v>0.67700000000000005</v>
      </c>
      <c r="H124">
        <v>25</v>
      </c>
      <c r="I124">
        <v>0</v>
      </c>
    </row>
    <row r="125" spans="1:9" x14ac:dyDescent="0.3">
      <c r="A125">
        <v>7</v>
      </c>
      <c r="B125">
        <v>106</v>
      </c>
      <c r="C125">
        <v>60</v>
      </c>
      <c r="D125">
        <v>24</v>
      </c>
      <c r="E125">
        <v>30.5</v>
      </c>
      <c r="F125">
        <v>26.5</v>
      </c>
      <c r="G125">
        <v>0.29599999999999999</v>
      </c>
      <c r="H125">
        <v>29</v>
      </c>
      <c r="I125">
        <v>1</v>
      </c>
    </row>
    <row r="126" spans="1:9" x14ac:dyDescent="0.3">
      <c r="A126">
        <v>0</v>
      </c>
      <c r="B126">
        <v>104</v>
      </c>
      <c r="C126">
        <v>64</v>
      </c>
      <c r="D126">
        <v>23</v>
      </c>
      <c r="E126">
        <v>116</v>
      </c>
      <c r="F126">
        <v>27.8</v>
      </c>
      <c r="G126">
        <v>0.45400000000000001</v>
      </c>
      <c r="H126">
        <v>23</v>
      </c>
      <c r="I126">
        <v>0</v>
      </c>
    </row>
    <row r="127" spans="1:9" x14ac:dyDescent="0.3">
      <c r="A127">
        <v>5</v>
      </c>
      <c r="B127">
        <v>114</v>
      </c>
      <c r="C127">
        <v>74</v>
      </c>
      <c r="D127">
        <v>23</v>
      </c>
      <c r="E127">
        <v>30.5</v>
      </c>
      <c r="F127">
        <v>24.9</v>
      </c>
      <c r="G127">
        <v>0.74399999999999999</v>
      </c>
      <c r="H127">
        <v>57</v>
      </c>
      <c r="I127">
        <v>0</v>
      </c>
    </row>
    <row r="128" spans="1:9" x14ac:dyDescent="0.3">
      <c r="A128">
        <v>2</v>
      </c>
      <c r="B128">
        <v>108</v>
      </c>
      <c r="C128">
        <v>62</v>
      </c>
      <c r="D128">
        <v>10</v>
      </c>
      <c r="E128">
        <v>278</v>
      </c>
      <c r="F128">
        <v>25.3</v>
      </c>
      <c r="G128">
        <v>0.88100000000000001</v>
      </c>
      <c r="H128">
        <v>22</v>
      </c>
      <c r="I128">
        <v>0</v>
      </c>
    </row>
    <row r="129" spans="1:9" x14ac:dyDescent="0.3">
      <c r="A129">
        <v>0</v>
      </c>
      <c r="B129">
        <v>146</v>
      </c>
      <c r="C129">
        <v>70</v>
      </c>
      <c r="D129">
        <v>23</v>
      </c>
      <c r="E129">
        <v>30.5</v>
      </c>
      <c r="F129">
        <v>37.9</v>
      </c>
      <c r="G129">
        <v>0.33400000000000002</v>
      </c>
      <c r="H129">
        <v>28</v>
      </c>
      <c r="I129">
        <v>1</v>
      </c>
    </row>
    <row r="130" spans="1:9" x14ac:dyDescent="0.3">
      <c r="A130">
        <v>10</v>
      </c>
      <c r="B130">
        <v>129</v>
      </c>
      <c r="C130">
        <v>76</v>
      </c>
      <c r="D130">
        <v>28</v>
      </c>
      <c r="E130">
        <v>122</v>
      </c>
      <c r="F130">
        <v>35.9</v>
      </c>
      <c r="G130">
        <v>0.28000000000000003</v>
      </c>
      <c r="H130">
        <v>39</v>
      </c>
      <c r="I130">
        <v>0</v>
      </c>
    </row>
    <row r="131" spans="1:9" x14ac:dyDescent="0.3">
      <c r="A131">
        <v>7</v>
      </c>
      <c r="B131">
        <v>133</v>
      </c>
      <c r="C131">
        <v>88</v>
      </c>
      <c r="D131">
        <v>15</v>
      </c>
      <c r="E131">
        <v>155</v>
      </c>
      <c r="F131">
        <v>32.4</v>
      </c>
      <c r="G131">
        <v>0.26200000000000001</v>
      </c>
      <c r="H131">
        <v>37</v>
      </c>
      <c r="I131">
        <v>0</v>
      </c>
    </row>
    <row r="132" spans="1:9" x14ac:dyDescent="0.3">
      <c r="A132">
        <v>7</v>
      </c>
      <c r="B132">
        <v>161</v>
      </c>
      <c r="C132">
        <v>86</v>
      </c>
      <c r="D132">
        <v>23</v>
      </c>
      <c r="E132">
        <v>30.5</v>
      </c>
      <c r="F132">
        <v>30.4</v>
      </c>
      <c r="G132">
        <v>0.16500000000000001</v>
      </c>
      <c r="H132">
        <v>47</v>
      </c>
      <c r="I132">
        <v>1</v>
      </c>
    </row>
    <row r="133" spans="1:9" x14ac:dyDescent="0.3">
      <c r="A133">
        <v>2</v>
      </c>
      <c r="B133">
        <v>108</v>
      </c>
      <c r="C133">
        <v>80</v>
      </c>
      <c r="D133">
        <v>23</v>
      </c>
      <c r="E133">
        <v>30.5</v>
      </c>
      <c r="F133">
        <v>27</v>
      </c>
      <c r="G133">
        <v>0.25900000000000001</v>
      </c>
      <c r="H133">
        <v>52</v>
      </c>
      <c r="I133">
        <v>1</v>
      </c>
    </row>
    <row r="134" spans="1:9" x14ac:dyDescent="0.3">
      <c r="A134">
        <v>7</v>
      </c>
      <c r="B134">
        <v>136</v>
      </c>
      <c r="C134">
        <v>74</v>
      </c>
      <c r="D134">
        <v>26</v>
      </c>
      <c r="E134">
        <v>135</v>
      </c>
      <c r="F134">
        <v>26</v>
      </c>
      <c r="G134">
        <v>0.64700000000000002</v>
      </c>
      <c r="H134">
        <v>51</v>
      </c>
      <c r="I134">
        <v>0</v>
      </c>
    </row>
    <row r="135" spans="1:9" x14ac:dyDescent="0.3">
      <c r="A135">
        <v>5</v>
      </c>
      <c r="B135">
        <v>155</v>
      </c>
      <c r="C135">
        <v>84</v>
      </c>
      <c r="D135">
        <v>44</v>
      </c>
      <c r="E135">
        <v>545</v>
      </c>
      <c r="F135">
        <v>38.700000000000003</v>
      </c>
      <c r="G135">
        <v>0.61899999999999999</v>
      </c>
      <c r="H135">
        <v>34</v>
      </c>
      <c r="I135">
        <v>0</v>
      </c>
    </row>
    <row r="136" spans="1:9" x14ac:dyDescent="0.3">
      <c r="A136">
        <v>1</v>
      </c>
      <c r="B136">
        <v>119</v>
      </c>
      <c r="C136">
        <v>86</v>
      </c>
      <c r="D136">
        <v>39</v>
      </c>
      <c r="E136">
        <v>220</v>
      </c>
      <c r="F136">
        <v>45.6</v>
      </c>
      <c r="G136">
        <v>0.80800000000000005</v>
      </c>
      <c r="H136">
        <v>29</v>
      </c>
      <c r="I136">
        <v>1</v>
      </c>
    </row>
    <row r="137" spans="1:9" x14ac:dyDescent="0.3">
      <c r="A137">
        <v>4</v>
      </c>
      <c r="B137">
        <v>96</v>
      </c>
      <c r="C137">
        <v>56</v>
      </c>
      <c r="D137">
        <v>17</v>
      </c>
      <c r="E137">
        <v>49</v>
      </c>
      <c r="F137">
        <v>20.8</v>
      </c>
      <c r="G137">
        <v>0.34</v>
      </c>
      <c r="H137">
        <v>26</v>
      </c>
      <c r="I137">
        <v>0</v>
      </c>
    </row>
    <row r="138" spans="1:9" x14ac:dyDescent="0.3">
      <c r="A138">
        <v>5</v>
      </c>
      <c r="B138">
        <v>108</v>
      </c>
      <c r="C138">
        <v>72</v>
      </c>
      <c r="D138">
        <v>43</v>
      </c>
      <c r="E138">
        <v>75</v>
      </c>
      <c r="F138">
        <v>36.1</v>
      </c>
      <c r="G138">
        <v>0.26300000000000001</v>
      </c>
      <c r="H138">
        <v>33</v>
      </c>
      <c r="I138">
        <v>0</v>
      </c>
    </row>
    <row r="139" spans="1:9" x14ac:dyDescent="0.3">
      <c r="A139">
        <v>0</v>
      </c>
      <c r="B139">
        <v>78</v>
      </c>
      <c r="C139">
        <v>88</v>
      </c>
      <c r="D139">
        <v>29</v>
      </c>
      <c r="E139">
        <v>40</v>
      </c>
      <c r="F139">
        <v>36.9</v>
      </c>
      <c r="G139">
        <v>0.434</v>
      </c>
      <c r="H139">
        <v>21</v>
      </c>
      <c r="I139">
        <v>0</v>
      </c>
    </row>
    <row r="140" spans="1:9" x14ac:dyDescent="0.3">
      <c r="A140">
        <v>0</v>
      </c>
      <c r="B140">
        <v>107</v>
      </c>
      <c r="C140">
        <v>62</v>
      </c>
      <c r="D140">
        <v>30</v>
      </c>
      <c r="E140">
        <v>74</v>
      </c>
      <c r="F140">
        <v>36.6</v>
      </c>
      <c r="G140">
        <v>0.75700000000000001</v>
      </c>
      <c r="H140">
        <v>25</v>
      </c>
      <c r="I140">
        <v>1</v>
      </c>
    </row>
    <row r="141" spans="1:9" x14ac:dyDescent="0.3">
      <c r="A141">
        <v>2</v>
      </c>
      <c r="B141">
        <v>128</v>
      </c>
      <c r="C141">
        <v>78</v>
      </c>
      <c r="D141">
        <v>37</v>
      </c>
      <c r="E141">
        <v>182</v>
      </c>
      <c r="F141">
        <v>43.3</v>
      </c>
      <c r="G141">
        <v>1.224</v>
      </c>
      <c r="H141">
        <v>31</v>
      </c>
      <c r="I141">
        <v>1</v>
      </c>
    </row>
    <row r="142" spans="1:9" x14ac:dyDescent="0.3">
      <c r="A142">
        <v>1</v>
      </c>
      <c r="B142">
        <v>128</v>
      </c>
      <c r="C142">
        <v>48</v>
      </c>
      <c r="D142">
        <v>45</v>
      </c>
      <c r="E142">
        <v>194</v>
      </c>
      <c r="F142">
        <v>40.5</v>
      </c>
      <c r="G142">
        <v>0.61299999999999999</v>
      </c>
      <c r="H142">
        <v>24</v>
      </c>
      <c r="I142">
        <v>1</v>
      </c>
    </row>
    <row r="143" spans="1:9" x14ac:dyDescent="0.3">
      <c r="A143">
        <v>0</v>
      </c>
      <c r="B143">
        <v>161</v>
      </c>
      <c r="C143">
        <v>50</v>
      </c>
      <c r="D143">
        <v>23</v>
      </c>
      <c r="E143">
        <v>30.5</v>
      </c>
      <c r="F143">
        <v>21.9</v>
      </c>
      <c r="G143">
        <v>0.254</v>
      </c>
      <c r="H143">
        <v>65</v>
      </c>
      <c r="I143">
        <v>0</v>
      </c>
    </row>
    <row r="144" spans="1:9" x14ac:dyDescent="0.3">
      <c r="A144">
        <v>6</v>
      </c>
      <c r="B144">
        <v>151</v>
      </c>
      <c r="C144">
        <v>62</v>
      </c>
      <c r="D144">
        <v>31</v>
      </c>
      <c r="E144">
        <v>120</v>
      </c>
      <c r="F144">
        <v>35.5</v>
      </c>
      <c r="G144">
        <v>0.69199999999999995</v>
      </c>
      <c r="H144">
        <v>28</v>
      </c>
      <c r="I144">
        <v>0</v>
      </c>
    </row>
    <row r="145" spans="1:9" x14ac:dyDescent="0.3">
      <c r="A145">
        <v>2</v>
      </c>
      <c r="B145">
        <v>146</v>
      </c>
      <c r="C145">
        <v>70</v>
      </c>
      <c r="D145">
        <v>38</v>
      </c>
      <c r="E145">
        <v>360</v>
      </c>
      <c r="F145">
        <v>28</v>
      </c>
      <c r="G145">
        <v>0.33700000000000002</v>
      </c>
      <c r="H145">
        <v>29</v>
      </c>
      <c r="I145">
        <v>1</v>
      </c>
    </row>
    <row r="146" spans="1:9" x14ac:dyDescent="0.3">
      <c r="A146">
        <v>0</v>
      </c>
      <c r="B146">
        <v>126</v>
      </c>
      <c r="C146">
        <v>84</v>
      </c>
      <c r="D146">
        <v>29</v>
      </c>
      <c r="E146">
        <v>215</v>
      </c>
      <c r="F146">
        <v>30.7</v>
      </c>
      <c r="G146">
        <v>0.52</v>
      </c>
      <c r="H146">
        <v>24</v>
      </c>
      <c r="I146">
        <v>0</v>
      </c>
    </row>
    <row r="147" spans="1:9" x14ac:dyDescent="0.3">
      <c r="A147">
        <v>14</v>
      </c>
      <c r="B147">
        <v>100</v>
      </c>
      <c r="C147">
        <v>78</v>
      </c>
      <c r="D147">
        <v>25</v>
      </c>
      <c r="E147">
        <v>184</v>
      </c>
      <c r="F147">
        <v>36.6</v>
      </c>
      <c r="G147">
        <v>0.41199999999999998</v>
      </c>
      <c r="H147">
        <v>46</v>
      </c>
      <c r="I147">
        <v>1</v>
      </c>
    </row>
    <row r="148" spans="1:9" x14ac:dyDescent="0.3">
      <c r="A148">
        <v>8</v>
      </c>
      <c r="B148">
        <v>112</v>
      </c>
      <c r="C148">
        <v>72</v>
      </c>
      <c r="D148">
        <v>23</v>
      </c>
      <c r="E148">
        <v>30.5</v>
      </c>
      <c r="F148">
        <v>23.6</v>
      </c>
      <c r="G148">
        <v>0.84</v>
      </c>
      <c r="H148">
        <v>58</v>
      </c>
      <c r="I148">
        <v>0</v>
      </c>
    </row>
    <row r="149" spans="1:9" x14ac:dyDescent="0.3">
      <c r="A149">
        <v>0</v>
      </c>
      <c r="B149">
        <v>167</v>
      </c>
      <c r="C149">
        <v>72</v>
      </c>
      <c r="D149">
        <v>23</v>
      </c>
      <c r="E149">
        <v>30.5</v>
      </c>
      <c r="F149">
        <v>32.299999999999997</v>
      </c>
      <c r="G149">
        <v>0.83899999999999997</v>
      </c>
      <c r="H149">
        <v>30</v>
      </c>
      <c r="I149">
        <v>1</v>
      </c>
    </row>
    <row r="150" spans="1:9" x14ac:dyDescent="0.3">
      <c r="A150">
        <v>2</v>
      </c>
      <c r="B150">
        <v>144</v>
      </c>
      <c r="C150">
        <v>58</v>
      </c>
      <c r="D150">
        <v>33</v>
      </c>
      <c r="E150">
        <v>135</v>
      </c>
      <c r="F150">
        <v>31.6</v>
      </c>
      <c r="G150">
        <v>0.42199999999999999</v>
      </c>
      <c r="H150">
        <v>25</v>
      </c>
      <c r="I150">
        <v>1</v>
      </c>
    </row>
    <row r="151" spans="1:9" x14ac:dyDescent="0.3">
      <c r="A151">
        <v>5</v>
      </c>
      <c r="B151">
        <v>77</v>
      </c>
      <c r="C151">
        <v>82</v>
      </c>
      <c r="D151">
        <v>41</v>
      </c>
      <c r="E151">
        <v>42</v>
      </c>
      <c r="F151">
        <v>35.799999999999997</v>
      </c>
      <c r="G151">
        <v>0.156</v>
      </c>
      <c r="H151">
        <v>35</v>
      </c>
      <c r="I151">
        <v>0</v>
      </c>
    </row>
    <row r="152" spans="1:9" x14ac:dyDescent="0.3">
      <c r="A152">
        <v>5</v>
      </c>
      <c r="B152">
        <v>115</v>
      </c>
      <c r="C152">
        <v>98</v>
      </c>
      <c r="D152">
        <v>23</v>
      </c>
      <c r="E152">
        <v>30.5</v>
      </c>
      <c r="F152">
        <v>52.9</v>
      </c>
      <c r="G152">
        <v>0.20899999999999999</v>
      </c>
      <c r="H152">
        <v>28</v>
      </c>
      <c r="I152">
        <v>1</v>
      </c>
    </row>
    <row r="153" spans="1:9" x14ac:dyDescent="0.3">
      <c r="A153">
        <v>3</v>
      </c>
      <c r="B153">
        <v>150</v>
      </c>
      <c r="C153">
        <v>76</v>
      </c>
      <c r="D153">
        <v>23</v>
      </c>
      <c r="E153">
        <v>30.5</v>
      </c>
      <c r="F153">
        <v>21</v>
      </c>
      <c r="G153">
        <v>0.20699999999999999</v>
      </c>
      <c r="H153">
        <v>37</v>
      </c>
      <c r="I153">
        <v>0</v>
      </c>
    </row>
    <row r="154" spans="1:9" x14ac:dyDescent="0.3">
      <c r="A154">
        <v>2</v>
      </c>
      <c r="B154">
        <v>120</v>
      </c>
      <c r="C154">
        <v>76</v>
      </c>
      <c r="D154">
        <v>37</v>
      </c>
      <c r="E154">
        <v>105</v>
      </c>
      <c r="F154">
        <v>39.700000000000003</v>
      </c>
      <c r="G154">
        <v>0.215</v>
      </c>
      <c r="H154">
        <v>29</v>
      </c>
      <c r="I154">
        <v>0</v>
      </c>
    </row>
    <row r="155" spans="1:9" x14ac:dyDescent="0.3">
      <c r="A155">
        <v>10</v>
      </c>
      <c r="B155">
        <v>161</v>
      </c>
      <c r="C155">
        <v>68</v>
      </c>
      <c r="D155">
        <v>23</v>
      </c>
      <c r="E155">
        <v>132</v>
      </c>
      <c r="F155">
        <v>25.5</v>
      </c>
      <c r="G155">
        <v>0.32600000000000001</v>
      </c>
      <c r="H155">
        <v>47</v>
      </c>
      <c r="I155">
        <v>1</v>
      </c>
    </row>
    <row r="156" spans="1:9" x14ac:dyDescent="0.3">
      <c r="A156">
        <v>0</v>
      </c>
      <c r="B156">
        <v>137</v>
      </c>
      <c r="C156">
        <v>68</v>
      </c>
      <c r="D156">
        <v>14</v>
      </c>
      <c r="E156">
        <v>148</v>
      </c>
      <c r="F156">
        <v>24.8</v>
      </c>
      <c r="G156">
        <v>0.14299999999999999</v>
      </c>
      <c r="H156">
        <v>21</v>
      </c>
      <c r="I156">
        <v>0</v>
      </c>
    </row>
    <row r="157" spans="1:9" x14ac:dyDescent="0.3">
      <c r="A157">
        <v>0</v>
      </c>
      <c r="B157">
        <v>128</v>
      </c>
      <c r="C157">
        <v>68</v>
      </c>
      <c r="D157">
        <v>19</v>
      </c>
      <c r="E157">
        <v>180</v>
      </c>
      <c r="F157">
        <v>30.5</v>
      </c>
      <c r="G157">
        <v>1.391</v>
      </c>
      <c r="H157">
        <v>25</v>
      </c>
      <c r="I157">
        <v>1</v>
      </c>
    </row>
    <row r="158" spans="1:9" x14ac:dyDescent="0.3">
      <c r="A158">
        <v>2</v>
      </c>
      <c r="B158">
        <v>124</v>
      </c>
      <c r="C158">
        <v>68</v>
      </c>
      <c r="D158">
        <v>28</v>
      </c>
      <c r="E158">
        <v>205</v>
      </c>
      <c r="F158">
        <v>32.9</v>
      </c>
      <c r="G158">
        <v>0.875</v>
      </c>
      <c r="H158">
        <v>30</v>
      </c>
      <c r="I158">
        <v>1</v>
      </c>
    </row>
    <row r="159" spans="1:9" x14ac:dyDescent="0.3">
      <c r="A159">
        <v>6</v>
      </c>
      <c r="B159">
        <v>80</v>
      </c>
      <c r="C159">
        <v>66</v>
      </c>
      <c r="D159">
        <v>30</v>
      </c>
      <c r="E159">
        <v>30.5</v>
      </c>
      <c r="F159">
        <v>26.2</v>
      </c>
      <c r="G159">
        <v>0.313</v>
      </c>
      <c r="H159">
        <v>41</v>
      </c>
      <c r="I159">
        <v>0</v>
      </c>
    </row>
    <row r="160" spans="1:9" x14ac:dyDescent="0.3">
      <c r="A160">
        <v>0</v>
      </c>
      <c r="B160">
        <v>106</v>
      </c>
      <c r="C160">
        <v>70</v>
      </c>
      <c r="D160">
        <v>37</v>
      </c>
      <c r="E160">
        <v>148</v>
      </c>
      <c r="F160">
        <v>39.4</v>
      </c>
      <c r="G160">
        <v>0.60499999999999998</v>
      </c>
      <c r="H160">
        <v>22</v>
      </c>
      <c r="I160">
        <v>0</v>
      </c>
    </row>
    <row r="161" spans="1:9" x14ac:dyDescent="0.3">
      <c r="A161">
        <v>2</v>
      </c>
      <c r="B161">
        <v>155</v>
      </c>
      <c r="C161">
        <v>74</v>
      </c>
      <c r="D161">
        <v>17</v>
      </c>
      <c r="E161">
        <v>96</v>
      </c>
      <c r="F161">
        <v>26.6</v>
      </c>
      <c r="G161">
        <v>0.433</v>
      </c>
      <c r="H161">
        <v>27</v>
      </c>
      <c r="I161">
        <v>1</v>
      </c>
    </row>
    <row r="162" spans="1:9" x14ac:dyDescent="0.3">
      <c r="A162">
        <v>3</v>
      </c>
      <c r="B162">
        <v>113</v>
      </c>
      <c r="C162">
        <v>50</v>
      </c>
      <c r="D162">
        <v>10</v>
      </c>
      <c r="E162">
        <v>85</v>
      </c>
      <c r="F162">
        <v>29.5</v>
      </c>
      <c r="G162">
        <v>0.626</v>
      </c>
      <c r="H162">
        <v>25</v>
      </c>
      <c r="I162">
        <v>0</v>
      </c>
    </row>
    <row r="163" spans="1:9" x14ac:dyDescent="0.3">
      <c r="A163">
        <v>7</v>
      </c>
      <c r="B163">
        <v>109</v>
      </c>
      <c r="C163">
        <v>80</v>
      </c>
      <c r="D163">
        <v>31</v>
      </c>
      <c r="E163">
        <v>30.5</v>
      </c>
      <c r="F163">
        <v>35.9</v>
      </c>
      <c r="G163">
        <v>1.127</v>
      </c>
      <c r="H163">
        <v>43</v>
      </c>
      <c r="I163">
        <v>1</v>
      </c>
    </row>
    <row r="164" spans="1:9" x14ac:dyDescent="0.3">
      <c r="A164">
        <v>2</v>
      </c>
      <c r="B164">
        <v>112</v>
      </c>
      <c r="C164">
        <v>68</v>
      </c>
      <c r="D164">
        <v>22</v>
      </c>
      <c r="E164">
        <v>94</v>
      </c>
      <c r="F164">
        <v>34.1</v>
      </c>
      <c r="G164">
        <v>0.315</v>
      </c>
      <c r="H164">
        <v>26</v>
      </c>
      <c r="I164">
        <v>0</v>
      </c>
    </row>
    <row r="165" spans="1:9" x14ac:dyDescent="0.3">
      <c r="A165">
        <v>3</v>
      </c>
      <c r="B165">
        <v>99</v>
      </c>
      <c r="C165">
        <v>80</v>
      </c>
      <c r="D165">
        <v>11</v>
      </c>
      <c r="E165">
        <v>64</v>
      </c>
      <c r="F165">
        <v>19.3</v>
      </c>
      <c r="G165">
        <v>0.28399999999999997</v>
      </c>
      <c r="H165">
        <v>30</v>
      </c>
      <c r="I165">
        <v>0</v>
      </c>
    </row>
    <row r="166" spans="1:9" x14ac:dyDescent="0.3">
      <c r="A166">
        <v>3</v>
      </c>
      <c r="B166">
        <v>182</v>
      </c>
      <c r="C166">
        <v>74</v>
      </c>
      <c r="D166">
        <v>23</v>
      </c>
      <c r="E166">
        <v>30.5</v>
      </c>
      <c r="F166">
        <v>30.5</v>
      </c>
      <c r="G166">
        <v>0.34499999999999997</v>
      </c>
      <c r="H166">
        <v>29</v>
      </c>
      <c r="I166">
        <v>1</v>
      </c>
    </row>
    <row r="167" spans="1:9" x14ac:dyDescent="0.3">
      <c r="A167">
        <v>3</v>
      </c>
      <c r="B167">
        <v>115</v>
      </c>
      <c r="C167">
        <v>66</v>
      </c>
      <c r="D167">
        <v>39</v>
      </c>
      <c r="E167">
        <v>140</v>
      </c>
      <c r="F167">
        <v>38.1</v>
      </c>
      <c r="G167">
        <v>0.15</v>
      </c>
      <c r="H167">
        <v>28</v>
      </c>
      <c r="I167">
        <v>0</v>
      </c>
    </row>
    <row r="168" spans="1:9" x14ac:dyDescent="0.3">
      <c r="A168">
        <v>6</v>
      </c>
      <c r="B168">
        <v>194</v>
      </c>
      <c r="C168">
        <v>78</v>
      </c>
      <c r="D168">
        <v>23</v>
      </c>
      <c r="E168">
        <v>30.5</v>
      </c>
      <c r="F168">
        <v>23.5</v>
      </c>
      <c r="G168">
        <v>0.129</v>
      </c>
      <c r="H168">
        <v>59</v>
      </c>
      <c r="I168">
        <v>1</v>
      </c>
    </row>
    <row r="169" spans="1:9" x14ac:dyDescent="0.3">
      <c r="A169">
        <v>4</v>
      </c>
      <c r="B169">
        <v>129</v>
      </c>
      <c r="C169">
        <v>60</v>
      </c>
      <c r="D169">
        <v>12</v>
      </c>
      <c r="E169">
        <v>231</v>
      </c>
      <c r="F169">
        <v>27.5</v>
      </c>
      <c r="G169">
        <v>0.52700000000000002</v>
      </c>
      <c r="H169">
        <v>31</v>
      </c>
      <c r="I169">
        <v>0</v>
      </c>
    </row>
    <row r="170" spans="1:9" x14ac:dyDescent="0.3">
      <c r="A170">
        <v>3</v>
      </c>
      <c r="B170">
        <v>112</v>
      </c>
      <c r="C170">
        <v>74</v>
      </c>
      <c r="D170">
        <v>30</v>
      </c>
      <c r="E170">
        <v>30.5</v>
      </c>
      <c r="F170">
        <v>31.6</v>
      </c>
      <c r="G170">
        <v>0.19700000000000001</v>
      </c>
      <c r="H170">
        <v>25</v>
      </c>
      <c r="I170">
        <v>1</v>
      </c>
    </row>
    <row r="171" spans="1:9" x14ac:dyDescent="0.3">
      <c r="A171">
        <v>0</v>
      </c>
      <c r="B171">
        <v>124</v>
      </c>
      <c r="C171">
        <v>70</v>
      </c>
      <c r="D171">
        <v>20</v>
      </c>
      <c r="E171">
        <v>30.5</v>
      </c>
      <c r="F171">
        <v>27.4</v>
      </c>
      <c r="G171">
        <v>0.254</v>
      </c>
      <c r="H171">
        <v>36</v>
      </c>
      <c r="I171">
        <v>1</v>
      </c>
    </row>
    <row r="172" spans="1:9" x14ac:dyDescent="0.3">
      <c r="A172">
        <v>13</v>
      </c>
      <c r="B172">
        <v>152</v>
      </c>
      <c r="C172">
        <v>90</v>
      </c>
      <c r="D172">
        <v>33</v>
      </c>
      <c r="E172">
        <v>29</v>
      </c>
      <c r="F172">
        <v>26.8</v>
      </c>
      <c r="G172">
        <v>0.73099999999999998</v>
      </c>
      <c r="H172">
        <v>43</v>
      </c>
      <c r="I172">
        <v>1</v>
      </c>
    </row>
    <row r="173" spans="1:9" x14ac:dyDescent="0.3">
      <c r="A173">
        <v>2</v>
      </c>
      <c r="B173">
        <v>112</v>
      </c>
      <c r="C173">
        <v>75</v>
      </c>
      <c r="D173">
        <v>32</v>
      </c>
      <c r="E173">
        <v>30.5</v>
      </c>
      <c r="F173">
        <v>35.700000000000003</v>
      </c>
      <c r="G173">
        <v>0.14799999999999999</v>
      </c>
      <c r="H173">
        <v>21</v>
      </c>
      <c r="I173">
        <v>0</v>
      </c>
    </row>
    <row r="174" spans="1:9" x14ac:dyDescent="0.3">
      <c r="A174">
        <v>1</v>
      </c>
      <c r="B174">
        <v>157</v>
      </c>
      <c r="C174">
        <v>72</v>
      </c>
      <c r="D174">
        <v>21</v>
      </c>
      <c r="E174">
        <v>168</v>
      </c>
      <c r="F174">
        <v>25.6</v>
      </c>
      <c r="G174">
        <v>0.123</v>
      </c>
      <c r="H174">
        <v>24</v>
      </c>
      <c r="I174">
        <v>0</v>
      </c>
    </row>
    <row r="175" spans="1:9" x14ac:dyDescent="0.3">
      <c r="A175">
        <v>1</v>
      </c>
      <c r="B175">
        <v>122</v>
      </c>
      <c r="C175">
        <v>64</v>
      </c>
      <c r="D175">
        <v>32</v>
      </c>
      <c r="E175">
        <v>156</v>
      </c>
      <c r="F175">
        <v>35.1</v>
      </c>
      <c r="G175">
        <v>0.69199999999999995</v>
      </c>
      <c r="H175">
        <v>30</v>
      </c>
      <c r="I175">
        <v>1</v>
      </c>
    </row>
    <row r="176" spans="1:9" x14ac:dyDescent="0.3">
      <c r="A176">
        <v>10</v>
      </c>
      <c r="B176">
        <v>179</v>
      </c>
      <c r="C176">
        <v>70</v>
      </c>
      <c r="D176">
        <v>23</v>
      </c>
      <c r="E176">
        <v>30.5</v>
      </c>
      <c r="F176">
        <v>35.1</v>
      </c>
      <c r="G176">
        <v>0.2</v>
      </c>
      <c r="H176">
        <v>37</v>
      </c>
      <c r="I176">
        <v>0</v>
      </c>
    </row>
    <row r="177" spans="1:9" x14ac:dyDescent="0.3">
      <c r="A177">
        <v>2</v>
      </c>
      <c r="B177">
        <v>102</v>
      </c>
      <c r="C177">
        <v>86</v>
      </c>
      <c r="D177">
        <v>36</v>
      </c>
      <c r="E177">
        <v>120</v>
      </c>
      <c r="F177">
        <v>45.5</v>
      </c>
      <c r="G177">
        <v>0.127</v>
      </c>
      <c r="H177">
        <v>23</v>
      </c>
      <c r="I177">
        <v>1</v>
      </c>
    </row>
    <row r="178" spans="1:9" x14ac:dyDescent="0.3">
      <c r="A178">
        <v>6</v>
      </c>
      <c r="B178">
        <v>105</v>
      </c>
      <c r="C178">
        <v>70</v>
      </c>
      <c r="D178">
        <v>32</v>
      </c>
      <c r="E178">
        <v>68</v>
      </c>
      <c r="F178">
        <v>30.8</v>
      </c>
      <c r="G178">
        <v>0.122</v>
      </c>
      <c r="H178">
        <v>37</v>
      </c>
      <c r="I178">
        <v>0</v>
      </c>
    </row>
    <row r="179" spans="1:9" x14ac:dyDescent="0.3">
      <c r="A179">
        <v>8</v>
      </c>
      <c r="B179">
        <v>118</v>
      </c>
      <c r="C179">
        <v>72</v>
      </c>
      <c r="D179">
        <v>19</v>
      </c>
      <c r="E179">
        <v>30.5</v>
      </c>
      <c r="F179">
        <v>23.1</v>
      </c>
      <c r="G179">
        <v>1.476</v>
      </c>
      <c r="H179">
        <v>46</v>
      </c>
      <c r="I179">
        <v>0</v>
      </c>
    </row>
    <row r="180" spans="1:9" x14ac:dyDescent="0.3">
      <c r="A180">
        <v>2</v>
      </c>
      <c r="B180">
        <v>87</v>
      </c>
      <c r="C180">
        <v>58</v>
      </c>
      <c r="D180">
        <v>16</v>
      </c>
      <c r="E180">
        <v>52</v>
      </c>
      <c r="F180">
        <v>32.700000000000003</v>
      </c>
      <c r="G180">
        <v>0.16600000000000001</v>
      </c>
      <c r="H180">
        <v>25</v>
      </c>
      <c r="I180">
        <v>0</v>
      </c>
    </row>
    <row r="181" spans="1:9" x14ac:dyDescent="0.3">
      <c r="A181">
        <v>1</v>
      </c>
      <c r="B181">
        <v>180</v>
      </c>
      <c r="C181">
        <v>72</v>
      </c>
      <c r="D181">
        <v>23</v>
      </c>
      <c r="E181">
        <v>30.5</v>
      </c>
      <c r="F181">
        <v>43.3</v>
      </c>
      <c r="G181">
        <v>0.28199999999999997</v>
      </c>
      <c r="H181">
        <v>41</v>
      </c>
      <c r="I181">
        <v>1</v>
      </c>
    </row>
    <row r="182" spans="1:9" x14ac:dyDescent="0.3">
      <c r="A182">
        <v>12</v>
      </c>
      <c r="B182">
        <v>106</v>
      </c>
      <c r="C182">
        <v>80</v>
      </c>
      <c r="D182">
        <v>23</v>
      </c>
      <c r="E182">
        <v>30.5</v>
      </c>
      <c r="F182">
        <v>23.6</v>
      </c>
      <c r="G182">
        <v>0.13700000000000001</v>
      </c>
      <c r="H182">
        <v>44</v>
      </c>
      <c r="I182">
        <v>0</v>
      </c>
    </row>
    <row r="183" spans="1:9" x14ac:dyDescent="0.3">
      <c r="A183">
        <v>1</v>
      </c>
      <c r="B183">
        <v>95</v>
      </c>
      <c r="C183">
        <v>60</v>
      </c>
      <c r="D183">
        <v>18</v>
      </c>
      <c r="E183">
        <v>58</v>
      </c>
      <c r="F183">
        <v>23.9</v>
      </c>
      <c r="G183">
        <v>0.26</v>
      </c>
      <c r="H183">
        <v>22</v>
      </c>
      <c r="I183">
        <v>0</v>
      </c>
    </row>
    <row r="184" spans="1:9" x14ac:dyDescent="0.3">
      <c r="A184">
        <v>0</v>
      </c>
      <c r="B184">
        <v>165</v>
      </c>
      <c r="C184">
        <v>76</v>
      </c>
      <c r="D184">
        <v>43</v>
      </c>
      <c r="E184">
        <v>255</v>
      </c>
      <c r="F184">
        <v>47.9</v>
      </c>
      <c r="G184">
        <v>0.25900000000000001</v>
      </c>
      <c r="H184">
        <v>26</v>
      </c>
      <c r="I184">
        <v>0</v>
      </c>
    </row>
    <row r="185" spans="1:9" x14ac:dyDescent="0.3">
      <c r="A185">
        <v>0</v>
      </c>
      <c r="B185">
        <v>117</v>
      </c>
      <c r="C185">
        <v>72</v>
      </c>
      <c r="D185">
        <v>23</v>
      </c>
      <c r="E185">
        <v>30.5</v>
      </c>
      <c r="F185">
        <v>33.799999999999997</v>
      </c>
      <c r="G185">
        <v>0.93200000000000005</v>
      </c>
      <c r="H185">
        <v>44</v>
      </c>
      <c r="I185">
        <v>0</v>
      </c>
    </row>
    <row r="186" spans="1:9" x14ac:dyDescent="0.3">
      <c r="A186">
        <v>5</v>
      </c>
      <c r="B186">
        <v>115</v>
      </c>
      <c r="C186">
        <v>76</v>
      </c>
      <c r="D186">
        <v>23</v>
      </c>
      <c r="E186">
        <v>30.5</v>
      </c>
      <c r="F186">
        <v>31.2</v>
      </c>
      <c r="G186">
        <v>0.34300000000000003</v>
      </c>
      <c r="H186">
        <v>44</v>
      </c>
      <c r="I186">
        <v>1</v>
      </c>
    </row>
    <row r="187" spans="1:9" x14ac:dyDescent="0.3">
      <c r="A187">
        <v>9</v>
      </c>
      <c r="B187">
        <v>152</v>
      </c>
      <c r="C187">
        <v>78</v>
      </c>
      <c r="D187">
        <v>34</v>
      </c>
      <c r="E187">
        <v>171</v>
      </c>
      <c r="F187">
        <v>34.200000000000003</v>
      </c>
      <c r="G187">
        <v>0.89300000000000002</v>
      </c>
      <c r="H187">
        <v>33</v>
      </c>
      <c r="I187">
        <v>1</v>
      </c>
    </row>
    <row r="188" spans="1:9" x14ac:dyDescent="0.3">
      <c r="A188">
        <v>7</v>
      </c>
      <c r="B188">
        <v>178</v>
      </c>
      <c r="C188">
        <v>84</v>
      </c>
      <c r="D188">
        <v>23</v>
      </c>
      <c r="E188">
        <v>30.5</v>
      </c>
      <c r="F188">
        <v>39.9</v>
      </c>
      <c r="G188">
        <v>0.33100000000000002</v>
      </c>
      <c r="H188">
        <v>41</v>
      </c>
      <c r="I188">
        <v>1</v>
      </c>
    </row>
    <row r="189" spans="1:9" x14ac:dyDescent="0.3">
      <c r="A189">
        <v>1</v>
      </c>
      <c r="B189">
        <v>130</v>
      </c>
      <c r="C189">
        <v>70</v>
      </c>
      <c r="D189">
        <v>13</v>
      </c>
      <c r="E189">
        <v>105</v>
      </c>
      <c r="F189">
        <v>25.9</v>
      </c>
      <c r="G189">
        <v>0.47199999999999998</v>
      </c>
      <c r="H189">
        <v>22</v>
      </c>
      <c r="I189">
        <v>0</v>
      </c>
    </row>
    <row r="190" spans="1:9" x14ac:dyDescent="0.3">
      <c r="A190">
        <v>1</v>
      </c>
      <c r="B190">
        <v>95</v>
      </c>
      <c r="C190">
        <v>74</v>
      </c>
      <c r="D190">
        <v>21</v>
      </c>
      <c r="E190">
        <v>73</v>
      </c>
      <c r="F190">
        <v>25.9</v>
      </c>
      <c r="G190">
        <v>0.67300000000000004</v>
      </c>
      <c r="H190">
        <v>36</v>
      </c>
      <c r="I190">
        <v>0</v>
      </c>
    </row>
    <row r="191" spans="1:9" x14ac:dyDescent="0.3">
      <c r="A191">
        <v>1</v>
      </c>
      <c r="B191">
        <v>117</v>
      </c>
      <c r="C191">
        <v>68</v>
      </c>
      <c r="D191">
        <v>35</v>
      </c>
      <c r="E191">
        <v>30.5</v>
      </c>
      <c r="F191">
        <v>32</v>
      </c>
      <c r="G191">
        <v>0.38900000000000001</v>
      </c>
      <c r="H191">
        <v>22</v>
      </c>
      <c r="I191">
        <v>0</v>
      </c>
    </row>
    <row r="192" spans="1:9" x14ac:dyDescent="0.3">
      <c r="A192">
        <v>5</v>
      </c>
      <c r="B192">
        <v>122</v>
      </c>
      <c r="C192">
        <v>86</v>
      </c>
      <c r="D192">
        <v>23</v>
      </c>
      <c r="E192">
        <v>30.5</v>
      </c>
      <c r="F192">
        <v>34.700000000000003</v>
      </c>
      <c r="G192">
        <v>0.28999999999999998</v>
      </c>
      <c r="H192">
        <v>33</v>
      </c>
      <c r="I192">
        <v>0</v>
      </c>
    </row>
    <row r="193" spans="1:9" x14ac:dyDescent="0.3">
      <c r="A193">
        <v>8</v>
      </c>
      <c r="B193">
        <v>95</v>
      </c>
      <c r="C193">
        <v>72</v>
      </c>
      <c r="D193">
        <v>23</v>
      </c>
      <c r="E193">
        <v>30.5</v>
      </c>
      <c r="F193">
        <v>36.799999999999997</v>
      </c>
      <c r="G193">
        <v>0.48499999999999999</v>
      </c>
      <c r="H193">
        <v>57</v>
      </c>
      <c r="I193">
        <v>0</v>
      </c>
    </row>
    <row r="194" spans="1:9" x14ac:dyDescent="0.3">
      <c r="A194">
        <v>8</v>
      </c>
      <c r="B194">
        <v>126</v>
      </c>
      <c r="C194">
        <v>88</v>
      </c>
      <c r="D194">
        <v>36</v>
      </c>
      <c r="E194">
        <v>108</v>
      </c>
      <c r="F194">
        <v>38.5</v>
      </c>
      <c r="G194">
        <v>0.34899999999999998</v>
      </c>
      <c r="H194">
        <v>49</v>
      </c>
      <c r="I194">
        <v>0</v>
      </c>
    </row>
    <row r="195" spans="1:9" x14ac:dyDescent="0.3">
      <c r="A195">
        <v>1</v>
      </c>
      <c r="B195">
        <v>139</v>
      </c>
      <c r="C195">
        <v>46</v>
      </c>
      <c r="D195">
        <v>19</v>
      </c>
      <c r="E195">
        <v>83</v>
      </c>
      <c r="F195">
        <v>28.7</v>
      </c>
      <c r="G195">
        <v>0.65400000000000003</v>
      </c>
      <c r="H195">
        <v>22</v>
      </c>
      <c r="I195">
        <v>0</v>
      </c>
    </row>
    <row r="196" spans="1:9" x14ac:dyDescent="0.3">
      <c r="A196">
        <v>3</v>
      </c>
      <c r="B196">
        <v>116</v>
      </c>
      <c r="C196">
        <v>72</v>
      </c>
      <c r="D196">
        <v>23</v>
      </c>
      <c r="E196">
        <v>30.5</v>
      </c>
      <c r="F196">
        <v>23.5</v>
      </c>
      <c r="G196">
        <v>0.187</v>
      </c>
      <c r="H196">
        <v>23</v>
      </c>
      <c r="I196">
        <v>0</v>
      </c>
    </row>
    <row r="197" spans="1:9" x14ac:dyDescent="0.3">
      <c r="A197">
        <v>3</v>
      </c>
      <c r="B197">
        <v>99</v>
      </c>
      <c r="C197">
        <v>62</v>
      </c>
      <c r="D197">
        <v>19</v>
      </c>
      <c r="E197">
        <v>74</v>
      </c>
      <c r="F197">
        <v>21.8</v>
      </c>
      <c r="G197">
        <v>0.27900000000000003</v>
      </c>
      <c r="H197">
        <v>26</v>
      </c>
      <c r="I197">
        <v>0</v>
      </c>
    </row>
    <row r="198" spans="1:9" x14ac:dyDescent="0.3">
      <c r="A198">
        <v>5</v>
      </c>
      <c r="B198">
        <v>117</v>
      </c>
      <c r="C198">
        <v>80</v>
      </c>
      <c r="D198">
        <v>32</v>
      </c>
      <c r="E198">
        <v>30.5</v>
      </c>
      <c r="F198">
        <v>41</v>
      </c>
      <c r="G198">
        <v>0.34599999999999997</v>
      </c>
      <c r="H198">
        <v>37</v>
      </c>
      <c r="I198">
        <v>1</v>
      </c>
    </row>
    <row r="199" spans="1:9" x14ac:dyDescent="0.3">
      <c r="A199">
        <v>4</v>
      </c>
      <c r="B199">
        <v>92</v>
      </c>
      <c r="C199">
        <v>80</v>
      </c>
      <c r="D199">
        <v>23</v>
      </c>
      <c r="E199">
        <v>30.5</v>
      </c>
      <c r="F199">
        <v>42.2</v>
      </c>
      <c r="G199">
        <v>0.23699999999999999</v>
      </c>
      <c r="H199">
        <v>29</v>
      </c>
      <c r="I199">
        <v>0</v>
      </c>
    </row>
    <row r="200" spans="1:9" x14ac:dyDescent="0.3">
      <c r="A200">
        <v>4</v>
      </c>
      <c r="B200">
        <v>137</v>
      </c>
      <c r="C200">
        <v>84</v>
      </c>
      <c r="D200">
        <v>23</v>
      </c>
      <c r="E200">
        <v>30.5</v>
      </c>
      <c r="F200">
        <v>31.2</v>
      </c>
      <c r="G200">
        <v>0.252</v>
      </c>
      <c r="H200">
        <v>30</v>
      </c>
      <c r="I200">
        <v>0</v>
      </c>
    </row>
    <row r="201" spans="1:9" x14ac:dyDescent="0.3">
      <c r="A201">
        <v>3</v>
      </c>
      <c r="B201">
        <v>61</v>
      </c>
      <c r="C201">
        <v>82</v>
      </c>
      <c r="D201">
        <v>28</v>
      </c>
      <c r="E201">
        <v>30.5</v>
      </c>
      <c r="F201">
        <v>34.4</v>
      </c>
      <c r="G201">
        <v>0.24299999999999999</v>
      </c>
      <c r="H201">
        <v>46</v>
      </c>
      <c r="I201">
        <v>0</v>
      </c>
    </row>
    <row r="202" spans="1:9" x14ac:dyDescent="0.3">
      <c r="A202">
        <v>1</v>
      </c>
      <c r="B202">
        <v>90</v>
      </c>
      <c r="C202">
        <v>62</v>
      </c>
      <c r="D202">
        <v>12</v>
      </c>
      <c r="E202">
        <v>43</v>
      </c>
      <c r="F202">
        <v>27.2</v>
      </c>
      <c r="G202">
        <v>0.57999999999999996</v>
      </c>
      <c r="H202">
        <v>24</v>
      </c>
      <c r="I202">
        <v>0</v>
      </c>
    </row>
    <row r="203" spans="1:9" x14ac:dyDescent="0.3">
      <c r="A203">
        <v>3</v>
      </c>
      <c r="B203">
        <v>90</v>
      </c>
      <c r="C203">
        <v>78</v>
      </c>
      <c r="D203">
        <v>23</v>
      </c>
      <c r="E203">
        <v>30.5</v>
      </c>
      <c r="F203">
        <v>42.7</v>
      </c>
      <c r="G203">
        <v>0.55900000000000005</v>
      </c>
      <c r="H203">
        <v>21</v>
      </c>
      <c r="I203">
        <v>0</v>
      </c>
    </row>
    <row r="204" spans="1:9" x14ac:dyDescent="0.3">
      <c r="A204">
        <v>9</v>
      </c>
      <c r="B204">
        <v>165</v>
      </c>
      <c r="C204">
        <v>88</v>
      </c>
      <c r="D204">
        <v>23</v>
      </c>
      <c r="E204">
        <v>30.5</v>
      </c>
      <c r="F204">
        <v>30.4</v>
      </c>
      <c r="G204">
        <v>0.30199999999999999</v>
      </c>
      <c r="H204">
        <v>49</v>
      </c>
      <c r="I204">
        <v>1</v>
      </c>
    </row>
    <row r="205" spans="1:9" x14ac:dyDescent="0.3">
      <c r="A205">
        <v>1</v>
      </c>
      <c r="B205">
        <v>125</v>
      </c>
      <c r="C205">
        <v>50</v>
      </c>
      <c r="D205">
        <v>40</v>
      </c>
      <c r="E205">
        <v>167</v>
      </c>
      <c r="F205">
        <v>33.299999999999997</v>
      </c>
      <c r="G205">
        <v>0.96199999999999997</v>
      </c>
      <c r="H205">
        <v>28</v>
      </c>
      <c r="I205">
        <v>1</v>
      </c>
    </row>
    <row r="206" spans="1:9" x14ac:dyDescent="0.3">
      <c r="A206">
        <v>13</v>
      </c>
      <c r="B206">
        <v>129</v>
      </c>
      <c r="C206">
        <v>72</v>
      </c>
      <c r="D206">
        <v>30</v>
      </c>
      <c r="E206">
        <v>30.5</v>
      </c>
      <c r="F206">
        <v>39.9</v>
      </c>
      <c r="G206">
        <v>0.56899999999999995</v>
      </c>
      <c r="H206">
        <v>44</v>
      </c>
      <c r="I206">
        <v>1</v>
      </c>
    </row>
    <row r="207" spans="1:9" x14ac:dyDescent="0.3">
      <c r="A207">
        <v>12</v>
      </c>
      <c r="B207">
        <v>88</v>
      </c>
      <c r="C207">
        <v>74</v>
      </c>
      <c r="D207">
        <v>40</v>
      </c>
      <c r="E207">
        <v>54</v>
      </c>
      <c r="F207">
        <v>35.299999999999997</v>
      </c>
      <c r="G207">
        <v>0.378</v>
      </c>
      <c r="H207">
        <v>48</v>
      </c>
      <c r="I207">
        <v>0</v>
      </c>
    </row>
    <row r="208" spans="1:9" x14ac:dyDescent="0.3">
      <c r="A208">
        <v>1</v>
      </c>
      <c r="B208">
        <v>196</v>
      </c>
      <c r="C208">
        <v>76</v>
      </c>
      <c r="D208">
        <v>36</v>
      </c>
      <c r="E208">
        <v>249</v>
      </c>
      <c r="F208">
        <v>36.5</v>
      </c>
      <c r="G208">
        <v>0.875</v>
      </c>
      <c r="H208">
        <v>29</v>
      </c>
      <c r="I208">
        <v>1</v>
      </c>
    </row>
    <row r="209" spans="1:9" x14ac:dyDescent="0.3">
      <c r="A209">
        <v>5</v>
      </c>
      <c r="B209">
        <v>189</v>
      </c>
      <c r="C209">
        <v>64</v>
      </c>
      <c r="D209">
        <v>33</v>
      </c>
      <c r="E209">
        <v>325</v>
      </c>
      <c r="F209">
        <v>31.2</v>
      </c>
      <c r="G209">
        <v>0.58299999999999996</v>
      </c>
      <c r="H209">
        <v>29</v>
      </c>
      <c r="I209">
        <v>1</v>
      </c>
    </row>
    <row r="210" spans="1:9" x14ac:dyDescent="0.3">
      <c r="A210">
        <v>5</v>
      </c>
      <c r="B210">
        <v>158</v>
      </c>
      <c r="C210">
        <v>70</v>
      </c>
      <c r="D210">
        <v>23</v>
      </c>
      <c r="E210">
        <v>30.5</v>
      </c>
      <c r="F210">
        <v>29.8</v>
      </c>
      <c r="G210">
        <v>0.20699999999999999</v>
      </c>
      <c r="H210">
        <v>63</v>
      </c>
      <c r="I210">
        <v>0</v>
      </c>
    </row>
    <row r="211" spans="1:9" x14ac:dyDescent="0.3">
      <c r="A211">
        <v>5</v>
      </c>
      <c r="B211">
        <v>103</v>
      </c>
      <c r="C211">
        <v>108</v>
      </c>
      <c r="D211">
        <v>37</v>
      </c>
      <c r="E211">
        <v>30.5</v>
      </c>
      <c r="F211">
        <v>39.200000000000003</v>
      </c>
      <c r="G211">
        <v>0.30499999999999999</v>
      </c>
      <c r="H211">
        <v>65</v>
      </c>
      <c r="I211">
        <v>0</v>
      </c>
    </row>
    <row r="212" spans="1:9" x14ac:dyDescent="0.3">
      <c r="A212">
        <v>4</v>
      </c>
      <c r="B212">
        <v>146</v>
      </c>
      <c r="C212">
        <v>78</v>
      </c>
      <c r="D212">
        <v>23</v>
      </c>
      <c r="E212">
        <v>30.5</v>
      </c>
      <c r="F212">
        <v>38.5</v>
      </c>
      <c r="G212">
        <v>0.52</v>
      </c>
      <c r="H212">
        <v>67</v>
      </c>
      <c r="I212">
        <v>1</v>
      </c>
    </row>
    <row r="213" spans="1:9" x14ac:dyDescent="0.3">
      <c r="A213">
        <v>4</v>
      </c>
      <c r="B213">
        <v>147</v>
      </c>
      <c r="C213">
        <v>74</v>
      </c>
      <c r="D213">
        <v>25</v>
      </c>
      <c r="E213">
        <v>293</v>
      </c>
      <c r="F213">
        <v>34.9</v>
      </c>
      <c r="G213">
        <v>0.38500000000000001</v>
      </c>
      <c r="H213">
        <v>30</v>
      </c>
      <c r="I213">
        <v>0</v>
      </c>
    </row>
    <row r="214" spans="1:9" x14ac:dyDescent="0.3">
      <c r="A214">
        <v>5</v>
      </c>
      <c r="B214">
        <v>99</v>
      </c>
      <c r="C214">
        <v>54</v>
      </c>
      <c r="D214">
        <v>28</v>
      </c>
      <c r="E214">
        <v>83</v>
      </c>
      <c r="F214">
        <v>34</v>
      </c>
      <c r="G214">
        <v>0.499</v>
      </c>
      <c r="H214">
        <v>30</v>
      </c>
      <c r="I214">
        <v>0</v>
      </c>
    </row>
    <row r="215" spans="1:9" x14ac:dyDescent="0.3">
      <c r="A215">
        <v>6</v>
      </c>
      <c r="B215">
        <v>124</v>
      </c>
      <c r="C215">
        <v>72</v>
      </c>
      <c r="D215">
        <v>23</v>
      </c>
      <c r="E215">
        <v>30.5</v>
      </c>
      <c r="F215">
        <v>27.6</v>
      </c>
      <c r="G215">
        <v>0.36799999999999999</v>
      </c>
      <c r="H215">
        <v>29</v>
      </c>
      <c r="I215">
        <v>1</v>
      </c>
    </row>
    <row r="216" spans="1:9" x14ac:dyDescent="0.3">
      <c r="A216">
        <v>0</v>
      </c>
      <c r="B216">
        <v>101</v>
      </c>
      <c r="C216">
        <v>64</v>
      </c>
      <c r="D216">
        <v>17</v>
      </c>
      <c r="E216">
        <v>30.5</v>
      </c>
      <c r="F216">
        <v>21</v>
      </c>
      <c r="G216">
        <v>0.252</v>
      </c>
      <c r="H216">
        <v>21</v>
      </c>
      <c r="I216">
        <v>0</v>
      </c>
    </row>
    <row r="217" spans="1:9" x14ac:dyDescent="0.3">
      <c r="A217">
        <v>3</v>
      </c>
      <c r="B217">
        <v>81</v>
      </c>
      <c r="C217">
        <v>86</v>
      </c>
      <c r="D217">
        <v>16</v>
      </c>
      <c r="E217">
        <v>66</v>
      </c>
      <c r="F217">
        <v>27.5</v>
      </c>
      <c r="G217">
        <v>0.30599999999999999</v>
      </c>
      <c r="H217">
        <v>22</v>
      </c>
      <c r="I217">
        <v>0</v>
      </c>
    </row>
    <row r="218" spans="1:9" x14ac:dyDescent="0.3">
      <c r="A218">
        <v>1</v>
      </c>
      <c r="B218">
        <v>133</v>
      </c>
      <c r="C218">
        <v>102</v>
      </c>
      <c r="D218">
        <v>28</v>
      </c>
      <c r="E218">
        <v>140</v>
      </c>
      <c r="F218">
        <v>32.799999999999997</v>
      </c>
      <c r="G218">
        <v>0.23400000000000001</v>
      </c>
      <c r="H218">
        <v>45</v>
      </c>
      <c r="I218">
        <v>1</v>
      </c>
    </row>
    <row r="219" spans="1:9" x14ac:dyDescent="0.3">
      <c r="A219">
        <v>3</v>
      </c>
      <c r="B219">
        <v>173</v>
      </c>
      <c r="C219">
        <v>82</v>
      </c>
      <c r="D219">
        <v>48</v>
      </c>
      <c r="E219">
        <v>465</v>
      </c>
      <c r="F219">
        <v>38.4</v>
      </c>
      <c r="G219">
        <v>2.137</v>
      </c>
      <c r="H219">
        <v>25</v>
      </c>
      <c r="I219">
        <v>1</v>
      </c>
    </row>
    <row r="220" spans="1:9" x14ac:dyDescent="0.3">
      <c r="A220">
        <v>0</v>
      </c>
      <c r="B220">
        <v>118</v>
      </c>
      <c r="C220">
        <v>64</v>
      </c>
      <c r="D220">
        <v>23</v>
      </c>
      <c r="E220">
        <v>89</v>
      </c>
      <c r="F220">
        <v>32</v>
      </c>
      <c r="G220">
        <v>1.7310000000000001</v>
      </c>
      <c r="H220">
        <v>21</v>
      </c>
      <c r="I220">
        <v>0</v>
      </c>
    </row>
    <row r="221" spans="1:9" x14ac:dyDescent="0.3">
      <c r="A221">
        <v>0</v>
      </c>
      <c r="B221">
        <v>84</v>
      </c>
      <c r="C221">
        <v>64</v>
      </c>
      <c r="D221">
        <v>22</v>
      </c>
      <c r="E221">
        <v>66</v>
      </c>
      <c r="F221">
        <v>35.799999999999997</v>
      </c>
      <c r="G221">
        <v>0.54500000000000004</v>
      </c>
      <c r="H221">
        <v>21</v>
      </c>
      <c r="I221">
        <v>0</v>
      </c>
    </row>
    <row r="222" spans="1:9" x14ac:dyDescent="0.3">
      <c r="A222">
        <v>2</v>
      </c>
      <c r="B222">
        <v>105</v>
      </c>
      <c r="C222">
        <v>58</v>
      </c>
      <c r="D222">
        <v>40</v>
      </c>
      <c r="E222">
        <v>94</v>
      </c>
      <c r="F222">
        <v>34.9</v>
      </c>
      <c r="G222">
        <v>0.22500000000000001</v>
      </c>
      <c r="H222">
        <v>25</v>
      </c>
      <c r="I222">
        <v>0</v>
      </c>
    </row>
    <row r="223" spans="1:9" x14ac:dyDescent="0.3">
      <c r="A223">
        <v>2</v>
      </c>
      <c r="B223">
        <v>122</v>
      </c>
      <c r="C223">
        <v>52</v>
      </c>
      <c r="D223">
        <v>43</v>
      </c>
      <c r="E223">
        <v>158</v>
      </c>
      <c r="F223">
        <v>36.200000000000003</v>
      </c>
      <c r="G223">
        <v>0.81599999999999995</v>
      </c>
      <c r="H223">
        <v>28</v>
      </c>
      <c r="I223">
        <v>0</v>
      </c>
    </row>
    <row r="224" spans="1:9" x14ac:dyDescent="0.3">
      <c r="A224">
        <v>12</v>
      </c>
      <c r="B224">
        <v>140</v>
      </c>
      <c r="C224">
        <v>82</v>
      </c>
      <c r="D224">
        <v>43</v>
      </c>
      <c r="E224">
        <v>325</v>
      </c>
      <c r="F224">
        <v>39.200000000000003</v>
      </c>
      <c r="G224">
        <v>0.52800000000000002</v>
      </c>
      <c r="H224">
        <v>58</v>
      </c>
      <c r="I224">
        <v>1</v>
      </c>
    </row>
    <row r="225" spans="1:9" x14ac:dyDescent="0.3">
      <c r="A225">
        <v>0</v>
      </c>
      <c r="B225">
        <v>98</v>
      </c>
      <c r="C225">
        <v>82</v>
      </c>
      <c r="D225">
        <v>15</v>
      </c>
      <c r="E225">
        <v>84</v>
      </c>
      <c r="F225">
        <v>25.2</v>
      </c>
      <c r="G225">
        <v>0.29899999999999999</v>
      </c>
      <c r="H225">
        <v>22</v>
      </c>
      <c r="I225">
        <v>0</v>
      </c>
    </row>
    <row r="226" spans="1:9" x14ac:dyDescent="0.3">
      <c r="A226">
        <v>1</v>
      </c>
      <c r="B226">
        <v>87</v>
      </c>
      <c r="C226">
        <v>60</v>
      </c>
      <c r="D226">
        <v>37</v>
      </c>
      <c r="E226">
        <v>75</v>
      </c>
      <c r="F226">
        <v>37.200000000000003</v>
      </c>
      <c r="G226">
        <v>0.50900000000000001</v>
      </c>
      <c r="H226">
        <v>22</v>
      </c>
      <c r="I226">
        <v>0</v>
      </c>
    </row>
    <row r="227" spans="1:9" x14ac:dyDescent="0.3">
      <c r="A227">
        <v>4</v>
      </c>
      <c r="B227">
        <v>156</v>
      </c>
      <c r="C227">
        <v>75</v>
      </c>
      <c r="D227">
        <v>23</v>
      </c>
      <c r="E227">
        <v>30.5</v>
      </c>
      <c r="F227">
        <v>48.3</v>
      </c>
      <c r="G227">
        <v>0.23799999999999999</v>
      </c>
      <c r="H227">
        <v>32</v>
      </c>
      <c r="I227">
        <v>1</v>
      </c>
    </row>
    <row r="228" spans="1:9" x14ac:dyDescent="0.3">
      <c r="A228">
        <v>0</v>
      </c>
      <c r="B228">
        <v>93</v>
      </c>
      <c r="C228">
        <v>100</v>
      </c>
      <c r="D228">
        <v>39</v>
      </c>
      <c r="E228">
        <v>72</v>
      </c>
      <c r="F228">
        <v>43.4</v>
      </c>
      <c r="G228">
        <v>1.0209999999999999</v>
      </c>
      <c r="H228">
        <v>35</v>
      </c>
      <c r="I228">
        <v>0</v>
      </c>
    </row>
    <row r="229" spans="1:9" x14ac:dyDescent="0.3">
      <c r="A229">
        <v>1</v>
      </c>
      <c r="B229">
        <v>107</v>
      </c>
      <c r="C229">
        <v>72</v>
      </c>
      <c r="D229">
        <v>30</v>
      </c>
      <c r="E229">
        <v>82</v>
      </c>
      <c r="F229">
        <v>30.8</v>
      </c>
      <c r="G229">
        <v>0.82099999999999995</v>
      </c>
      <c r="H229">
        <v>24</v>
      </c>
      <c r="I229">
        <v>0</v>
      </c>
    </row>
    <row r="230" spans="1:9" x14ac:dyDescent="0.3">
      <c r="A230">
        <v>0</v>
      </c>
      <c r="B230">
        <v>105</v>
      </c>
      <c r="C230">
        <v>68</v>
      </c>
      <c r="D230">
        <v>22</v>
      </c>
      <c r="E230">
        <v>30.5</v>
      </c>
      <c r="F230">
        <v>20</v>
      </c>
      <c r="G230">
        <v>0.23599999999999999</v>
      </c>
      <c r="H230">
        <v>22</v>
      </c>
      <c r="I230">
        <v>0</v>
      </c>
    </row>
    <row r="231" spans="1:9" x14ac:dyDescent="0.3">
      <c r="A231">
        <v>1</v>
      </c>
      <c r="B231">
        <v>109</v>
      </c>
      <c r="C231">
        <v>60</v>
      </c>
      <c r="D231">
        <v>8</v>
      </c>
      <c r="E231">
        <v>182</v>
      </c>
      <c r="F231">
        <v>25.4</v>
      </c>
      <c r="G231">
        <v>0.94699999999999995</v>
      </c>
      <c r="H231">
        <v>21</v>
      </c>
      <c r="I231">
        <v>0</v>
      </c>
    </row>
    <row r="232" spans="1:9" x14ac:dyDescent="0.3">
      <c r="A232">
        <v>1</v>
      </c>
      <c r="B232">
        <v>90</v>
      </c>
      <c r="C232">
        <v>62</v>
      </c>
      <c r="D232">
        <v>18</v>
      </c>
      <c r="E232">
        <v>59</v>
      </c>
      <c r="F232">
        <v>25.1</v>
      </c>
      <c r="G232">
        <v>1.268</v>
      </c>
      <c r="H232">
        <v>25</v>
      </c>
      <c r="I232">
        <v>0</v>
      </c>
    </row>
    <row r="233" spans="1:9" x14ac:dyDescent="0.3">
      <c r="A233">
        <v>1</v>
      </c>
      <c r="B233">
        <v>125</v>
      </c>
      <c r="C233">
        <v>70</v>
      </c>
      <c r="D233">
        <v>24</v>
      </c>
      <c r="E233">
        <v>110</v>
      </c>
      <c r="F233">
        <v>24.3</v>
      </c>
      <c r="G233">
        <v>0.221</v>
      </c>
      <c r="H233">
        <v>25</v>
      </c>
      <c r="I233">
        <v>0</v>
      </c>
    </row>
    <row r="234" spans="1:9" x14ac:dyDescent="0.3">
      <c r="A234">
        <v>1</v>
      </c>
      <c r="B234">
        <v>119</v>
      </c>
      <c r="C234">
        <v>54</v>
      </c>
      <c r="D234">
        <v>13</v>
      </c>
      <c r="E234">
        <v>50</v>
      </c>
      <c r="F234">
        <v>22.3</v>
      </c>
      <c r="G234">
        <v>0.20499999999999999</v>
      </c>
      <c r="H234">
        <v>24</v>
      </c>
      <c r="I234">
        <v>0</v>
      </c>
    </row>
    <row r="235" spans="1:9" x14ac:dyDescent="0.3">
      <c r="A235">
        <v>5</v>
      </c>
      <c r="B235">
        <v>116</v>
      </c>
      <c r="C235">
        <v>74</v>
      </c>
      <c r="D235">
        <v>29</v>
      </c>
      <c r="E235">
        <v>30.5</v>
      </c>
      <c r="F235">
        <v>32.299999999999997</v>
      </c>
      <c r="G235">
        <v>0.66</v>
      </c>
      <c r="H235">
        <v>35</v>
      </c>
      <c r="I235">
        <v>1</v>
      </c>
    </row>
    <row r="236" spans="1:9" x14ac:dyDescent="0.3">
      <c r="A236">
        <v>8</v>
      </c>
      <c r="B236">
        <v>105</v>
      </c>
      <c r="C236">
        <v>100</v>
      </c>
      <c r="D236">
        <v>36</v>
      </c>
      <c r="E236">
        <v>30.5</v>
      </c>
      <c r="F236">
        <v>43.3</v>
      </c>
      <c r="G236">
        <v>0.23899999999999999</v>
      </c>
      <c r="H236">
        <v>45</v>
      </c>
      <c r="I236">
        <v>1</v>
      </c>
    </row>
    <row r="237" spans="1:9" x14ac:dyDescent="0.3">
      <c r="A237">
        <v>5</v>
      </c>
      <c r="B237">
        <v>144</v>
      </c>
      <c r="C237">
        <v>82</v>
      </c>
      <c r="D237">
        <v>26</v>
      </c>
      <c r="E237">
        <v>285</v>
      </c>
      <c r="F237">
        <v>32</v>
      </c>
      <c r="G237">
        <v>0.45200000000000001</v>
      </c>
      <c r="H237">
        <v>58</v>
      </c>
      <c r="I237">
        <v>1</v>
      </c>
    </row>
    <row r="238" spans="1:9" x14ac:dyDescent="0.3">
      <c r="A238">
        <v>3</v>
      </c>
      <c r="B238">
        <v>100</v>
      </c>
      <c r="C238">
        <v>68</v>
      </c>
      <c r="D238">
        <v>23</v>
      </c>
      <c r="E238">
        <v>81</v>
      </c>
      <c r="F238">
        <v>31.6</v>
      </c>
      <c r="G238">
        <v>0.94899999999999995</v>
      </c>
      <c r="H238">
        <v>28</v>
      </c>
      <c r="I238">
        <v>0</v>
      </c>
    </row>
    <row r="239" spans="1:9" x14ac:dyDescent="0.3">
      <c r="A239">
        <v>1</v>
      </c>
      <c r="B239">
        <v>100</v>
      </c>
      <c r="C239">
        <v>66</v>
      </c>
      <c r="D239">
        <v>29</v>
      </c>
      <c r="E239">
        <v>196</v>
      </c>
      <c r="F239">
        <v>32</v>
      </c>
      <c r="G239">
        <v>0.44400000000000001</v>
      </c>
      <c r="H239">
        <v>42</v>
      </c>
      <c r="I239">
        <v>0</v>
      </c>
    </row>
    <row r="240" spans="1:9" x14ac:dyDescent="0.3">
      <c r="A240">
        <v>5</v>
      </c>
      <c r="B240">
        <v>166</v>
      </c>
      <c r="C240">
        <v>76</v>
      </c>
      <c r="D240">
        <v>23</v>
      </c>
      <c r="E240">
        <v>30.5</v>
      </c>
      <c r="F240">
        <v>45.7</v>
      </c>
      <c r="G240">
        <v>0.34</v>
      </c>
      <c r="H240">
        <v>27</v>
      </c>
      <c r="I240">
        <v>1</v>
      </c>
    </row>
    <row r="241" spans="1:9" x14ac:dyDescent="0.3">
      <c r="A241">
        <v>1</v>
      </c>
      <c r="B241">
        <v>131</v>
      </c>
      <c r="C241">
        <v>64</v>
      </c>
      <c r="D241">
        <v>14</v>
      </c>
      <c r="E241">
        <v>415</v>
      </c>
      <c r="F241">
        <v>23.7</v>
      </c>
      <c r="G241">
        <v>0.38900000000000001</v>
      </c>
      <c r="H241">
        <v>21</v>
      </c>
      <c r="I241">
        <v>0</v>
      </c>
    </row>
    <row r="242" spans="1:9" x14ac:dyDescent="0.3">
      <c r="A242">
        <v>4</v>
      </c>
      <c r="B242">
        <v>116</v>
      </c>
      <c r="C242">
        <v>72</v>
      </c>
      <c r="D242">
        <v>12</v>
      </c>
      <c r="E242">
        <v>87</v>
      </c>
      <c r="F242">
        <v>22.1</v>
      </c>
      <c r="G242">
        <v>0.46300000000000002</v>
      </c>
      <c r="H242">
        <v>37</v>
      </c>
      <c r="I242">
        <v>0</v>
      </c>
    </row>
    <row r="243" spans="1:9" x14ac:dyDescent="0.3">
      <c r="A243">
        <v>4</v>
      </c>
      <c r="B243">
        <v>158</v>
      </c>
      <c r="C243">
        <v>78</v>
      </c>
      <c r="D243">
        <v>23</v>
      </c>
      <c r="E243">
        <v>30.5</v>
      </c>
      <c r="F243">
        <v>32.9</v>
      </c>
      <c r="G243">
        <v>0.80300000000000005</v>
      </c>
      <c r="H243">
        <v>31</v>
      </c>
      <c r="I243">
        <v>1</v>
      </c>
    </row>
    <row r="244" spans="1:9" x14ac:dyDescent="0.3">
      <c r="A244">
        <v>2</v>
      </c>
      <c r="B244">
        <v>127</v>
      </c>
      <c r="C244">
        <v>58</v>
      </c>
      <c r="D244">
        <v>24</v>
      </c>
      <c r="E244">
        <v>275</v>
      </c>
      <c r="F244">
        <v>27.7</v>
      </c>
      <c r="G244">
        <v>1.6</v>
      </c>
      <c r="H244">
        <v>25</v>
      </c>
      <c r="I244">
        <v>0</v>
      </c>
    </row>
    <row r="245" spans="1:9" x14ac:dyDescent="0.3">
      <c r="A245">
        <v>3</v>
      </c>
      <c r="B245">
        <v>96</v>
      </c>
      <c r="C245">
        <v>56</v>
      </c>
      <c r="D245">
        <v>34</v>
      </c>
      <c r="E245">
        <v>115</v>
      </c>
      <c r="F245">
        <v>24.7</v>
      </c>
      <c r="G245">
        <v>0.94399999999999995</v>
      </c>
      <c r="H245">
        <v>39</v>
      </c>
      <c r="I245">
        <v>0</v>
      </c>
    </row>
    <row r="246" spans="1:9" x14ac:dyDescent="0.3">
      <c r="A246">
        <v>0</v>
      </c>
      <c r="B246">
        <v>131</v>
      </c>
      <c r="C246">
        <v>66</v>
      </c>
      <c r="D246">
        <v>40</v>
      </c>
      <c r="E246">
        <v>30.5</v>
      </c>
      <c r="F246">
        <v>34.299999999999997</v>
      </c>
      <c r="G246">
        <v>0.19600000000000001</v>
      </c>
      <c r="H246">
        <v>22</v>
      </c>
      <c r="I246">
        <v>1</v>
      </c>
    </row>
    <row r="247" spans="1:9" x14ac:dyDescent="0.3">
      <c r="A247">
        <v>3</v>
      </c>
      <c r="B247">
        <v>82</v>
      </c>
      <c r="C247">
        <v>70</v>
      </c>
      <c r="D247">
        <v>23</v>
      </c>
      <c r="E247">
        <v>30.5</v>
      </c>
      <c r="F247">
        <v>21.1</v>
      </c>
      <c r="G247">
        <v>0.38900000000000001</v>
      </c>
      <c r="H247">
        <v>25</v>
      </c>
      <c r="I247">
        <v>0</v>
      </c>
    </row>
    <row r="248" spans="1:9" x14ac:dyDescent="0.3">
      <c r="A248">
        <v>3</v>
      </c>
      <c r="B248">
        <v>193</v>
      </c>
      <c r="C248">
        <v>70</v>
      </c>
      <c r="D248">
        <v>31</v>
      </c>
      <c r="E248">
        <v>30.5</v>
      </c>
      <c r="F248">
        <v>34.9</v>
      </c>
      <c r="G248">
        <v>0.24099999999999999</v>
      </c>
      <c r="H248">
        <v>25</v>
      </c>
      <c r="I248">
        <v>1</v>
      </c>
    </row>
    <row r="249" spans="1:9" x14ac:dyDescent="0.3">
      <c r="A249">
        <v>4</v>
      </c>
      <c r="B249">
        <v>95</v>
      </c>
      <c r="C249">
        <v>64</v>
      </c>
      <c r="D249">
        <v>23</v>
      </c>
      <c r="E249">
        <v>30.5</v>
      </c>
      <c r="F249">
        <v>32</v>
      </c>
      <c r="G249">
        <v>0.161</v>
      </c>
      <c r="H249">
        <v>31</v>
      </c>
      <c r="I249">
        <v>1</v>
      </c>
    </row>
    <row r="250" spans="1:9" x14ac:dyDescent="0.3">
      <c r="A250">
        <v>6</v>
      </c>
      <c r="B250">
        <v>137</v>
      </c>
      <c r="C250">
        <v>61</v>
      </c>
      <c r="D250">
        <v>23</v>
      </c>
      <c r="E250">
        <v>30.5</v>
      </c>
      <c r="F250">
        <v>24.2</v>
      </c>
      <c r="G250">
        <v>0.151</v>
      </c>
      <c r="H250">
        <v>55</v>
      </c>
      <c r="I250">
        <v>0</v>
      </c>
    </row>
    <row r="251" spans="1:9" x14ac:dyDescent="0.3">
      <c r="A251">
        <v>5</v>
      </c>
      <c r="B251">
        <v>136</v>
      </c>
      <c r="C251">
        <v>84</v>
      </c>
      <c r="D251">
        <v>41</v>
      </c>
      <c r="E251">
        <v>88</v>
      </c>
      <c r="F251">
        <v>35</v>
      </c>
      <c r="G251">
        <v>0.28599999999999998</v>
      </c>
      <c r="H251">
        <v>35</v>
      </c>
      <c r="I251">
        <v>1</v>
      </c>
    </row>
    <row r="252" spans="1:9" x14ac:dyDescent="0.3">
      <c r="A252">
        <v>9</v>
      </c>
      <c r="B252">
        <v>72</v>
      </c>
      <c r="C252">
        <v>78</v>
      </c>
      <c r="D252">
        <v>25</v>
      </c>
      <c r="E252">
        <v>30.5</v>
      </c>
      <c r="F252">
        <v>31.6</v>
      </c>
      <c r="G252">
        <v>0.28000000000000003</v>
      </c>
      <c r="H252">
        <v>38</v>
      </c>
      <c r="I252">
        <v>0</v>
      </c>
    </row>
    <row r="253" spans="1:9" x14ac:dyDescent="0.3">
      <c r="A253">
        <v>5</v>
      </c>
      <c r="B253">
        <v>168</v>
      </c>
      <c r="C253">
        <v>64</v>
      </c>
      <c r="D253">
        <v>23</v>
      </c>
      <c r="E253">
        <v>30.5</v>
      </c>
      <c r="F253">
        <v>32.9</v>
      </c>
      <c r="G253">
        <v>0.13500000000000001</v>
      </c>
      <c r="H253">
        <v>41</v>
      </c>
      <c r="I253">
        <v>1</v>
      </c>
    </row>
    <row r="254" spans="1:9" x14ac:dyDescent="0.3">
      <c r="A254">
        <v>2</v>
      </c>
      <c r="B254">
        <v>123</v>
      </c>
      <c r="C254">
        <v>48</v>
      </c>
      <c r="D254">
        <v>32</v>
      </c>
      <c r="E254">
        <v>165</v>
      </c>
      <c r="F254">
        <v>42.1</v>
      </c>
      <c r="G254">
        <v>0.52</v>
      </c>
      <c r="H254">
        <v>26</v>
      </c>
      <c r="I254">
        <v>0</v>
      </c>
    </row>
    <row r="255" spans="1:9" x14ac:dyDescent="0.3">
      <c r="A255">
        <v>4</v>
      </c>
      <c r="B255">
        <v>115</v>
      </c>
      <c r="C255">
        <v>72</v>
      </c>
      <c r="D255">
        <v>23</v>
      </c>
      <c r="E255">
        <v>30.5</v>
      </c>
      <c r="F255">
        <v>28.9</v>
      </c>
      <c r="G255">
        <v>0.376</v>
      </c>
      <c r="H255">
        <v>46</v>
      </c>
      <c r="I255">
        <v>1</v>
      </c>
    </row>
    <row r="256" spans="1:9" x14ac:dyDescent="0.3">
      <c r="A256">
        <v>0</v>
      </c>
      <c r="B256">
        <v>101</v>
      </c>
      <c r="C256">
        <v>62</v>
      </c>
      <c r="D256">
        <v>23</v>
      </c>
      <c r="E256">
        <v>30.5</v>
      </c>
      <c r="F256">
        <v>21.9</v>
      </c>
      <c r="G256">
        <v>0.33600000000000002</v>
      </c>
      <c r="H256">
        <v>25</v>
      </c>
      <c r="I256">
        <v>0</v>
      </c>
    </row>
    <row r="257" spans="1:9" x14ac:dyDescent="0.3">
      <c r="A257">
        <v>8</v>
      </c>
      <c r="B257">
        <v>197</v>
      </c>
      <c r="C257">
        <v>74</v>
      </c>
      <c r="D257">
        <v>23</v>
      </c>
      <c r="E257">
        <v>30.5</v>
      </c>
      <c r="F257">
        <v>25.9</v>
      </c>
      <c r="G257">
        <v>1.1910000000000001</v>
      </c>
      <c r="H257">
        <v>39</v>
      </c>
      <c r="I257">
        <v>1</v>
      </c>
    </row>
    <row r="258" spans="1:9" x14ac:dyDescent="0.3">
      <c r="A258">
        <v>1</v>
      </c>
      <c r="B258">
        <v>172</v>
      </c>
      <c r="C258">
        <v>68</v>
      </c>
      <c r="D258">
        <v>49</v>
      </c>
      <c r="E258">
        <v>579</v>
      </c>
      <c r="F258">
        <v>42.4</v>
      </c>
      <c r="G258">
        <v>0.70199999999999996</v>
      </c>
      <c r="H258">
        <v>28</v>
      </c>
      <c r="I258">
        <v>1</v>
      </c>
    </row>
    <row r="259" spans="1:9" x14ac:dyDescent="0.3">
      <c r="A259">
        <v>6</v>
      </c>
      <c r="B259">
        <v>102</v>
      </c>
      <c r="C259">
        <v>90</v>
      </c>
      <c r="D259">
        <v>39</v>
      </c>
      <c r="E259">
        <v>30.5</v>
      </c>
      <c r="F259">
        <v>35.700000000000003</v>
      </c>
      <c r="G259">
        <v>0.67400000000000004</v>
      </c>
      <c r="H259">
        <v>28</v>
      </c>
      <c r="I259">
        <v>0</v>
      </c>
    </row>
    <row r="260" spans="1:9" x14ac:dyDescent="0.3">
      <c r="A260">
        <v>1</v>
      </c>
      <c r="B260">
        <v>112</v>
      </c>
      <c r="C260">
        <v>72</v>
      </c>
      <c r="D260">
        <v>30</v>
      </c>
      <c r="E260">
        <v>176</v>
      </c>
      <c r="F260">
        <v>34.4</v>
      </c>
      <c r="G260">
        <v>0.52800000000000002</v>
      </c>
      <c r="H260">
        <v>25</v>
      </c>
      <c r="I260">
        <v>0</v>
      </c>
    </row>
    <row r="261" spans="1:9" x14ac:dyDescent="0.3">
      <c r="A261">
        <v>1</v>
      </c>
      <c r="B261">
        <v>143</v>
      </c>
      <c r="C261">
        <v>84</v>
      </c>
      <c r="D261">
        <v>23</v>
      </c>
      <c r="E261">
        <v>310</v>
      </c>
      <c r="F261">
        <v>42.4</v>
      </c>
      <c r="G261">
        <v>1.0760000000000001</v>
      </c>
      <c r="H261">
        <v>22</v>
      </c>
      <c r="I261">
        <v>0</v>
      </c>
    </row>
    <row r="262" spans="1:9" x14ac:dyDescent="0.3">
      <c r="A262">
        <v>1</v>
      </c>
      <c r="B262">
        <v>143</v>
      </c>
      <c r="C262">
        <v>74</v>
      </c>
      <c r="D262">
        <v>22</v>
      </c>
      <c r="E262">
        <v>61</v>
      </c>
      <c r="F262">
        <v>26.2</v>
      </c>
      <c r="G262">
        <v>0.25600000000000001</v>
      </c>
      <c r="H262">
        <v>21</v>
      </c>
      <c r="I262">
        <v>0</v>
      </c>
    </row>
    <row r="263" spans="1:9" x14ac:dyDescent="0.3">
      <c r="A263">
        <v>0</v>
      </c>
      <c r="B263">
        <v>138</v>
      </c>
      <c r="C263">
        <v>60</v>
      </c>
      <c r="D263">
        <v>35</v>
      </c>
      <c r="E263">
        <v>167</v>
      </c>
      <c r="F263">
        <v>34.6</v>
      </c>
      <c r="G263">
        <v>0.53400000000000003</v>
      </c>
      <c r="H263">
        <v>21</v>
      </c>
      <c r="I263">
        <v>1</v>
      </c>
    </row>
    <row r="264" spans="1:9" x14ac:dyDescent="0.3">
      <c r="A264">
        <v>3</v>
      </c>
      <c r="B264">
        <v>173</v>
      </c>
      <c r="C264">
        <v>84</v>
      </c>
      <c r="D264">
        <v>33</v>
      </c>
      <c r="E264">
        <v>474</v>
      </c>
      <c r="F264">
        <v>35.700000000000003</v>
      </c>
      <c r="G264">
        <v>0.25800000000000001</v>
      </c>
      <c r="H264">
        <v>22</v>
      </c>
      <c r="I264">
        <v>1</v>
      </c>
    </row>
    <row r="265" spans="1:9" x14ac:dyDescent="0.3">
      <c r="A265">
        <v>1</v>
      </c>
      <c r="B265">
        <v>97</v>
      </c>
      <c r="C265">
        <v>68</v>
      </c>
      <c r="D265">
        <v>21</v>
      </c>
      <c r="E265">
        <v>30.5</v>
      </c>
      <c r="F265">
        <v>27.2</v>
      </c>
      <c r="G265">
        <v>1.095</v>
      </c>
      <c r="H265">
        <v>22</v>
      </c>
      <c r="I265">
        <v>0</v>
      </c>
    </row>
    <row r="266" spans="1:9" x14ac:dyDescent="0.3">
      <c r="A266">
        <v>4</v>
      </c>
      <c r="B266">
        <v>144</v>
      </c>
      <c r="C266">
        <v>82</v>
      </c>
      <c r="D266">
        <v>32</v>
      </c>
      <c r="E266">
        <v>30.5</v>
      </c>
      <c r="F266">
        <v>38.5</v>
      </c>
      <c r="G266">
        <v>0.55400000000000005</v>
      </c>
      <c r="H266">
        <v>37</v>
      </c>
      <c r="I266">
        <v>1</v>
      </c>
    </row>
    <row r="267" spans="1:9" x14ac:dyDescent="0.3">
      <c r="A267">
        <v>1</v>
      </c>
      <c r="B267">
        <v>83</v>
      </c>
      <c r="C267">
        <v>68</v>
      </c>
      <c r="D267">
        <v>23</v>
      </c>
      <c r="E267">
        <v>30.5</v>
      </c>
      <c r="F267">
        <v>18.2</v>
      </c>
      <c r="G267">
        <v>0.624</v>
      </c>
      <c r="H267">
        <v>27</v>
      </c>
      <c r="I267">
        <v>0</v>
      </c>
    </row>
    <row r="268" spans="1:9" x14ac:dyDescent="0.3">
      <c r="A268">
        <v>3</v>
      </c>
      <c r="B268">
        <v>129</v>
      </c>
      <c r="C268">
        <v>64</v>
      </c>
      <c r="D268">
        <v>29</v>
      </c>
      <c r="E268">
        <v>115</v>
      </c>
      <c r="F268">
        <v>26.4</v>
      </c>
      <c r="G268">
        <v>0.219</v>
      </c>
      <c r="H268">
        <v>28</v>
      </c>
      <c r="I268">
        <v>1</v>
      </c>
    </row>
    <row r="269" spans="1:9" x14ac:dyDescent="0.3">
      <c r="A269">
        <v>1</v>
      </c>
      <c r="B269">
        <v>119</v>
      </c>
      <c r="C269">
        <v>88</v>
      </c>
      <c r="D269">
        <v>41</v>
      </c>
      <c r="E269">
        <v>170</v>
      </c>
      <c r="F269">
        <v>45.3</v>
      </c>
      <c r="G269">
        <v>0.50700000000000001</v>
      </c>
      <c r="H269">
        <v>26</v>
      </c>
      <c r="I269">
        <v>0</v>
      </c>
    </row>
    <row r="270" spans="1:9" x14ac:dyDescent="0.3">
      <c r="A270">
        <v>2</v>
      </c>
      <c r="B270">
        <v>94</v>
      </c>
      <c r="C270">
        <v>68</v>
      </c>
      <c r="D270">
        <v>18</v>
      </c>
      <c r="E270">
        <v>76</v>
      </c>
      <c r="F270">
        <v>26</v>
      </c>
      <c r="G270">
        <v>0.56100000000000005</v>
      </c>
      <c r="H270">
        <v>21</v>
      </c>
      <c r="I270">
        <v>0</v>
      </c>
    </row>
    <row r="271" spans="1:9" x14ac:dyDescent="0.3">
      <c r="A271">
        <v>0</v>
      </c>
      <c r="B271">
        <v>102</v>
      </c>
      <c r="C271">
        <v>64</v>
      </c>
      <c r="D271">
        <v>46</v>
      </c>
      <c r="E271">
        <v>78</v>
      </c>
      <c r="F271">
        <v>40.6</v>
      </c>
      <c r="G271">
        <v>0.496</v>
      </c>
      <c r="H271">
        <v>21</v>
      </c>
      <c r="I271">
        <v>0</v>
      </c>
    </row>
    <row r="272" spans="1:9" x14ac:dyDescent="0.3">
      <c r="A272">
        <v>2</v>
      </c>
      <c r="B272">
        <v>115</v>
      </c>
      <c r="C272">
        <v>64</v>
      </c>
      <c r="D272">
        <v>22</v>
      </c>
      <c r="E272">
        <v>30.5</v>
      </c>
      <c r="F272">
        <v>30.8</v>
      </c>
      <c r="G272">
        <v>0.42099999999999999</v>
      </c>
      <c r="H272">
        <v>21</v>
      </c>
      <c r="I272">
        <v>0</v>
      </c>
    </row>
    <row r="273" spans="1:9" x14ac:dyDescent="0.3">
      <c r="A273">
        <v>8</v>
      </c>
      <c r="B273">
        <v>151</v>
      </c>
      <c r="C273">
        <v>78</v>
      </c>
      <c r="D273">
        <v>32</v>
      </c>
      <c r="E273">
        <v>210</v>
      </c>
      <c r="F273">
        <v>42.9</v>
      </c>
      <c r="G273">
        <v>0.51600000000000001</v>
      </c>
      <c r="H273">
        <v>36</v>
      </c>
      <c r="I273">
        <v>1</v>
      </c>
    </row>
    <row r="274" spans="1:9" x14ac:dyDescent="0.3">
      <c r="A274">
        <v>4</v>
      </c>
      <c r="B274">
        <v>184</v>
      </c>
      <c r="C274">
        <v>78</v>
      </c>
      <c r="D274">
        <v>39</v>
      </c>
      <c r="E274">
        <v>277</v>
      </c>
      <c r="F274">
        <v>37</v>
      </c>
      <c r="G274">
        <v>0.26400000000000001</v>
      </c>
      <c r="H274">
        <v>31</v>
      </c>
      <c r="I274">
        <v>1</v>
      </c>
    </row>
    <row r="275" spans="1:9" x14ac:dyDescent="0.3">
      <c r="A275">
        <v>0</v>
      </c>
      <c r="B275">
        <v>94</v>
      </c>
      <c r="C275">
        <v>72</v>
      </c>
      <c r="D275">
        <v>23</v>
      </c>
      <c r="E275">
        <v>30.5</v>
      </c>
      <c r="F275">
        <v>32</v>
      </c>
      <c r="G275">
        <v>0.25600000000000001</v>
      </c>
      <c r="H275">
        <v>25</v>
      </c>
      <c r="I275">
        <v>0</v>
      </c>
    </row>
    <row r="276" spans="1:9" x14ac:dyDescent="0.3">
      <c r="A276">
        <v>1</v>
      </c>
      <c r="B276">
        <v>181</v>
      </c>
      <c r="C276">
        <v>64</v>
      </c>
      <c r="D276">
        <v>30</v>
      </c>
      <c r="E276">
        <v>180</v>
      </c>
      <c r="F276">
        <v>34.1</v>
      </c>
      <c r="G276">
        <v>0.32800000000000001</v>
      </c>
      <c r="H276">
        <v>38</v>
      </c>
      <c r="I276">
        <v>1</v>
      </c>
    </row>
    <row r="277" spans="1:9" x14ac:dyDescent="0.3">
      <c r="A277">
        <v>0</v>
      </c>
      <c r="B277">
        <v>135</v>
      </c>
      <c r="C277">
        <v>94</v>
      </c>
      <c r="D277">
        <v>46</v>
      </c>
      <c r="E277">
        <v>145</v>
      </c>
      <c r="F277">
        <v>40.6</v>
      </c>
      <c r="G277">
        <v>0.28399999999999997</v>
      </c>
      <c r="H277">
        <v>26</v>
      </c>
      <c r="I277">
        <v>0</v>
      </c>
    </row>
    <row r="278" spans="1:9" x14ac:dyDescent="0.3">
      <c r="A278">
        <v>1</v>
      </c>
      <c r="B278">
        <v>95</v>
      </c>
      <c r="C278">
        <v>82</v>
      </c>
      <c r="D278">
        <v>25</v>
      </c>
      <c r="E278">
        <v>180</v>
      </c>
      <c r="F278">
        <v>35</v>
      </c>
      <c r="G278">
        <v>0.23300000000000001</v>
      </c>
      <c r="H278">
        <v>43</v>
      </c>
      <c r="I278">
        <v>1</v>
      </c>
    </row>
    <row r="279" spans="1:9" x14ac:dyDescent="0.3">
      <c r="A279">
        <v>2</v>
      </c>
      <c r="B279">
        <v>99</v>
      </c>
      <c r="C279">
        <v>72</v>
      </c>
      <c r="D279">
        <v>23</v>
      </c>
      <c r="E279">
        <v>30.5</v>
      </c>
      <c r="F279">
        <v>22.2</v>
      </c>
      <c r="G279">
        <v>0.108</v>
      </c>
      <c r="H279">
        <v>23</v>
      </c>
      <c r="I279">
        <v>0</v>
      </c>
    </row>
    <row r="280" spans="1:9" x14ac:dyDescent="0.3">
      <c r="A280">
        <v>3</v>
      </c>
      <c r="B280">
        <v>89</v>
      </c>
      <c r="C280">
        <v>74</v>
      </c>
      <c r="D280">
        <v>16</v>
      </c>
      <c r="E280">
        <v>85</v>
      </c>
      <c r="F280">
        <v>30.4</v>
      </c>
      <c r="G280">
        <v>0.55100000000000005</v>
      </c>
      <c r="H280">
        <v>38</v>
      </c>
      <c r="I280">
        <v>0</v>
      </c>
    </row>
    <row r="281" spans="1:9" x14ac:dyDescent="0.3">
      <c r="A281">
        <v>1</v>
      </c>
      <c r="B281">
        <v>80</v>
      </c>
      <c r="C281">
        <v>74</v>
      </c>
      <c r="D281">
        <v>11</v>
      </c>
      <c r="E281">
        <v>60</v>
      </c>
      <c r="F281">
        <v>30</v>
      </c>
      <c r="G281">
        <v>0.52700000000000002</v>
      </c>
      <c r="H281">
        <v>22</v>
      </c>
      <c r="I281">
        <v>0</v>
      </c>
    </row>
    <row r="282" spans="1:9" x14ac:dyDescent="0.3">
      <c r="A282">
        <v>2</v>
      </c>
      <c r="B282">
        <v>139</v>
      </c>
      <c r="C282">
        <v>75</v>
      </c>
      <c r="D282">
        <v>23</v>
      </c>
      <c r="E282">
        <v>30.5</v>
      </c>
      <c r="F282">
        <v>25.6</v>
      </c>
      <c r="G282">
        <v>0.16700000000000001</v>
      </c>
      <c r="H282">
        <v>29</v>
      </c>
      <c r="I282">
        <v>0</v>
      </c>
    </row>
    <row r="283" spans="1:9" x14ac:dyDescent="0.3">
      <c r="A283">
        <v>1</v>
      </c>
      <c r="B283">
        <v>90</v>
      </c>
      <c r="C283">
        <v>68</v>
      </c>
      <c r="D283">
        <v>8</v>
      </c>
      <c r="E283">
        <v>30.5</v>
      </c>
      <c r="F283">
        <v>24.5</v>
      </c>
      <c r="G283">
        <v>1.1379999999999999</v>
      </c>
      <c r="H283">
        <v>36</v>
      </c>
      <c r="I283">
        <v>0</v>
      </c>
    </row>
    <row r="284" spans="1:9" x14ac:dyDescent="0.3">
      <c r="A284">
        <v>0</v>
      </c>
      <c r="B284">
        <v>141</v>
      </c>
      <c r="C284">
        <v>72</v>
      </c>
      <c r="D284">
        <v>23</v>
      </c>
      <c r="E284">
        <v>30.5</v>
      </c>
      <c r="F284">
        <v>42.4</v>
      </c>
      <c r="G284">
        <v>0.20499999999999999</v>
      </c>
      <c r="H284">
        <v>29</v>
      </c>
      <c r="I284">
        <v>1</v>
      </c>
    </row>
    <row r="285" spans="1:9" x14ac:dyDescent="0.3">
      <c r="A285">
        <v>12</v>
      </c>
      <c r="B285">
        <v>140</v>
      </c>
      <c r="C285">
        <v>85</v>
      </c>
      <c r="D285">
        <v>33</v>
      </c>
      <c r="E285">
        <v>30.5</v>
      </c>
      <c r="F285">
        <v>37.4</v>
      </c>
      <c r="G285">
        <v>0.24399999999999999</v>
      </c>
      <c r="H285">
        <v>41</v>
      </c>
      <c r="I285">
        <v>0</v>
      </c>
    </row>
    <row r="286" spans="1:9" x14ac:dyDescent="0.3">
      <c r="A286">
        <v>5</v>
      </c>
      <c r="B286">
        <v>147</v>
      </c>
      <c r="C286">
        <v>75</v>
      </c>
      <c r="D286">
        <v>23</v>
      </c>
      <c r="E286">
        <v>30.5</v>
      </c>
      <c r="F286">
        <v>29.9</v>
      </c>
      <c r="G286">
        <v>0.434</v>
      </c>
      <c r="H286">
        <v>28</v>
      </c>
      <c r="I286">
        <v>0</v>
      </c>
    </row>
    <row r="287" spans="1:9" x14ac:dyDescent="0.3">
      <c r="A287">
        <v>1</v>
      </c>
      <c r="B287">
        <v>97</v>
      </c>
      <c r="C287">
        <v>70</v>
      </c>
      <c r="D287">
        <v>15</v>
      </c>
      <c r="E287">
        <v>30.5</v>
      </c>
      <c r="F287">
        <v>18.2</v>
      </c>
      <c r="G287">
        <v>0.14699999999999999</v>
      </c>
      <c r="H287">
        <v>21</v>
      </c>
      <c r="I287">
        <v>0</v>
      </c>
    </row>
    <row r="288" spans="1:9" x14ac:dyDescent="0.3">
      <c r="A288">
        <v>6</v>
      </c>
      <c r="B288">
        <v>107</v>
      </c>
      <c r="C288">
        <v>88</v>
      </c>
      <c r="D288">
        <v>23</v>
      </c>
      <c r="E288">
        <v>30.5</v>
      </c>
      <c r="F288">
        <v>36.799999999999997</v>
      </c>
      <c r="G288">
        <v>0.72699999999999998</v>
      </c>
      <c r="H288">
        <v>31</v>
      </c>
      <c r="I288">
        <v>0</v>
      </c>
    </row>
    <row r="289" spans="1:9" x14ac:dyDescent="0.3">
      <c r="A289">
        <v>0</v>
      </c>
      <c r="B289">
        <v>189</v>
      </c>
      <c r="C289">
        <v>104</v>
      </c>
      <c r="D289">
        <v>25</v>
      </c>
      <c r="E289">
        <v>30.5</v>
      </c>
      <c r="F289">
        <v>34.299999999999997</v>
      </c>
      <c r="G289">
        <v>0.435</v>
      </c>
      <c r="H289">
        <v>41</v>
      </c>
      <c r="I289">
        <v>1</v>
      </c>
    </row>
    <row r="290" spans="1:9" x14ac:dyDescent="0.3">
      <c r="A290">
        <v>2</v>
      </c>
      <c r="B290">
        <v>83</v>
      </c>
      <c r="C290">
        <v>66</v>
      </c>
      <c r="D290">
        <v>23</v>
      </c>
      <c r="E290">
        <v>50</v>
      </c>
      <c r="F290">
        <v>32.200000000000003</v>
      </c>
      <c r="G290">
        <v>0.497</v>
      </c>
      <c r="H290">
        <v>22</v>
      </c>
      <c r="I290">
        <v>0</v>
      </c>
    </row>
    <row r="291" spans="1:9" x14ac:dyDescent="0.3">
      <c r="A291">
        <v>4</v>
      </c>
      <c r="B291">
        <v>117</v>
      </c>
      <c r="C291">
        <v>64</v>
      </c>
      <c r="D291">
        <v>27</v>
      </c>
      <c r="E291">
        <v>120</v>
      </c>
      <c r="F291">
        <v>33.200000000000003</v>
      </c>
      <c r="G291">
        <v>0.23</v>
      </c>
      <c r="H291">
        <v>24</v>
      </c>
      <c r="I291">
        <v>0</v>
      </c>
    </row>
    <row r="292" spans="1:9" x14ac:dyDescent="0.3">
      <c r="A292">
        <v>8</v>
      </c>
      <c r="B292">
        <v>108</v>
      </c>
      <c r="C292">
        <v>70</v>
      </c>
      <c r="D292">
        <v>23</v>
      </c>
      <c r="E292">
        <v>30.5</v>
      </c>
      <c r="F292">
        <v>30.5</v>
      </c>
      <c r="G292">
        <v>0.95499999999999996</v>
      </c>
      <c r="H292">
        <v>33</v>
      </c>
      <c r="I292">
        <v>1</v>
      </c>
    </row>
    <row r="293" spans="1:9" x14ac:dyDescent="0.3">
      <c r="A293">
        <v>4</v>
      </c>
      <c r="B293">
        <v>117</v>
      </c>
      <c r="C293">
        <v>62</v>
      </c>
      <c r="D293">
        <v>12</v>
      </c>
      <c r="E293">
        <v>30.5</v>
      </c>
      <c r="F293">
        <v>29.7</v>
      </c>
      <c r="G293">
        <v>0.38</v>
      </c>
      <c r="H293">
        <v>30</v>
      </c>
      <c r="I293">
        <v>1</v>
      </c>
    </row>
    <row r="294" spans="1:9" x14ac:dyDescent="0.3">
      <c r="A294">
        <v>0</v>
      </c>
      <c r="B294">
        <v>180</v>
      </c>
      <c r="C294">
        <v>78</v>
      </c>
      <c r="D294">
        <v>63</v>
      </c>
      <c r="E294">
        <v>14</v>
      </c>
      <c r="F294">
        <v>59.4</v>
      </c>
      <c r="G294">
        <v>2.42</v>
      </c>
      <c r="H294">
        <v>25</v>
      </c>
      <c r="I294">
        <v>1</v>
      </c>
    </row>
    <row r="295" spans="1:9" x14ac:dyDescent="0.3">
      <c r="A295">
        <v>1</v>
      </c>
      <c r="B295">
        <v>100</v>
      </c>
      <c r="C295">
        <v>72</v>
      </c>
      <c r="D295">
        <v>12</v>
      </c>
      <c r="E295">
        <v>70</v>
      </c>
      <c r="F295">
        <v>25.3</v>
      </c>
      <c r="G295">
        <v>0.65800000000000003</v>
      </c>
      <c r="H295">
        <v>28</v>
      </c>
      <c r="I295">
        <v>0</v>
      </c>
    </row>
    <row r="296" spans="1:9" x14ac:dyDescent="0.3">
      <c r="A296">
        <v>0</v>
      </c>
      <c r="B296">
        <v>95</v>
      </c>
      <c r="C296">
        <v>80</v>
      </c>
      <c r="D296">
        <v>45</v>
      </c>
      <c r="E296">
        <v>92</v>
      </c>
      <c r="F296">
        <v>36.5</v>
      </c>
      <c r="G296">
        <v>0.33</v>
      </c>
      <c r="H296">
        <v>26</v>
      </c>
      <c r="I296">
        <v>0</v>
      </c>
    </row>
    <row r="297" spans="1:9" x14ac:dyDescent="0.3">
      <c r="A297">
        <v>0</v>
      </c>
      <c r="B297">
        <v>104</v>
      </c>
      <c r="C297">
        <v>64</v>
      </c>
      <c r="D297">
        <v>37</v>
      </c>
      <c r="E297">
        <v>64</v>
      </c>
      <c r="F297">
        <v>33.6</v>
      </c>
      <c r="G297">
        <v>0.51</v>
      </c>
      <c r="H297">
        <v>22</v>
      </c>
      <c r="I297">
        <v>1</v>
      </c>
    </row>
    <row r="298" spans="1:9" x14ac:dyDescent="0.3">
      <c r="A298">
        <v>0</v>
      </c>
      <c r="B298">
        <v>120</v>
      </c>
      <c r="C298">
        <v>74</v>
      </c>
      <c r="D298">
        <v>18</v>
      </c>
      <c r="E298">
        <v>63</v>
      </c>
      <c r="F298">
        <v>30.5</v>
      </c>
      <c r="G298">
        <v>0.28499999999999998</v>
      </c>
      <c r="H298">
        <v>26</v>
      </c>
      <c r="I298">
        <v>0</v>
      </c>
    </row>
    <row r="299" spans="1:9" x14ac:dyDescent="0.3">
      <c r="A299">
        <v>1</v>
      </c>
      <c r="B299">
        <v>82</v>
      </c>
      <c r="C299">
        <v>64</v>
      </c>
      <c r="D299">
        <v>13</v>
      </c>
      <c r="E299">
        <v>95</v>
      </c>
      <c r="F299">
        <v>21.2</v>
      </c>
      <c r="G299">
        <v>0.41499999999999998</v>
      </c>
      <c r="H299">
        <v>23</v>
      </c>
      <c r="I299">
        <v>0</v>
      </c>
    </row>
    <row r="300" spans="1:9" x14ac:dyDescent="0.3">
      <c r="A300">
        <v>2</v>
      </c>
      <c r="B300">
        <v>134</v>
      </c>
      <c r="C300">
        <v>70</v>
      </c>
      <c r="D300">
        <v>23</v>
      </c>
      <c r="E300">
        <v>30.5</v>
      </c>
      <c r="F300">
        <v>28.9</v>
      </c>
      <c r="G300">
        <v>0.54200000000000004</v>
      </c>
      <c r="H300">
        <v>23</v>
      </c>
      <c r="I300">
        <v>1</v>
      </c>
    </row>
    <row r="301" spans="1:9" x14ac:dyDescent="0.3">
      <c r="A301">
        <v>0</v>
      </c>
      <c r="B301">
        <v>91</v>
      </c>
      <c r="C301">
        <v>68</v>
      </c>
      <c r="D301">
        <v>32</v>
      </c>
      <c r="E301">
        <v>210</v>
      </c>
      <c r="F301">
        <v>39.9</v>
      </c>
      <c r="G301">
        <v>0.38100000000000001</v>
      </c>
      <c r="H301">
        <v>25</v>
      </c>
      <c r="I301">
        <v>0</v>
      </c>
    </row>
    <row r="302" spans="1:9" x14ac:dyDescent="0.3">
      <c r="A302">
        <v>2</v>
      </c>
      <c r="B302">
        <v>119</v>
      </c>
      <c r="C302">
        <v>72</v>
      </c>
      <c r="D302">
        <v>23</v>
      </c>
      <c r="E302">
        <v>30.5</v>
      </c>
      <c r="F302">
        <v>19.600000000000001</v>
      </c>
      <c r="G302">
        <v>0.83199999999999996</v>
      </c>
      <c r="H302">
        <v>72</v>
      </c>
      <c r="I302">
        <v>0</v>
      </c>
    </row>
    <row r="303" spans="1:9" x14ac:dyDescent="0.3">
      <c r="A303">
        <v>2</v>
      </c>
      <c r="B303">
        <v>100</v>
      </c>
      <c r="C303">
        <v>54</v>
      </c>
      <c r="D303">
        <v>28</v>
      </c>
      <c r="E303">
        <v>105</v>
      </c>
      <c r="F303">
        <v>37.799999999999997</v>
      </c>
      <c r="G303">
        <v>0.498</v>
      </c>
      <c r="H303">
        <v>24</v>
      </c>
      <c r="I303">
        <v>0</v>
      </c>
    </row>
    <row r="304" spans="1:9" x14ac:dyDescent="0.3">
      <c r="A304">
        <v>14</v>
      </c>
      <c r="B304">
        <v>175</v>
      </c>
      <c r="C304">
        <v>62</v>
      </c>
      <c r="D304">
        <v>30</v>
      </c>
      <c r="E304">
        <v>30.5</v>
      </c>
      <c r="F304">
        <v>33.6</v>
      </c>
      <c r="G304">
        <v>0.21199999999999999</v>
      </c>
      <c r="H304">
        <v>38</v>
      </c>
      <c r="I304">
        <v>1</v>
      </c>
    </row>
    <row r="305" spans="1:9" x14ac:dyDescent="0.3">
      <c r="A305">
        <v>1</v>
      </c>
      <c r="B305">
        <v>135</v>
      </c>
      <c r="C305">
        <v>54</v>
      </c>
      <c r="D305">
        <v>23</v>
      </c>
      <c r="E305">
        <v>30.5</v>
      </c>
      <c r="F305">
        <v>26.7</v>
      </c>
      <c r="G305">
        <v>0.68700000000000006</v>
      </c>
      <c r="H305">
        <v>62</v>
      </c>
      <c r="I305">
        <v>0</v>
      </c>
    </row>
    <row r="306" spans="1:9" x14ac:dyDescent="0.3">
      <c r="A306">
        <v>5</v>
      </c>
      <c r="B306">
        <v>86</v>
      </c>
      <c r="C306">
        <v>68</v>
      </c>
      <c r="D306">
        <v>28</v>
      </c>
      <c r="E306">
        <v>71</v>
      </c>
      <c r="F306">
        <v>30.2</v>
      </c>
      <c r="G306">
        <v>0.36399999999999999</v>
      </c>
      <c r="H306">
        <v>24</v>
      </c>
      <c r="I306">
        <v>0</v>
      </c>
    </row>
    <row r="307" spans="1:9" x14ac:dyDescent="0.3">
      <c r="A307">
        <v>10</v>
      </c>
      <c r="B307">
        <v>148</v>
      </c>
      <c r="C307">
        <v>84</v>
      </c>
      <c r="D307">
        <v>48</v>
      </c>
      <c r="E307">
        <v>237</v>
      </c>
      <c r="F307">
        <v>37.6</v>
      </c>
      <c r="G307">
        <v>1.0009999999999999</v>
      </c>
      <c r="H307">
        <v>51</v>
      </c>
      <c r="I307">
        <v>1</v>
      </c>
    </row>
    <row r="308" spans="1:9" x14ac:dyDescent="0.3">
      <c r="A308">
        <v>9</v>
      </c>
      <c r="B308">
        <v>134</v>
      </c>
      <c r="C308">
        <v>74</v>
      </c>
      <c r="D308">
        <v>33</v>
      </c>
      <c r="E308">
        <v>60</v>
      </c>
      <c r="F308">
        <v>25.9</v>
      </c>
      <c r="G308">
        <v>0.46</v>
      </c>
      <c r="H308">
        <v>81</v>
      </c>
      <c r="I308">
        <v>0</v>
      </c>
    </row>
    <row r="309" spans="1:9" x14ac:dyDescent="0.3">
      <c r="A309">
        <v>9</v>
      </c>
      <c r="B309">
        <v>120</v>
      </c>
      <c r="C309">
        <v>72</v>
      </c>
      <c r="D309">
        <v>22</v>
      </c>
      <c r="E309">
        <v>56</v>
      </c>
      <c r="F309">
        <v>20.8</v>
      </c>
      <c r="G309">
        <v>0.73299999999999998</v>
      </c>
      <c r="H309">
        <v>48</v>
      </c>
      <c r="I309">
        <v>0</v>
      </c>
    </row>
    <row r="310" spans="1:9" x14ac:dyDescent="0.3">
      <c r="A310">
        <v>1</v>
      </c>
      <c r="B310">
        <v>71</v>
      </c>
      <c r="C310">
        <v>62</v>
      </c>
      <c r="D310">
        <v>23</v>
      </c>
      <c r="E310">
        <v>30.5</v>
      </c>
      <c r="F310">
        <v>21.8</v>
      </c>
      <c r="G310">
        <v>0.41599999999999998</v>
      </c>
      <c r="H310">
        <v>26</v>
      </c>
      <c r="I310">
        <v>0</v>
      </c>
    </row>
    <row r="311" spans="1:9" x14ac:dyDescent="0.3">
      <c r="A311">
        <v>8</v>
      </c>
      <c r="B311">
        <v>74</v>
      </c>
      <c r="C311">
        <v>70</v>
      </c>
      <c r="D311">
        <v>40</v>
      </c>
      <c r="E311">
        <v>49</v>
      </c>
      <c r="F311">
        <v>35.299999999999997</v>
      </c>
      <c r="G311">
        <v>0.70499999999999996</v>
      </c>
      <c r="H311">
        <v>39</v>
      </c>
      <c r="I311">
        <v>0</v>
      </c>
    </row>
    <row r="312" spans="1:9" x14ac:dyDescent="0.3">
      <c r="A312">
        <v>5</v>
      </c>
      <c r="B312">
        <v>88</v>
      </c>
      <c r="C312">
        <v>78</v>
      </c>
      <c r="D312">
        <v>30</v>
      </c>
      <c r="E312">
        <v>30.5</v>
      </c>
      <c r="F312">
        <v>27.6</v>
      </c>
      <c r="G312">
        <v>0.25800000000000001</v>
      </c>
      <c r="H312">
        <v>37</v>
      </c>
      <c r="I312">
        <v>0</v>
      </c>
    </row>
    <row r="313" spans="1:9" x14ac:dyDescent="0.3">
      <c r="A313">
        <v>10</v>
      </c>
      <c r="B313">
        <v>115</v>
      </c>
      <c r="C313">
        <v>98</v>
      </c>
      <c r="D313">
        <v>23</v>
      </c>
      <c r="E313">
        <v>30.5</v>
      </c>
      <c r="F313">
        <v>24</v>
      </c>
      <c r="G313">
        <v>1.022</v>
      </c>
      <c r="H313">
        <v>34</v>
      </c>
      <c r="I313">
        <v>0</v>
      </c>
    </row>
    <row r="314" spans="1:9" x14ac:dyDescent="0.3">
      <c r="A314">
        <v>0</v>
      </c>
      <c r="B314">
        <v>124</v>
      </c>
      <c r="C314">
        <v>56</v>
      </c>
      <c r="D314">
        <v>13</v>
      </c>
      <c r="E314">
        <v>105</v>
      </c>
      <c r="F314">
        <v>21.8</v>
      </c>
      <c r="G314">
        <v>0.45200000000000001</v>
      </c>
      <c r="H314">
        <v>21</v>
      </c>
      <c r="I314">
        <v>0</v>
      </c>
    </row>
    <row r="315" spans="1:9" x14ac:dyDescent="0.3">
      <c r="A315">
        <v>0</v>
      </c>
      <c r="B315">
        <v>74</v>
      </c>
      <c r="C315">
        <v>52</v>
      </c>
      <c r="D315">
        <v>10</v>
      </c>
      <c r="E315">
        <v>36</v>
      </c>
      <c r="F315">
        <v>27.8</v>
      </c>
      <c r="G315">
        <v>0.26900000000000002</v>
      </c>
      <c r="H315">
        <v>22</v>
      </c>
      <c r="I315">
        <v>0</v>
      </c>
    </row>
    <row r="316" spans="1:9" x14ac:dyDescent="0.3">
      <c r="A316">
        <v>0</v>
      </c>
      <c r="B316">
        <v>97</v>
      </c>
      <c r="C316">
        <v>64</v>
      </c>
      <c r="D316">
        <v>36</v>
      </c>
      <c r="E316">
        <v>100</v>
      </c>
      <c r="F316">
        <v>36.799999999999997</v>
      </c>
      <c r="G316">
        <v>0.6</v>
      </c>
      <c r="H316">
        <v>25</v>
      </c>
      <c r="I316">
        <v>0</v>
      </c>
    </row>
    <row r="317" spans="1:9" x14ac:dyDescent="0.3">
      <c r="A317">
        <v>8</v>
      </c>
      <c r="B317">
        <v>120</v>
      </c>
      <c r="C317">
        <v>72</v>
      </c>
      <c r="D317">
        <v>23</v>
      </c>
      <c r="E317">
        <v>30.5</v>
      </c>
      <c r="F317">
        <v>30</v>
      </c>
      <c r="G317">
        <v>0.183</v>
      </c>
      <c r="H317">
        <v>38</v>
      </c>
      <c r="I317">
        <v>1</v>
      </c>
    </row>
    <row r="318" spans="1:9" x14ac:dyDescent="0.3">
      <c r="A318">
        <v>6</v>
      </c>
      <c r="B318">
        <v>154</v>
      </c>
      <c r="C318">
        <v>78</v>
      </c>
      <c r="D318">
        <v>41</v>
      </c>
      <c r="E318">
        <v>140</v>
      </c>
      <c r="F318">
        <v>46.1</v>
      </c>
      <c r="G318">
        <v>0.57099999999999995</v>
      </c>
      <c r="H318">
        <v>27</v>
      </c>
      <c r="I318">
        <v>0</v>
      </c>
    </row>
    <row r="319" spans="1:9" x14ac:dyDescent="0.3">
      <c r="A319">
        <v>1</v>
      </c>
      <c r="B319">
        <v>144</v>
      </c>
      <c r="C319">
        <v>82</v>
      </c>
      <c r="D319">
        <v>40</v>
      </c>
      <c r="E319">
        <v>30.5</v>
      </c>
      <c r="F319">
        <v>41.3</v>
      </c>
      <c r="G319">
        <v>0.60699999999999998</v>
      </c>
      <c r="H319">
        <v>28</v>
      </c>
      <c r="I319">
        <v>0</v>
      </c>
    </row>
    <row r="320" spans="1:9" x14ac:dyDescent="0.3">
      <c r="A320">
        <v>0</v>
      </c>
      <c r="B320">
        <v>137</v>
      </c>
      <c r="C320">
        <v>70</v>
      </c>
      <c r="D320">
        <v>38</v>
      </c>
      <c r="E320">
        <v>30.5</v>
      </c>
      <c r="F320">
        <v>33.200000000000003</v>
      </c>
      <c r="G320">
        <v>0.17</v>
      </c>
      <c r="H320">
        <v>22</v>
      </c>
      <c r="I320">
        <v>0</v>
      </c>
    </row>
    <row r="321" spans="1:9" x14ac:dyDescent="0.3">
      <c r="A321">
        <v>0</v>
      </c>
      <c r="B321">
        <v>119</v>
      </c>
      <c r="C321">
        <v>66</v>
      </c>
      <c r="D321">
        <v>27</v>
      </c>
      <c r="E321">
        <v>30.5</v>
      </c>
      <c r="F321">
        <v>38.799999999999997</v>
      </c>
      <c r="G321">
        <v>0.25900000000000001</v>
      </c>
      <c r="H321">
        <v>22</v>
      </c>
      <c r="I321">
        <v>0</v>
      </c>
    </row>
    <row r="322" spans="1:9" x14ac:dyDescent="0.3">
      <c r="A322">
        <v>7</v>
      </c>
      <c r="B322">
        <v>136</v>
      </c>
      <c r="C322">
        <v>90</v>
      </c>
      <c r="D322">
        <v>23</v>
      </c>
      <c r="E322">
        <v>30.5</v>
      </c>
      <c r="F322">
        <v>29.9</v>
      </c>
      <c r="G322">
        <v>0.21</v>
      </c>
      <c r="H322">
        <v>50</v>
      </c>
      <c r="I322">
        <v>0</v>
      </c>
    </row>
    <row r="323" spans="1:9" x14ac:dyDescent="0.3">
      <c r="A323">
        <v>4</v>
      </c>
      <c r="B323">
        <v>114</v>
      </c>
      <c r="C323">
        <v>64</v>
      </c>
      <c r="D323">
        <v>23</v>
      </c>
      <c r="E323">
        <v>30.5</v>
      </c>
      <c r="F323">
        <v>28.9</v>
      </c>
      <c r="G323">
        <v>0.126</v>
      </c>
      <c r="H323">
        <v>24</v>
      </c>
      <c r="I323">
        <v>0</v>
      </c>
    </row>
    <row r="324" spans="1:9" x14ac:dyDescent="0.3">
      <c r="A324">
        <v>0</v>
      </c>
      <c r="B324">
        <v>137</v>
      </c>
      <c r="C324">
        <v>84</v>
      </c>
      <c r="D324">
        <v>27</v>
      </c>
      <c r="E324">
        <v>30.5</v>
      </c>
      <c r="F324">
        <v>27.3</v>
      </c>
      <c r="G324">
        <v>0.23100000000000001</v>
      </c>
      <c r="H324">
        <v>59</v>
      </c>
      <c r="I324">
        <v>0</v>
      </c>
    </row>
    <row r="325" spans="1:9" x14ac:dyDescent="0.3">
      <c r="A325">
        <v>2</v>
      </c>
      <c r="B325">
        <v>105</v>
      </c>
      <c r="C325">
        <v>80</v>
      </c>
      <c r="D325">
        <v>45</v>
      </c>
      <c r="E325">
        <v>191</v>
      </c>
      <c r="F325">
        <v>33.700000000000003</v>
      </c>
      <c r="G325">
        <v>0.71099999999999997</v>
      </c>
      <c r="H325">
        <v>29</v>
      </c>
      <c r="I325">
        <v>1</v>
      </c>
    </row>
    <row r="326" spans="1:9" x14ac:dyDescent="0.3">
      <c r="A326">
        <v>7</v>
      </c>
      <c r="B326">
        <v>114</v>
      </c>
      <c r="C326">
        <v>76</v>
      </c>
      <c r="D326">
        <v>17</v>
      </c>
      <c r="E326">
        <v>110</v>
      </c>
      <c r="F326">
        <v>23.8</v>
      </c>
      <c r="G326">
        <v>0.46600000000000003</v>
      </c>
      <c r="H326">
        <v>31</v>
      </c>
      <c r="I326">
        <v>0</v>
      </c>
    </row>
    <row r="327" spans="1:9" x14ac:dyDescent="0.3">
      <c r="A327">
        <v>8</v>
      </c>
      <c r="B327">
        <v>126</v>
      </c>
      <c r="C327">
        <v>74</v>
      </c>
      <c r="D327">
        <v>38</v>
      </c>
      <c r="E327">
        <v>75</v>
      </c>
      <c r="F327">
        <v>25.9</v>
      </c>
      <c r="G327">
        <v>0.16200000000000001</v>
      </c>
      <c r="H327">
        <v>39</v>
      </c>
      <c r="I327">
        <v>0</v>
      </c>
    </row>
    <row r="328" spans="1:9" x14ac:dyDescent="0.3">
      <c r="A328">
        <v>4</v>
      </c>
      <c r="B328">
        <v>132</v>
      </c>
      <c r="C328">
        <v>86</v>
      </c>
      <c r="D328">
        <v>31</v>
      </c>
      <c r="E328">
        <v>30.5</v>
      </c>
      <c r="F328">
        <v>28</v>
      </c>
      <c r="G328">
        <v>0.41899999999999998</v>
      </c>
      <c r="H328">
        <v>63</v>
      </c>
      <c r="I328">
        <v>0</v>
      </c>
    </row>
    <row r="329" spans="1:9" x14ac:dyDescent="0.3">
      <c r="A329">
        <v>3</v>
      </c>
      <c r="B329">
        <v>158</v>
      </c>
      <c r="C329">
        <v>70</v>
      </c>
      <c r="D329">
        <v>30</v>
      </c>
      <c r="E329">
        <v>328</v>
      </c>
      <c r="F329">
        <v>35.5</v>
      </c>
      <c r="G329">
        <v>0.34399999999999997</v>
      </c>
      <c r="H329">
        <v>35</v>
      </c>
      <c r="I329">
        <v>1</v>
      </c>
    </row>
    <row r="330" spans="1:9" x14ac:dyDescent="0.3">
      <c r="A330">
        <v>0</v>
      </c>
      <c r="B330">
        <v>123</v>
      </c>
      <c r="C330">
        <v>88</v>
      </c>
      <c r="D330">
        <v>37</v>
      </c>
      <c r="E330">
        <v>30.5</v>
      </c>
      <c r="F330">
        <v>35.200000000000003</v>
      </c>
      <c r="G330">
        <v>0.19700000000000001</v>
      </c>
      <c r="H330">
        <v>29</v>
      </c>
      <c r="I330">
        <v>0</v>
      </c>
    </row>
    <row r="331" spans="1:9" x14ac:dyDescent="0.3">
      <c r="A331">
        <v>4</v>
      </c>
      <c r="B331">
        <v>85</v>
      </c>
      <c r="C331">
        <v>58</v>
      </c>
      <c r="D331">
        <v>22</v>
      </c>
      <c r="E331">
        <v>49</v>
      </c>
      <c r="F331">
        <v>27.8</v>
      </c>
      <c r="G331">
        <v>0.30599999999999999</v>
      </c>
      <c r="H331">
        <v>28</v>
      </c>
      <c r="I331">
        <v>0</v>
      </c>
    </row>
    <row r="332" spans="1:9" x14ac:dyDescent="0.3">
      <c r="A332">
        <v>0</v>
      </c>
      <c r="B332">
        <v>84</v>
      </c>
      <c r="C332">
        <v>82</v>
      </c>
      <c r="D332">
        <v>31</v>
      </c>
      <c r="E332">
        <v>125</v>
      </c>
      <c r="F332">
        <v>38.200000000000003</v>
      </c>
      <c r="G332">
        <v>0.23300000000000001</v>
      </c>
      <c r="H332">
        <v>23</v>
      </c>
      <c r="I332">
        <v>0</v>
      </c>
    </row>
    <row r="333" spans="1:9" x14ac:dyDescent="0.3">
      <c r="A333">
        <v>0</v>
      </c>
      <c r="B333">
        <v>145</v>
      </c>
      <c r="C333">
        <v>72</v>
      </c>
      <c r="D333">
        <v>23</v>
      </c>
      <c r="E333">
        <v>30.5</v>
      </c>
      <c r="F333">
        <v>44.2</v>
      </c>
      <c r="G333">
        <v>0.63</v>
      </c>
      <c r="H333">
        <v>31</v>
      </c>
      <c r="I333">
        <v>1</v>
      </c>
    </row>
    <row r="334" spans="1:9" x14ac:dyDescent="0.3">
      <c r="A334">
        <v>0</v>
      </c>
      <c r="B334">
        <v>135</v>
      </c>
      <c r="C334">
        <v>68</v>
      </c>
      <c r="D334">
        <v>42</v>
      </c>
      <c r="E334">
        <v>250</v>
      </c>
      <c r="F334">
        <v>42.3</v>
      </c>
      <c r="G334">
        <v>0.36499999999999999</v>
      </c>
      <c r="H334">
        <v>24</v>
      </c>
      <c r="I334">
        <v>1</v>
      </c>
    </row>
    <row r="335" spans="1:9" x14ac:dyDescent="0.3">
      <c r="A335">
        <v>1</v>
      </c>
      <c r="B335">
        <v>139</v>
      </c>
      <c r="C335">
        <v>62</v>
      </c>
      <c r="D335">
        <v>41</v>
      </c>
      <c r="E335">
        <v>480</v>
      </c>
      <c r="F335">
        <v>40.700000000000003</v>
      </c>
      <c r="G335">
        <v>0.53600000000000003</v>
      </c>
      <c r="H335">
        <v>21</v>
      </c>
      <c r="I335">
        <v>0</v>
      </c>
    </row>
    <row r="336" spans="1:9" x14ac:dyDescent="0.3">
      <c r="A336">
        <v>0</v>
      </c>
      <c r="B336">
        <v>173</v>
      </c>
      <c r="C336">
        <v>78</v>
      </c>
      <c r="D336">
        <v>32</v>
      </c>
      <c r="E336">
        <v>265</v>
      </c>
      <c r="F336">
        <v>46.5</v>
      </c>
      <c r="G336">
        <v>1.159</v>
      </c>
      <c r="H336">
        <v>58</v>
      </c>
      <c r="I336">
        <v>0</v>
      </c>
    </row>
    <row r="337" spans="1:9" x14ac:dyDescent="0.3">
      <c r="A337">
        <v>4</v>
      </c>
      <c r="B337">
        <v>99</v>
      </c>
      <c r="C337">
        <v>72</v>
      </c>
      <c r="D337">
        <v>17</v>
      </c>
      <c r="E337">
        <v>30.5</v>
      </c>
      <c r="F337">
        <v>25.6</v>
      </c>
      <c r="G337">
        <v>0.29399999999999998</v>
      </c>
      <c r="H337">
        <v>28</v>
      </c>
      <c r="I337">
        <v>0</v>
      </c>
    </row>
    <row r="338" spans="1:9" x14ac:dyDescent="0.3">
      <c r="A338">
        <v>8</v>
      </c>
      <c r="B338">
        <v>194</v>
      </c>
      <c r="C338">
        <v>80</v>
      </c>
      <c r="D338">
        <v>23</v>
      </c>
      <c r="E338">
        <v>30.5</v>
      </c>
      <c r="F338">
        <v>26.1</v>
      </c>
      <c r="G338">
        <v>0.55100000000000005</v>
      </c>
      <c r="H338">
        <v>67</v>
      </c>
      <c r="I338">
        <v>0</v>
      </c>
    </row>
    <row r="339" spans="1:9" x14ac:dyDescent="0.3">
      <c r="A339">
        <v>2</v>
      </c>
      <c r="B339">
        <v>83</v>
      </c>
      <c r="C339">
        <v>65</v>
      </c>
      <c r="D339">
        <v>28</v>
      </c>
      <c r="E339">
        <v>66</v>
      </c>
      <c r="F339">
        <v>36.799999999999997</v>
      </c>
      <c r="G339">
        <v>0.629</v>
      </c>
      <c r="H339">
        <v>24</v>
      </c>
      <c r="I339">
        <v>0</v>
      </c>
    </row>
    <row r="340" spans="1:9" x14ac:dyDescent="0.3">
      <c r="A340">
        <v>2</v>
      </c>
      <c r="B340">
        <v>89</v>
      </c>
      <c r="C340">
        <v>90</v>
      </c>
      <c r="D340">
        <v>30</v>
      </c>
      <c r="E340">
        <v>30.5</v>
      </c>
      <c r="F340">
        <v>33.5</v>
      </c>
      <c r="G340">
        <v>0.29199999999999998</v>
      </c>
      <c r="H340">
        <v>42</v>
      </c>
      <c r="I340">
        <v>0</v>
      </c>
    </row>
    <row r="341" spans="1:9" x14ac:dyDescent="0.3">
      <c r="A341">
        <v>4</v>
      </c>
      <c r="B341">
        <v>99</v>
      </c>
      <c r="C341">
        <v>68</v>
      </c>
      <c r="D341">
        <v>38</v>
      </c>
      <c r="E341">
        <v>30.5</v>
      </c>
      <c r="F341">
        <v>32.799999999999997</v>
      </c>
      <c r="G341">
        <v>0.14499999999999999</v>
      </c>
      <c r="H341">
        <v>33</v>
      </c>
      <c r="I341">
        <v>0</v>
      </c>
    </row>
    <row r="342" spans="1:9" x14ac:dyDescent="0.3">
      <c r="A342">
        <v>4</v>
      </c>
      <c r="B342">
        <v>125</v>
      </c>
      <c r="C342">
        <v>70</v>
      </c>
      <c r="D342">
        <v>18</v>
      </c>
      <c r="E342">
        <v>122</v>
      </c>
      <c r="F342">
        <v>28.9</v>
      </c>
      <c r="G342">
        <v>1.1439999999999999</v>
      </c>
      <c r="H342">
        <v>45</v>
      </c>
      <c r="I342">
        <v>1</v>
      </c>
    </row>
    <row r="343" spans="1:9" x14ac:dyDescent="0.3">
      <c r="A343">
        <v>3</v>
      </c>
      <c r="B343">
        <v>80</v>
      </c>
      <c r="C343">
        <v>72</v>
      </c>
      <c r="D343">
        <v>23</v>
      </c>
      <c r="E343">
        <v>30.5</v>
      </c>
      <c r="F343">
        <v>32</v>
      </c>
      <c r="G343">
        <v>0.17399999999999999</v>
      </c>
      <c r="H343">
        <v>22</v>
      </c>
      <c r="I343">
        <v>0</v>
      </c>
    </row>
    <row r="344" spans="1:9" x14ac:dyDescent="0.3">
      <c r="A344">
        <v>6</v>
      </c>
      <c r="B344">
        <v>166</v>
      </c>
      <c r="C344">
        <v>74</v>
      </c>
      <c r="D344">
        <v>23</v>
      </c>
      <c r="E344">
        <v>30.5</v>
      </c>
      <c r="F344">
        <v>26.6</v>
      </c>
      <c r="G344">
        <v>0.30399999999999999</v>
      </c>
      <c r="H344">
        <v>66</v>
      </c>
      <c r="I344">
        <v>0</v>
      </c>
    </row>
    <row r="345" spans="1:9" x14ac:dyDescent="0.3">
      <c r="A345">
        <v>5</v>
      </c>
      <c r="B345">
        <v>110</v>
      </c>
      <c r="C345">
        <v>68</v>
      </c>
      <c r="D345">
        <v>23</v>
      </c>
      <c r="E345">
        <v>30.5</v>
      </c>
      <c r="F345">
        <v>26</v>
      </c>
      <c r="G345">
        <v>0.29199999999999998</v>
      </c>
      <c r="H345">
        <v>30</v>
      </c>
      <c r="I345">
        <v>0</v>
      </c>
    </row>
    <row r="346" spans="1:9" x14ac:dyDescent="0.3">
      <c r="A346">
        <v>2</v>
      </c>
      <c r="B346">
        <v>81</v>
      </c>
      <c r="C346">
        <v>72</v>
      </c>
      <c r="D346">
        <v>15</v>
      </c>
      <c r="E346">
        <v>76</v>
      </c>
      <c r="F346">
        <v>30.1</v>
      </c>
      <c r="G346">
        <v>0.54700000000000004</v>
      </c>
      <c r="H346">
        <v>25</v>
      </c>
      <c r="I346">
        <v>0</v>
      </c>
    </row>
    <row r="347" spans="1:9" x14ac:dyDescent="0.3">
      <c r="A347">
        <v>7</v>
      </c>
      <c r="B347">
        <v>195</v>
      </c>
      <c r="C347">
        <v>70</v>
      </c>
      <c r="D347">
        <v>33</v>
      </c>
      <c r="E347">
        <v>145</v>
      </c>
      <c r="F347">
        <v>25.1</v>
      </c>
      <c r="G347">
        <v>0.16300000000000001</v>
      </c>
      <c r="H347">
        <v>55</v>
      </c>
      <c r="I347">
        <v>1</v>
      </c>
    </row>
    <row r="348" spans="1:9" x14ac:dyDescent="0.3">
      <c r="A348">
        <v>6</v>
      </c>
      <c r="B348">
        <v>154</v>
      </c>
      <c r="C348">
        <v>74</v>
      </c>
      <c r="D348">
        <v>32</v>
      </c>
      <c r="E348">
        <v>193</v>
      </c>
      <c r="F348">
        <v>29.3</v>
      </c>
      <c r="G348">
        <v>0.83899999999999997</v>
      </c>
      <c r="H348">
        <v>39</v>
      </c>
      <c r="I348">
        <v>0</v>
      </c>
    </row>
    <row r="349" spans="1:9" x14ac:dyDescent="0.3">
      <c r="A349">
        <v>2</v>
      </c>
      <c r="B349">
        <v>117</v>
      </c>
      <c r="C349">
        <v>90</v>
      </c>
      <c r="D349">
        <v>19</v>
      </c>
      <c r="E349">
        <v>71</v>
      </c>
      <c r="F349">
        <v>25.2</v>
      </c>
      <c r="G349">
        <v>0.313</v>
      </c>
      <c r="H349">
        <v>21</v>
      </c>
      <c r="I349">
        <v>0</v>
      </c>
    </row>
    <row r="350" spans="1:9" x14ac:dyDescent="0.3">
      <c r="A350">
        <v>3</v>
      </c>
      <c r="B350">
        <v>84</v>
      </c>
      <c r="C350">
        <v>72</v>
      </c>
      <c r="D350">
        <v>32</v>
      </c>
      <c r="E350">
        <v>30.5</v>
      </c>
      <c r="F350">
        <v>37.200000000000003</v>
      </c>
      <c r="G350">
        <v>0.26700000000000002</v>
      </c>
      <c r="H350">
        <v>28</v>
      </c>
      <c r="I350">
        <v>0</v>
      </c>
    </row>
    <row r="351" spans="1:9" x14ac:dyDescent="0.3">
      <c r="A351">
        <v>6</v>
      </c>
      <c r="B351">
        <v>117</v>
      </c>
      <c r="C351">
        <v>68</v>
      </c>
      <c r="D351">
        <v>41</v>
      </c>
      <c r="E351">
        <v>30.5</v>
      </c>
      <c r="F351">
        <v>39</v>
      </c>
      <c r="G351">
        <v>0.72699999999999998</v>
      </c>
      <c r="H351">
        <v>41</v>
      </c>
      <c r="I351">
        <v>1</v>
      </c>
    </row>
    <row r="352" spans="1:9" x14ac:dyDescent="0.3">
      <c r="A352">
        <v>7</v>
      </c>
      <c r="B352">
        <v>94</v>
      </c>
      <c r="C352">
        <v>64</v>
      </c>
      <c r="D352">
        <v>25</v>
      </c>
      <c r="E352">
        <v>79</v>
      </c>
      <c r="F352">
        <v>33.299999999999997</v>
      </c>
      <c r="G352">
        <v>0.73799999999999999</v>
      </c>
      <c r="H352">
        <v>41</v>
      </c>
      <c r="I352">
        <v>0</v>
      </c>
    </row>
    <row r="353" spans="1:9" x14ac:dyDescent="0.3">
      <c r="A353">
        <v>3</v>
      </c>
      <c r="B353">
        <v>96</v>
      </c>
      <c r="C353">
        <v>78</v>
      </c>
      <c r="D353">
        <v>39</v>
      </c>
      <c r="E353">
        <v>30.5</v>
      </c>
      <c r="F353">
        <v>37.299999999999997</v>
      </c>
      <c r="G353">
        <v>0.23799999999999999</v>
      </c>
      <c r="H353">
        <v>40</v>
      </c>
      <c r="I353">
        <v>0</v>
      </c>
    </row>
    <row r="354" spans="1:9" x14ac:dyDescent="0.3">
      <c r="A354">
        <v>10</v>
      </c>
      <c r="B354">
        <v>75</v>
      </c>
      <c r="C354">
        <v>82</v>
      </c>
      <c r="D354">
        <v>23</v>
      </c>
      <c r="E354">
        <v>30.5</v>
      </c>
      <c r="F354">
        <v>33.299999999999997</v>
      </c>
      <c r="G354">
        <v>0.26300000000000001</v>
      </c>
      <c r="H354">
        <v>38</v>
      </c>
      <c r="I354">
        <v>0</v>
      </c>
    </row>
    <row r="355" spans="1:9" x14ac:dyDescent="0.3">
      <c r="A355">
        <v>0</v>
      </c>
      <c r="B355">
        <v>180</v>
      </c>
      <c r="C355">
        <v>90</v>
      </c>
      <c r="D355">
        <v>26</v>
      </c>
      <c r="E355">
        <v>90</v>
      </c>
      <c r="F355">
        <v>36.5</v>
      </c>
      <c r="G355">
        <v>0.314</v>
      </c>
      <c r="H355">
        <v>35</v>
      </c>
      <c r="I355">
        <v>1</v>
      </c>
    </row>
    <row r="356" spans="1:9" x14ac:dyDescent="0.3">
      <c r="A356">
        <v>1</v>
      </c>
      <c r="B356">
        <v>130</v>
      </c>
      <c r="C356">
        <v>60</v>
      </c>
      <c r="D356">
        <v>23</v>
      </c>
      <c r="E356">
        <v>170</v>
      </c>
      <c r="F356">
        <v>28.6</v>
      </c>
      <c r="G356">
        <v>0.69199999999999995</v>
      </c>
      <c r="H356">
        <v>21</v>
      </c>
      <c r="I356">
        <v>0</v>
      </c>
    </row>
    <row r="357" spans="1:9" x14ac:dyDescent="0.3">
      <c r="A357">
        <v>2</v>
      </c>
      <c r="B357">
        <v>84</v>
      </c>
      <c r="C357">
        <v>50</v>
      </c>
      <c r="D357">
        <v>23</v>
      </c>
      <c r="E357">
        <v>76</v>
      </c>
      <c r="F357">
        <v>30.4</v>
      </c>
      <c r="G357">
        <v>0.96799999999999997</v>
      </c>
      <c r="H357">
        <v>21</v>
      </c>
      <c r="I357">
        <v>0</v>
      </c>
    </row>
    <row r="358" spans="1:9" x14ac:dyDescent="0.3">
      <c r="A358">
        <v>8</v>
      </c>
      <c r="B358">
        <v>120</v>
      </c>
      <c r="C358">
        <v>78</v>
      </c>
      <c r="D358">
        <v>23</v>
      </c>
      <c r="E358">
        <v>30.5</v>
      </c>
      <c r="F358">
        <v>25</v>
      </c>
      <c r="G358">
        <v>0.40899999999999997</v>
      </c>
      <c r="H358">
        <v>64</v>
      </c>
      <c r="I358">
        <v>0</v>
      </c>
    </row>
    <row r="359" spans="1:9" x14ac:dyDescent="0.3">
      <c r="A359">
        <v>12</v>
      </c>
      <c r="B359">
        <v>84</v>
      </c>
      <c r="C359">
        <v>72</v>
      </c>
      <c r="D359">
        <v>31</v>
      </c>
      <c r="E359">
        <v>30.5</v>
      </c>
      <c r="F359">
        <v>29.7</v>
      </c>
      <c r="G359">
        <v>0.29699999999999999</v>
      </c>
      <c r="H359">
        <v>46</v>
      </c>
      <c r="I359">
        <v>1</v>
      </c>
    </row>
    <row r="360" spans="1:9" x14ac:dyDescent="0.3">
      <c r="A360">
        <v>0</v>
      </c>
      <c r="B360">
        <v>139</v>
      </c>
      <c r="C360">
        <v>62</v>
      </c>
      <c r="D360">
        <v>17</v>
      </c>
      <c r="E360">
        <v>210</v>
      </c>
      <c r="F360">
        <v>22.1</v>
      </c>
      <c r="G360">
        <v>0.20699999999999999</v>
      </c>
      <c r="H360">
        <v>21</v>
      </c>
      <c r="I360">
        <v>0</v>
      </c>
    </row>
    <row r="361" spans="1:9" x14ac:dyDescent="0.3">
      <c r="A361">
        <v>9</v>
      </c>
      <c r="B361">
        <v>91</v>
      </c>
      <c r="C361">
        <v>68</v>
      </c>
      <c r="D361">
        <v>23</v>
      </c>
      <c r="E361">
        <v>30.5</v>
      </c>
      <c r="F361">
        <v>24.2</v>
      </c>
      <c r="G361">
        <v>0.2</v>
      </c>
      <c r="H361">
        <v>58</v>
      </c>
      <c r="I361">
        <v>0</v>
      </c>
    </row>
    <row r="362" spans="1:9" x14ac:dyDescent="0.3">
      <c r="A362">
        <v>2</v>
      </c>
      <c r="B362">
        <v>91</v>
      </c>
      <c r="C362">
        <v>62</v>
      </c>
      <c r="D362">
        <v>23</v>
      </c>
      <c r="E362">
        <v>30.5</v>
      </c>
      <c r="F362">
        <v>27.3</v>
      </c>
      <c r="G362">
        <v>0.52500000000000002</v>
      </c>
      <c r="H362">
        <v>22</v>
      </c>
      <c r="I362">
        <v>0</v>
      </c>
    </row>
    <row r="363" spans="1:9" x14ac:dyDescent="0.3">
      <c r="A363">
        <v>3</v>
      </c>
      <c r="B363">
        <v>99</v>
      </c>
      <c r="C363">
        <v>54</v>
      </c>
      <c r="D363">
        <v>19</v>
      </c>
      <c r="E363">
        <v>86</v>
      </c>
      <c r="F363">
        <v>25.6</v>
      </c>
      <c r="G363">
        <v>0.154</v>
      </c>
      <c r="H363">
        <v>24</v>
      </c>
      <c r="I363">
        <v>0</v>
      </c>
    </row>
    <row r="364" spans="1:9" x14ac:dyDescent="0.3">
      <c r="A364">
        <v>3</v>
      </c>
      <c r="B364">
        <v>163</v>
      </c>
      <c r="C364">
        <v>70</v>
      </c>
      <c r="D364">
        <v>18</v>
      </c>
      <c r="E364">
        <v>105</v>
      </c>
      <c r="F364">
        <v>31.6</v>
      </c>
      <c r="G364">
        <v>0.26800000000000002</v>
      </c>
      <c r="H364">
        <v>28</v>
      </c>
      <c r="I364">
        <v>1</v>
      </c>
    </row>
    <row r="365" spans="1:9" x14ac:dyDescent="0.3">
      <c r="A365">
        <v>9</v>
      </c>
      <c r="B365">
        <v>145</v>
      </c>
      <c r="C365">
        <v>88</v>
      </c>
      <c r="D365">
        <v>34</v>
      </c>
      <c r="E365">
        <v>165</v>
      </c>
      <c r="F365">
        <v>30.3</v>
      </c>
      <c r="G365">
        <v>0.77100000000000002</v>
      </c>
      <c r="H365">
        <v>53</v>
      </c>
      <c r="I365">
        <v>1</v>
      </c>
    </row>
    <row r="366" spans="1:9" x14ac:dyDescent="0.3">
      <c r="A366">
        <v>7</v>
      </c>
      <c r="B366">
        <v>125</v>
      </c>
      <c r="C366">
        <v>86</v>
      </c>
      <c r="D366">
        <v>23</v>
      </c>
      <c r="E366">
        <v>30.5</v>
      </c>
      <c r="F366">
        <v>37.6</v>
      </c>
      <c r="G366">
        <v>0.30399999999999999</v>
      </c>
      <c r="H366">
        <v>51</v>
      </c>
      <c r="I366">
        <v>0</v>
      </c>
    </row>
    <row r="367" spans="1:9" x14ac:dyDescent="0.3">
      <c r="A367">
        <v>13</v>
      </c>
      <c r="B367">
        <v>76</v>
      </c>
      <c r="C367">
        <v>60</v>
      </c>
      <c r="D367">
        <v>23</v>
      </c>
      <c r="E367">
        <v>30.5</v>
      </c>
      <c r="F367">
        <v>32.799999999999997</v>
      </c>
      <c r="G367">
        <v>0.18</v>
      </c>
      <c r="H367">
        <v>41</v>
      </c>
      <c r="I367">
        <v>0</v>
      </c>
    </row>
    <row r="368" spans="1:9" x14ac:dyDescent="0.3">
      <c r="A368">
        <v>6</v>
      </c>
      <c r="B368">
        <v>129</v>
      </c>
      <c r="C368">
        <v>90</v>
      </c>
      <c r="D368">
        <v>7</v>
      </c>
      <c r="E368">
        <v>326</v>
      </c>
      <c r="F368">
        <v>19.600000000000001</v>
      </c>
      <c r="G368">
        <v>0.58199999999999996</v>
      </c>
      <c r="H368">
        <v>60</v>
      </c>
      <c r="I368">
        <v>0</v>
      </c>
    </row>
    <row r="369" spans="1:9" x14ac:dyDescent="0.3">
      <c r="A369">
        <v>2</v>
      </c>
      <c r="B369">
        <v>68</v>
      </c>
      <c r="C369">
        <v>70</v>
      </c>
      <c r="D369">
        <v>32</v>
      </c>
      <c r="E369">
        <v>66</v>
      </c>
      <c r="F369">
        <v>25</v>
      </c>
      <c r="G369">
        <v>0.187</v>
      </c>
      <c r="H369">
        <v>25</v>
      </c>
      <c r="I369">
        <v>0</v>
      </c>
    </row>
    <row r="370" spans="1:9" x14ac:dyDescent="0.3">
      <c r="A370">
        <v>3</v>
      </c>
      <c r="B370">
        <v>124</v>
      </c>
      <c r="C370">
        <v>80</v>
      </c>
      <c r="D370">
        <v>33</v>
      </c>
      <c r="E370">
        <v>130</v>
      </c>
      <c r="F370">
        <v>33.200000000000003</v>
      </c>
      <c r="G370">
        <v>0.30499999999999999</v>
      </c>
      <c r="H370">
        <v>26</v>
      </c>
      <c r="I370">
        <v>0</v>
      </c>
    </row>
    <row r="371" spans="1:9" x14ac:dyDescent="0.3">
      <c r="A371">
        <v>6</v>
      </c>
      <c r="B371">
        <v>114</v>
      </c>
      <c r="C371">
        <v>72</v>
      </c>
      <c r="D371">
        <v>23</v>
      </c>
      <c r="E371">
        <v>30.5</v>
      </c>
      <c r="F371">
        <v>32</v>
      </c>
      <c r="G371">
        <v>0.189</v>
      </c>
      <c r="H371">
        <v>26</v>
      </c>
      <c r="I371">
        <v>0</v>
      </c>
    </row>
    <row r="372" spans="1:9" x14ac:dyDescent="0.3">
      <c r="A372">
        <v>9</v>
      </c>
      <c r="B372">
        <v>130</v>
      </c>
      <c r="C372">
        <v>70</v>
      </c>
      <c r="D372">
        <v>23</v>
      </c>
      <c r="E372">
        <v>30.5</v>
      </c>
      <c r="F372">
        <v>34.200000000000003</v>
      </c>
      <c r="G372">
        <v>0.65200000000000002</v>
      </c>
      <c r="H372">
        <v>45</v>
      </c>
      <c r="I372">
        <v>1</v>
      </c>
    </row>
    <row r="373" spans="1:9" x14ac:dyDescent="0.3">
      <c r="A373">
        <v>3</v>
      </c>
      <c r="B373">
        <v>125</v>
      </c>
      <c r="C373">
        <v>58</v>
      </c>
      <c r="D373">
        <v>23</v>
      </c>
      <c r="E373">
        <v>30.5</v>
      </c>
      <c r="F373">
        <v>31.6</v>
      </c>
      <c r="G373">
        <v>0.151</v>
      </c>
      <c r="H373">
        <v>24</v>
      </c>
      <c r="I373">
        <v>0</v>
      </c>
    </row>
    <row r="374" spans="1:9" x14ac:dyDescent="0.3">
      <c r="A374">
        <v>3</v>
      </c>
      <c r="B374">
        <v>87</v>
      </c>
      <c r="C374">
        <v>60</v>
      </c>
      <c r="D374">
        <v>18</v>
      </c>
      <c r="E374">
        <v>30.5</v>
      </c>
      <c r="F374">
        <v>21.8</v>
      </c>
      <c r="G374">
        <v>0.44400000000000001</v>
      </c>
      <c r="H374">
        <v>21</v>
      </c>
      <c r="I374">
        <v>0</v>
      </c>
    </row>
    <row r="375" spans="1:9" x14ac:dyDescent="0.3">
      <c r="A375">
        <v>1</v>
      </c>
      <c r="B375">
        <v>97</v>
      </c>
      <c r="C375">
        <v>64</v>
      </c>
      <c r="D375">
        <v>19</v>
      </c>
      <c r="E375">
        <v>82</v>
      </c>
      <c r="F375">
        <v>18.2</v>
      </c>
      <c r="G375">
        <v>0.29899999999999999</v>
      </c>
      <c r="H375">
        <v>21</v>
      </c>
      <c r="I375">
        <v>0</v>
      </c>
    </row>
    <row r="376" spans="1:9" x14ac:dyDescent="0.3">
      <c r="A376">
        <v>3</v>
      </c>
      <c r="B376">
        <v>116</v>
      </c>
      <c r="C376">
        <v>74</v>
      </c>
      <c r="D376">
        <v>15</v>
      </c>
      <c r="E376">
        <v>105</v>
      </c>
      <c r="F376">
        <v>26.3</v>
      </c>
      <c r="G376">
        <v>0.107</v>
      </c>
      <c r="H376">
        <v>24</v>
      </c>
      <c r="I376">
        <v>0</v>
      </c>
    </row>
    <row r="377" spans="1:9" x14ac:dyDescent="0.3">
      <c r="A377">
        <v>0</v>
      </c>
      <c r="B377">
        <v>117</v>
      </c>
      <c r="C377">
        <v>66</v>
      </c>
      <c r="D377">
        <v>31</v>
      </c>
      <c r="E377">
        <v>188</v>
      </c>
      <c r="F377">
        <v>30.8</v>
      </c>
      <c r="G377">
        <v>0.49299999999999999</v>
      </c>
      <c r="H377">
        <v>22</v>
      </c>
      <c r="I377">
        <v>0</v>
      </c>
    </row>
    <row r="378" spans="1:9" x14ac:dyDescent="0.3">
      <c r="A378">
        <v>0</v>
      </c>
      <c r="B378">
        <v>111</v>
      </c>
      <c r="C378">
        <v>65</v>
      </c>
      <c r="D378">
        <v>23</v>
      </c>
      <c r="E378">
        <v>30.5</v>
      </c>
      <c r="F378">
        <v>24.6</v>
      </c>
      <c r="G378">
        <v>0.66</v>
      </c>
      <c r="H378">
        <v>31</v>
      </c>
      <c r="I378">
        <v>0</v>
      </c>
    </row>
    <row r="379" spans="1:9" x14ac:dyDescent="0.3">
      <c r="A379">
        <v>2</v>
      </c>
      <c r="B379">
        <v>122</v>
      </c>
      <c r="C379">
        <v>60</v>
      </c>
      <c r="D379">
        <v>18</v>
      </c>
      <c r="E379">
        <v>106</v>
      </c>
      <c r="F379">
        <v>29.8</v>
      </c>
      <c r="G379">
        <v>0.71699999999999997</v>
      </c>
      <c r="H379">
        <v>22</v>
      </c>
      <c r="I379">
        <v>0</v>
      </c>
    </row>
    <row r="380" spans="1:9" x14ac:dyDescent="0.3">
      <c r="A380">
        <v>0</v>
      </c>
      <c r="B380">
        <v>107</v>
      </c>
      <c r="C380">
        <v>76</v>
      </c>
      <c r="D380">
        <v>23</v>
      </c>
      <c r="E380">
        <v>30.5</v>
      </c>
      <c r="F380">
        <v>45.3</v>
      </c>
      <c r="G380">
        <v>0.68600000000000005</v>
      </c>
      <c r="H380">
        <v>24</v>
      </c>
      <c r="I380">
        <v>0</v>
      </c>
    </row>
    <row r="381" spans="1:9" x14ac:dyDescent="0.3">
      <c r="A381">
        <v>1</v>
      </c>
      <c r="B381">
        <v>86</v>
      </c>
      <c r="C381">
        <v>66</v>
      </c>
      <c r="D381">
        <v>52</v>
      </c>
      <c r="E381">
        <v>65</v>
      </c>
      <c r="F381">
        <v>41.3</v>
      </c>
      <c r="G381">
        <v>0.91700000000000004</v>
      </c>
      <c r="H381">
        <v>29</v>
      </c>
      <c r="I381">
        <v>0</v>
      </c>
    </row>
    <row r="382" spans="1:9" x14ac:dyDescent="0.3">
      <c r="A382">
        <v>6</v>
      </c>
      <c r="B382">
        <v>91</v>
      </c>
      <c r="C382">
        <v>72</v>
      </c>
      <c r="D382">
        <v>23</v>
      </c>
      <c r="E382">
        <v>30.5</v>
      </c>
      <c r="F382">
        <v>29.8</v>
      </c>
      <c r="G382">
        <v>0.501</v>
      </c>
      <c r="H382">
        <v>31</v>
      </c>
      <c r="I382">
        <v>0</v>
      </c>
    </row>
    <row r="383" spans="1:9" x14ac:dyDescent="0.3">
      <c r="A383">
        <v>1</v>
      </c>
      <c r="B383">
        <v>77</v>
      </c>
      <c r="C383">
        <v>56</v>
      </c>
      <c r="D383">
        <v>30</v>
      </c>
      <c r="E383">
        <v>56</v>
      </c>
      <c r="F383">
        <v>33.299999999999997</v>
      </c>
      <c r="G383">
        <v>1.2509999999999999</v>
      </c>
      <c r="H383">
        <v>24</v>
      </c>
      <c r="I383">
        <v>0</v>
      </c>
    </row>
    <row r="384" spans="1:9" x14ac:dyDescent="0.3">
      <c r="A384">
        <v>4</v>
      </c>
      <c r="B384">
        <v>132</v>
      </c>
      <c r="C384">
        <v>72</v>
      </c>
      <c r="D384">
        <v>23</v>
      </c>
      <c r="E384">
        <v>30.5</v>
      </c>
      <c r="F384">
        <v>32.9</v>
      </c>
      <c r="G384">
        <v>0.30199999999999999</v>
      </c>
      <c r="H384">
        <v>23</v>
      </c>
      <c r="I384">
        <v>1</v>
      </c>
    </row>
    <row r="385" spans="1:9" x14ac:dyDescent="0.3">
      <c r="A385">
        <v>0</v>
      </c>
      <c r="B385">
        <v>105</v>
      </c>
      <c r="C385">
        <v>90</v>
      </c>
      <c r="D385">
        <v>23</v>
      </c>
      <c r="E385">
        <v>30.5</v>
      </c>
      <c r="F385">
        <v>29.6</v>
      </c>
      <c r="G385">
        <v>0.19700000000000001</v>
      </c>
      <c r="H385">
        <v>46</v>
      </c>
      <c r="I385">
        <v>0</v>
      </c>
    </row>
    <row r="386" spans="1:9" x14ac:dyDescent="0.3">
      <c r="A386">
        <v>0</v>
      </c>
      <c r="B386">
        <v>57</v>
      </c>
      <c r="C386">
        <v>60</v>
      </c>
      <c r="D386">
        <v>23</v>
      </c>
      <c r="E386">
        <v>30.5</v>
      </c>
      <c r="F386">
        <v>21.7</v>
      </c>
      <c r="G386">
        <v>0.73499999999999999</v>
      </c>
      <c r="H386">
        <v>67</v>
      </c>
      <c r="I386">
        <v>0</v>
      </c>
    </row>
    <row r="387" spans="1:9" x14ac:dyDescent="0.3">
      <c r="A387">
        <v>0</v>
      </c>
      <c r="B387">
        <v>127</v>
      </c>
      <c r="C387">
        <v>80</v>
      </c>
      <c r="D387">
        <v>37</v>
      </c>
      <c r="E387">
        <v>210</v>
      </c>
      <c r="F387">
        <v>36.299999999999997</v>
      </c>
      <c r="G387">
        <v>0.80400000000000005</v>
      </c>
      <c r="H387">
        <v>23</v>
      </c>
      <c r="I387">
        <v>0</v>
      </c>
    </row>
    <row r="388" spans="1:9" x14ac:dyDescent="0.3">
      <c r="A388">
        <v>3</v>
      </c>
      <c r="B388">
        <v>129</v>
      </c>
      <c r="C388">
        <v>92</v>
      </c>
      <c r="D388">
        <v>49</v>
      </c>
      <c r="E388">
        <v>155</v>
      </c>
      <c r="F388">
        <v>36.4</v>
      </c>
      <c r="G388">
        <v>0.96799999999999997</v>
      </c>
      <c r="H388">
        <v>32</v>
      </c>
      <c r="I388">
        <v>1</v>
      </c>
    </row>
    <row r="389" spans="1:9" x14ac:dyDescent="0.3">
      <c r="A389">
        <v>8</v>
      </c>
      <c r="B389">
        <v>100</v>
      </c>
      <c r="C389">
        <v>74</v>
      </c>
      <c r="D389">
        <v>40</v>
      </c>
      <c r="E389">
        <v>215</v>
      </c>
      <c r="F389">
        <v>39.4</v>
      </c>
      <c r="G389">
        <v>0.66100000000000003</v>
      </c>
      <c r="H389">
        <v>43</v>
      </c>
      <c r="I389">
        <v>1</v>
      </c>
    </row>
    <row r="390" spans="1:9" x14ac:dyDescent="0.3">
      <c r="A390">
        <v>3</v>
      </c>
      <c r="B390">
        <v>128</v>
      </c>
      <c r="C390">
        <v>72</v>
      </c>
      <c r="D390">
        <v>25</v>
      </c>
      <c r="E390">
        <v>190</v>
      </c>
      <c r="F390">
        <v>32.4</v>
      </c>
      <c r="G390">
        <v>0.54900000000000004</v>
      </c>
      <c r="H390">
        <v>27</v>
      </c>
      <c r="I390">
        <v>1</v>
      </c>
    </row>
    <row r="391" spans="1:9" x14ac:dyDescent="0.3">
      <c r="A391">
        <v>10</v>
      </c>
      <c r="B391">
        <v>90</v>
      </c>
      <c r="C391">
        <v>85</v>
      </c>
      <c r="D391">
        <v>32</v>
      </c>
      <c r="E391">
        <v>30.5</v>
      </c>
      <c r="F391">
        <v>34.9</v>
      </c>
      <c r="G391">
        <v>0.82499999999999996</v>
      </c>
      <c r="H391">
        <v>56</v>
      </c>
      <c r="I391">
        <v>1</v>
      </c>
    </row>
    <row r="392" spans="1:9" x14ac:dyDescent="0.3">
      <c r="A392">
        <v>4</v>
      </c>
      <c r="B392">
        <v>84</v>
      </c>
      <c r="C392">
        <v>90</v>
      </c>
      <c r="D392">
        <v>23</v>
      </c>
      <c r="E392">
        <v>56</v>
      </c>
      <c r="F392">
        <v>39.5</v>
      </c>
      <c r="G392">
        <v>0.159</v>
      </c>
      <c r="H392">
        <v>25</v>
      </c>
      <c r="I392">
        <v>0</v>
      </c>
    </row>
    <row r="393" spans="1:9" x14ac:dyDescent="0.3">
      <c r="A393">
        <v>1</v>
      </c>
      <c r="B393">
        <v>88</v>
      </c>
      <c r="C393">
        <v>78</v>
      </c>
      <c r="D393">
        <v>29</v>
      </c>
      <c r="E393">
        <v>76</v>
      </c>
      <c r="F393">
        <v>32</v>
      </c>
      <c r="G393">
        <v>0.36499999999999999</v>
      </c>
      <c r="H393">
        <v>29</v>
      </c>
      <c r="I393">
        <v>0</v>
      </c>
    </row>
    <row r="394" spans="1:9" x14ac:dyDescent="0.3">
      <c r="A394">
        <v>8</v>
      </c>
      <c r="B394">
        <v>186</v>
      </c>
      <c r="C394">
        <v>90</v>
      </c>
      <c r="D394">
        <v>35</v>
      </c>
      <c r="E394">
        <v>225</v>
      </c>
      <c r="F394">
        <v>34.5</v>
      </c>
      <c r="G394">
        <v>0.42299999999999999</v>
      </c>
      <c r="H394">
        <v>37</v>
      </c>
      <c r="I394">
        <v>1</v>
      </c>
    </row>
    <row r="395" spans="1:9" x14ac:dyDescent="0.3">
      <c r="A395">
        <v>5</v>
      </c>
      <c r="B395">
        <v>187</v>
      </c>
      <c r="C395">
        <v>76</v>
      </c>
      <c r="D395">
        <v>27</v>
      </c>
      <c r="E395">
        <v>207</v>
      </c>
      <c r="F395">
        <v>43.6</v>
      </c>
      <c r="G395">
        <v>1.034</v>
      </c>
      <c r="H395">
        <v>53</v>
      </c>
      <c r="I395">
        <v>1</v>
      </c>
    </row>
    <row r="396" spans="1:9" x14ac:dyDescent="0.3">
      <c r="A396">
        <v>4</v>
      </c>
      <c r="B396">
        <v>131</v>
      </c>
      <c r="C396">
        <v>68</v>
      </c>
      <c r="D396">
        <v>21</v>
      </c>
      <c r="E396">
        <v>166</v>
      </c>
      <c r="F396">
        <v>33.1</v>
      </c>
      <c r="G396">
        <v>0.16</v>
      </c>
      <c r="H396">
        <v>28</v>
      </c>
      <c r="I396">
        <v>0</v>
      </c>
    </row>
    <row r="397" spans="1:9" x14ac:dyDescent="0.3">
      <c r="A397">
        <v>1</v>
      </c>
      <c r="B397">
        <v>164</v>
      </c>
      <c r="C397">
        <v>82</v>
      </c>
      <c r="D397">
        <v>43</v>
      </c>
      <c r="E397">
        <v>67</v>
      </c>
      <c r="F397">
        <v>32.799999999999997</v>
      </c>
      <c r="G397">
        <v>0.34100000000000003</v>
      </c>
      <c r="H397">
        <v>50</v>
      </c>
      <c r="I397">
        <v>0</v>
      </c>
    </row>
    <row r="398" spans="1:9" x14ac:dyDescent="0.3">
      <c r="A398">
        <v>4</v>
      </c>
      <c r="B398">
        <v>189</v>
      </c>
      <c r="C398">
        <v>110</v>
      </c>
      <c r="D398">
        <v>31</v>
      </c>
      <c r="E398">
        <v>30.5</v>
      </c>
      <c r="F398">
        <v>28.5</v>
      </c>
      <c r="G398">
        <v>0.68</v>
      </c>
      <c r="H398">
        <v>37</v>
      </c>
      <c r="I398">
        <v>0</v>
      </c>
    </row>
    <row r="399" spans="1:9" x14ac:dyDescent="0.3">
      <c r="A399">
        <v>1</v>
      </c>
      <c r="B399">
        <v>116</v>
      </c>
      <c r="C399">
        <v>70</v>
      </c>
      <c r="D399">
        <v>28</v>
      </c>
      <c r="E399">
        <v>30.5</v>
      </c>
      <c r="F399">
        <v>27.4</v>
      </c>
      <c r="G399">
        <v>0.20399999999999999</v>
      </c>
      <c r="H399">
        <v>21</v>
      </c>
      <c r="I399">
        <v>0</v>
      </c>
    </row>
    <row r="400" spans="1:9" x14ac:dyDescent="0.3">
      <c r="A400">
        <v>3</v>
      </c>
      <c r="B400">
        <v>84</v>
      </c>
      <c r="C400">
        <v>68</v>
      </c>
      <c r="D400">
        <v>30</v>
      </c>
      <c r="E400">
        <v>106</v>
      </c>
      <c r="F400">
        <v>31.9</v>
      </c>
      <c r="G400">
        <v>0.59099999999999997</v>
      </c>
      <c r="H400">
        <v>25</v>
      </c>
      <c r="I400">
        <v>0</v>
      </c>
    </row>
    <row r="401" spans="1:9" x14ac:dyDescent="0.3">
      <c r="A401">
        <v>6</v>
      </c>
      <c r="B401">
        <v>114</v>
      </c>
      <c r="C401">
        <v>88</v>
      </c>
      <c r="D401">
        <v>23</v>
      </c>
      <c r="E401">
        <v>30.5</v>
      </c>
      <c r="F401">
        <v>27.8</v>
      </c>
      <c r="G401">
        <v>0.247</v>
      </c>
      <c r="H401">
        <v>66</v>
      </c>
      <c r="I401">
        <v>0</v>
      </c>
    </row>
    <row r="402" spans="1:9" x14ac:dyDescent="0.3">
      <c r="A402">
        <v>1</v>
      </c>
      <c r="B402">
        <v>88</v>
      </c>
      <c r="C402">
        <v>62</v>
      </c>
      <c r="D402">
        <v>24</v>
      </c>
      <c r="E402">
        <v>44</v>
      </c>
      <c r="F402">
        <v>29.9</v>
      </c>
      <c r="G402">
        <v>0.42199999999999999</v>
      </c>
      <c r="H402">
        <v>23</v>
      </c>
      <c r="I402">
        <v>0</v>
      </c>
    </row>
    <row r="403" spans="1:9" x14ac:dyDescent="0.3">
      <c r="A403">
        <v>1</v>
      </c>
      <c r="B403">
        <v>84</v>
      </c>
      <c r="C403">
        <v>64</v>
      </c>
      <c r="D403">
        <v>23</v>
      </c>
      <c r="E403">
        <v>115</v>
      </c>
      <c r="F403">
        <v>36.9</v>
      </c>
      <c r="G403">
        <v>0.47099999999999997</v>
      </c>
      <c r="H403">
        <v>28</v>
      </c>
      <c r="I403">
        <v>0</v>
      </c>
    </row>
    <row r="404" spans="1:9" x14ac:dyDescent="0.3">
      <c r="A404">
        <v>7</v>
      </c>
      <c r="B404">
        <v>124</v>
      </c>
      <c r="C404">
        <v>70</v>
      </c>
      <c r="D404">
        <v>33</v>
      </c>
      <c r="E404">
        <v>215</v>
      </c>
      <c r="F404">
        <v>25.5</v>
      </c>
      <c r="G404">
        <v>0.161</v>
      </c>
      <c r="H404">
        <v>37</v>
      </c>
      <c r="I404">
        <v>0</v>
      </c>
    </row>
    <row r="405" spans="1:9" x14ac:dyDescent="0.3">
      <c r="A405">
        <v>1</v>
      </c>
      <c r="B405">
        <v>97</v>
      </c>
      <c r="C405">
        <v>70</v>
      </c>
      <c r="D405">
        <v>40</v>
      </c>
      <c r="E405">
        <v>30.5</v>
      </c>
      <c r="F405">
        <v>38.1</v>
      </c>
      <c r="G405">
        <v>0.218</v>
      </c>
      <c r="H405">
        <v>30</v>
      </c>
      <c r="I405">
        <v>0</v>
      </c>
    </row>
    <row r="406" spans="1:9" x14ac:dyDescent="0.3">
      <c r="A406">
        <v>8</v>
      </c>
      <c r="B406">
        <v>110</v>
      </c>
      <c r="C406">
        <v>76</v>
      </c>
      <c r="D406">
        <v>23</v>
      </c>
      <c r="E406">
        <v>30.5</v>
      </c>
      <c r="F406">
        <v>27.8</v>
      </c>
      <c r="G406">
        <v>0.23699999999999999</v>
      </c>
      <c r="H406">
        <v>58</v>
      </c>
      <c r="I406">
        <v>0</v>
      </c>
    </row>
    <row r="407" spans="1:9" x14ac:dyDescent="0.3">
      <c r="A407">
        <v>11</v>
      </c>
      <c r="B407">
        <v>103</v>
      </c>
      <c r="C407">
        <v>68</v>
      </c>
      <c r="D407">
        <v>40</v>
      </c>
      <c r="E407">
        <v>30.5</v>
      </c>
      <c r="F407">
        <v>46.2</v>
      </c>
      <c r="G407">
        <v>0.126</v>
      </c>
      <c r="H407">
        <v>42</v>
      </c>
      <c r="I407">
        <v>0</v>
      </c>
    </row>
    <row r="408" spans="1:9" x14ac:dyDescent="0.3">
      <c r="A408">
        <v>11</v>
      </c>
      <c r="B408">
        <v>85</v>
      </c>
      <c r="C408">
        <v>74</v>
      </c>
      <c r="D408">
        <v>23</v>
      </c>
      <c r="E408">
        <v>30.5</v>
      </c>
      <c r="F408">
        <v>30.1</v>
      </c>
      <c r="G408">
        <v>0.3</v>
      </c>
      <c r="H408">
        <v>35</v>
      </c>
      <c r="I408">
        <v>0</v>
      </c>
    </row>
    <row r="409" spans="1:9" x14ac:dyDescent="0.3">
      <c r="A409">
        <v>6</v>
      </c>
      <c r="B409">
        <v>125</v>
      </c>
      <c r="C409">
        <v>76</v>
      </c>
      <c r="D409">
        <v>23</v>
      </c>
      <c r="E409">
        <v>30.5</v>
      </c>
      <c r="F409">
        <v>33.799999999999997</v>
      </c>
      <c r="G409">
        <v>0.121</v>
      </c>
      <c r="H409">
        <v>54</v>
      </c>
      <c r="I409">
        <v>1</v>
      </c>
    </row>
    <row r="410" spans="1:9" x14ac:dyDescent="0.3">
      <c r="A410">
        <v>0</v>
      </c>
      <c r="B410">
        <v>198</v>
      </c>
      <c r="C410">
        <v>66</v>
      </c>
      <c r="D410">
        <v>32</v>
      </c>
      <c r="E410">
        <v>274</v>
      </c>
      <c r="F410">
        <v>41.3</v>
      </c>
      <c r="G410">
        <v>0.502</v>
      </c>
      <c r="H410">
        <v>28</v>
      </c>
      <c r="I410">
        <v>1</v>
      </c>
    </row>
    <row r="411" spans="1:9" x14ac:dyDescent="0.3">
      <c r="A411">
        <v>1</v>
      </c>
      <c r="B411">
        <v>87</v>
      </c>
      <c r="C411">
        <v>68</v>
      </c>
      <c r="D411">
        <v>34</v>
      </c>
      <c r="E411">
        <v>77</v>
      </c>
      <c r="F411">
        <v>37.6</v>
      </c>
      <c r="G411">
        <v>0.40100000000000002</v>
      </c>
      <c r="H411">
        <v>24</v>
      </c>
      <c r="I411">
        <v>0</v>
      </c>
    </row>
    <row r="412" spans="1:9" x14ac:dyDescent="0.3">
      <c r="A412">
        <v>6</v>
      </c>
      <c r="B412">
        <v>99</v>
      </c>
      <c r="C412">
        <v>60</v>
      </c>
      <c r="D412">
        <v>19</v>
      </c>
      <c r="E412">
        <v>54</v>
      </c>
      <c r="F412">
        <v>26.9</v>
      </c>
      <c r="G412">
        <v>0.497</v>
      </c>
      <c r="H412">
        <v>32</v>
      </c>
      <c r="I412">
        <v>0</v>
      </c>
    </row>
    <row r="413" spans="1:9" x14ac:dyDescent="0.3">
      <c r="A413">
        <v>0</v>
      </c>
      <c r="B413">
        <v>91</v>
      </c>
      <c r="C413">
        <v>80</v>
      </c>
      <c r="D413">
        <v>23</v>
      </c>
      <c r="E413">
        <v>30.5</v>
      </c>
      <c r="F413">
        <v>32.4</v>
      </c>
      <c r="G413">
        <v>0.60099999999999998</v>
      </c>
      <c r="H413">
        <v>27</v>
      </c>
      <c r="I413">
        <v>0</v>
      </c>
    </row>
    <row r="414" spans="1:9" x14ac:dyDescent="0.3">
      <c r="A414">
        <v>2</v>
      </c>
      <c r="B414">
        <v>95</v>
      </c>
      <c r="C414">
        <v>54</v>
      </c>
      <c r="D414">
        <v>14</v>
      </c>
      <c r="E414">
        <v>88</v>
      </c>
      <c r="F414">
        <v>26.1</v>
      </c>
      <c r="G414">
        <v>0.748</v>
      </c>
      <c r="H414">
        <v>22</v>
      </c>
      <c r="I414">
        <v>0</v>
      </c>
    </row>
    <row r="415" spans="1:9" x14ac:dyDescent="0.3">
      <c r="A415">
        <v>1</v>
      </c>
      <c r="B415">
        <v>99</v>
      </c>
      <c r="C415">
        <v>72</v>
      </c>
      <c r="D415">
        <v>30</v>
      </c>
      <c r="E415">
        <v>18</v>
      </c>
      <c r="F415">
        <v>38.6</v>
      </c>
      <c r="G415">
        <v>0.41199999999999998</v>
      </c>
      <c r="H415">
        <v>21</v>
      </c>
      <c r="I415">
        <v>0</v>
      </c>
    </row>
    <row r="416" spans="1:9" x14ac:dyDescent="0.3">
      <c r="A416">
        <v>6</v>
      </c>
      <c r="B416">
        <v>92</v>
      </c>
      <c r="C416">
        <v>62</v>
      </c>
      <c r="D416">
        <v>32</v>
      </c>
      <c r="E416">
        <v>126</v>
      </c>
      <c r="F416">
        <v>32</v>
      </c>
      <c r="G416">
        <v>8.5000000000000006E-2</v>
      </c>
      <c r="H416">
        <v>46</v>
      </c>
      <c r="I416">
        <v>0</v>
      </c>
    </row>
    <row r="417" spans="1:9" x14ac:dyDescent="0.3">
      <c r="A417">
        <v>4</v>
      </c>
      <c r="B417">
        <v>154</v>
      </c>
      <c r="C417">
        <v>72</v>
      </c>
      <c r="D417">
        <v>29</v>
      </c>
      <c r="E417">
        <v>126</v>
      </c>
      <c r="F417">
        <v>31.3</v>
      </c>
      <c r="G417">
        <v>0.33800000000000002</v>
      </c>
      <c r="H417">
        <v>37</v>
      </c>
      <c r="I417">
        <v>0</v>
      </c>
    </row>
    <row r="418" spans="1:9" x14ac:dyDescent="0.3">
      <c r="A418">
        <v>0</v>
      </c>
      <c r="B418">
        <v>121</v>
      </c>
      <c r="C418">
        <v>66</v>
      </c>
      <c r="D418">
        <v>30</v>
      </c>
      <c r="E418">
        <v>165</v>
      </c>
      <c r="F418">
        <v>34.299999999999997</v>
      </c>
      <c r="G418">
        <v>0.20300000000000001</v>
      </c>
      <c r="H418">
        <v>33</v>
      </c>
      <c r="I418">
        <v>1</v>
      </c>
    </row>
    <row r="419" spans="1:9" x14ac:dyDescent="0.3">
      <c r="A419">
        <v>3</v>
      </c>
      <c r="B419">
        <v>78</v>
      </c>
      <c r="C419">
        <v>70</v>
      </c>
      <c r="D419">
        <v>23</v>
      </c>
      <c r="E419">
        <v>30.5</v>
      </c>
      <c r="F419">
        <v>32.5</v>
      </c>
      <c r="G419">
        <v>0.27</v>
      </c>
      <c r="H419">
        <v>39</v>
      </c>
      <c r="I419">
        <v>0</v>
      </c>
    </row>
    <row r="420" spans="1:9" x14ac:dyDescent="0.3">
      <c r="A420">
        <v>2</v>
      </c>
      <c r="B420">
        <v>130</v>
      </c>
      <c r="C420">
        <v>96</v>
      </c>
      <c r="D420">
        <v>23</v>
      </c>
      <c r="E420">
        <v>30.5</v>
      </c>
      <c r="F420">
        <v>22.6</v>
      </c>
      <c r="G420">
        <v>0.26800000000000002</v>
      </c>
      <c r="H420">
        <v>21</v>
      </c>
      <c r="I420">
        <v>0</v>
      </c>
    </row>
    <row r="421" spans="1:9" x14ac:dyDescent="0.3">
      <c r="A421">
        <v>3</v>
      </c>
      <c r="B421">
        <v>111</v>
      </c>
      <c r="C421">
        <v>58</v>
      </c>
      <c r="D421">
        <v>31</v>
      </c>
      <c r="E421">
        <v>44</v>
      </c>
      <c r="F421">
        <v>29.5</v>
      </c>
      <c r="G421">
        <v>0.43</v>
      </c>
      <c r="H421">
        <v>22</v>
      </c>
      <c r="I421">
        <v>0</v>
      </c>
    </row>
    <row r="422" spans="1:9" x14ac:dyDescent="0.3">
      <c r="A422">
        <v>2</v>
      </c>
      <c r="B422">
        <v>98</v>
      </c>
      <c r="C422">
        <v>60</v>
      </c>
      <c r="D422">
        <v>17</v>
      </c>
      <c r="E422">
        <v>120</v>
      </c>
      <c r="F422">
        <v>34.700000000000003</v>
      </c>
      <c r="G422">
        <v>0.19800000000000001</v>
      </c>
      <c r="H422">
        <v>22</v>
      </c>
      <c r="I422">
        <v>0</v>
      </c>
    </row>
    <row r="423" spans="1:9" x14ac:dyDescent="0.3">
      <c r="A423">
        <v>1</v>
      </c>
      <c r="B423">
        <v>143</v>
      </c>
      <c r="C423">
        <v>86</v>
      </c>
      <c r="D423">
        <v>30</v>
      </c>
      <c r="E423">
        <v>330</v>
      </c>
      <c r="F423">
        <v>30.1</v>
      </c>
      <c r="G423">
        <v>0.89200000000000002</v>
      </c>
      <c r="H423">
        <v>23</v>
      </c>
      <c r="I423">
        <v>0</v>
      </c>
    </row>
    <row r="424" spans="1:9" x14ac:dyDescent="0.3">
      <c r="A424">
        <v>1</v>
      </c>
      <c r="B424">
        <v>119</v>
      </c>
      <c r="C424">
        <v>44</v>
      </c>
      <c r="D424">
        <v>47</v>
      </c>
      <c r="E424">
        <v>63</v>
      </c>
      <c r="F424">
        <v>35.5</v>
      </c>
      <c r="G424">
        <v>0.28000000000000003</v>
      </c>
      <c r="H424">
        <v>25</v>
      </c>
      <c r="I424">
        <v>0</v>
      </c>
    </row>
    <row r="425" spans="1:9" x14ac:dyDescent="0.3">
      <c r="A425">
        <v>6</v>
      </c>
      <c r="B425">
        <v>108</v>
      </c>
      <c r="C425">
        <v>44</v>
      </c>
      <c r="D425">
        <v>20</v>
      </c>
      <c r="E425">
        <v>130</v>
      </c>
      <c r="F425">
        <v>24</v>
      </c>
      <c r="G425">
        <v>0.81299999999999994</v>
      </c>
      <c r="H425">
        <v>35</v>
      </c>
      <c r="I425">
        <v>0</v>
      </c>
    </row>
    <row r="426" spans="1:9" x14ac:dyDescent="0.3">
      <c r="A426">
        <v>2</v>
      </c>
      <c r="B426">
        <v>118</v>
      </c>
      <c r="C426">
        <v>80</v>
      </c>
      <c r="D426">
        <v>23</v>
      </c>
      <c r="E426">
        <v>30.5</v>
      </c>
      <c r="F426">
        <v>42.9</v>
      </c>
      <c r="G426">
        <v>0.69299999999999995</v>
      </c>
      <c r="H426">
        <v>21</v>
      </c>
      <c r="I426">
        <v>1</v>
      </c>
    </row>
    <row r="427" spans="1:9" x14ac:dyDescent="0.3">
      <c r="A427">
        <v>10</v>
      </c>
      <c r="B427">
        <v>133</v>
      </c>
      <c r="C427">
        <v>68</v>
      </c>
      <c r="D427">
        <v>23</v>
      </c>
      <c r="E427">
        <v>30.5</v>
      </c>
      <c r="F427">
        <v>27</v>
      </c>
      <c r="G427">
        <v>0.245</v>
      </c>
      <c r="H427">
        <v>36</v>
      </c>
      <c r="I427">
        <v>0</v>
      </c>
    </row>
    <row r="428" spans="1:9" x14ac:dyDescent="0.3">
      <c r="A428">
        <v>2</v>
      </c>
      <c r="B428">
        <v>197</v>
      </c>
      <c r="C428">
        <v>70</v>
      </c>
      <c r="D428">
        <v>99</v>
      </c>
      <c r="E428">
        <v>30.5</v>
      </c>
      <c r="F428">
        <v>34.700000000000003</v>
      </c>
      <c r="G428">
        <v>0.57499999999999996</v>
      </c>
      <c r="H428">
        <v>62</v>
      </c>
      <c r="I428">
        <v>1</v>
      </c>
    </row>
    <row r="429" spans="1:9" x14ac:dyDescent="0.3">
      <c r="A429">
        <v>0</v>
      </c>
      <c r="B429">
        <v>151</v>
      </c>
      <c r="C429">
        <v>90</v>
      </c>
      <c r="D429">
        <v>46</v>
      </c>
      <c r="E429">
        <v>30.5</v>
      </c>
      <c r="F429">
        <v>42.1</v>
      </c>
      <c r="G429">
        <v>0.371</v>
      </c>
      <c r="H429">
        <v>21</v>
      </c>
      <c r="I429">
        <v>1</v>
      </c>
    </row>
    <row r="430" spans="1:9" x14ac:dyDescent="0.3">
      <c r="A430">
        <v>6</v>
      </c>
      <c r="B430">
        <v>109</v>
      </c>
      <c r="C430">
        <v>60</v>
      </c>
      <c r="D430">
        <v>27</v>
      </c>
      <c r="E430">
        <v>30.5</v>
      </c>
      <c r="F430">
        <v>25</v>
      </c>
      <c r="G430">
        <v>0.20599999999999999</v>
      </c>
      <c r="H430">
        <v>27</v>
      </c>
      <c r="I430">
        <v>0</v>
      </c>
    </row>
    <row r="431" spans="1:9" x14ac:dyDescent="0.3">
      <c r="A431">
        <v>12</v>
      </c>
      <c r="B431">
        <v>121</v>
      </c>
      <c r="C431">
        <v>78</v>
      </c>
      <c r="D431">
        <v>17</v>
      </c>
      <c r="E431">
        <v>30.5</v>
      </c>
      <c r="F431">
        <v>26.5</v>
      </c>
      <c r="G431">
        <v>0.25900000000000001</v>
      </c>
      <c r="H431">
        <v>62</v>
      </c>
      <c r="I431">
        <v>0</v>
      </c>
    </row>
    <row r="432" spans="1:9" x14ac:dyDescent="0.3">
      <c r="A432">
        <v>8</v>
      </c>
      <c r="B432">
        <v>100</v>
      </c>
      <c r="C432">
        <v>76</v>
      </c>
      <c r="D432">
        <v>23</v>
      </c>
      <c r="E432">
        <v>30.5</v>
      </c>
      <c r="F432">
        <v>38.700000000000003</v>
      </c>
      <c r="G432">
        <v>0.19</v>
      </c>
      <c r="H432">
        <v>42</v>
      </c>
      <c r="I432">
        <v>0</v>
      </c>
    </row>
    <row r="433" spans="1:9" x14ac:dyDescent="0.3">
      <c r="A433">
        <v>8</v>
      </c>
      <c r="B433">
        <v>124</v>
      </c>
      <c r="C433">
        <v>76</v>
      </c>
      <c r="D433">
        <v>24</v>
      </c>
      <c r="E433">
        <v>600</v>
      </c>
      <c r="F433">
        <v>28.7</v>
      </c>
      <c r="G433">
        <v>0.68700000000000006</v>
      </c>
      <c r="H433">
        <v>52</v>
      </c>
      <c r="I433">
        <v>1</v>
      </c>
    </row>
    <row r="434" spans="1:9" x14ac:dyDescent="0.3">
      <c r="A434">
        <v>1</v>
      </c>
      <c r="B434">
        <v>93</v>
      </c>
      <c r="C434">
        <v>56</v>
      </c>
      <c r="D434">
        <v>11</v>
      </c>
      <c r="E434">
        <v>30.5</v>
      </c>
      <c r="F434">
        <v>22.5</v>
      </c>
      <c r="G434">
        <v>0.41699999999999998</v>
      </c>
      <c r="H434">
        <v>22</v>
      </c>
      <c r="I434">
        <v>0</v>
      </c>
    </row>
    <row r="435" spans="1:9" x14ac:dyDescent="0.3">
      <c r="A435">
        <v>8</v>
      </c>
      <c r="B435">
        <v>143</v>
      </c>
      <c r="C435">
        <v>66</v>
      </c>
      <c r="D435">
        <v>23</v>
      </c>
      <c r="E435">
        <v>30.5</v>
      </c>
      <c r="F435">
        <v>34.9</v>
      </c>
      <c r="G435">
        <v>0.129</v>
      </c>
      <c r="H435">
        <v>41</v>
      </c>
      <c r="I435">
        <v>1</v>
      </c>
    </row>
    <row r="436" spans="1:9" x14ac:dyDescent="0.3">
      <c r="A436">
        <v>6</v>
      </c>
      <c r="B436">
        <v>103</v>
      </c>
      <c r="C436">
        <v>66</v>
      </c>
      <c r="D436">
        <v>23</v>
      </c>
      <c r="E436">
        <v>30.5</v>
      </c>
      <c r="F436">
        <v>24.3</v>
      </c>
      <c r="G436">
        <v>0.249</v>
      </c>
      <c r="H436">
        <v>29</v>
      </c>
      <c r="I436">
        <v>0</v>
      </c>
    </row>
    <row r="437" spans="1:9" x14ac:dyDescent="0.3">
      <c r="A437">
        <v>3</v>
      </c>
      <c r="B437">
        <v>176</v>
      </c>
      <c r="C437">
        <v>86</v>
      </c>
      <c r="D437">
        <v>27</v>
      </c>
      <c r="E437">
        <v>156</v>
      </c>
      <c r="F437">
        <v>33.299999999999997</v>
      </c>
      <c r="G437">
        <v>1.1539999999999999</v>
      </c>
      <c r="H437">
        <v>52</v>
      </c>
      <c r="I437">
        <v>1</v>
      </c>
    </row>
    <row r="438" spans="1:9" x14ac:dyDescent="0.3">
      <c r="A438">
        <v>0</v>
      </c>
      <c r="B438">
        <v>73</v>
      </c>
      <c r="C438">
        <v>72</v>
      </c>
      <c r="D438">
        <v>23</v>
      </c>
      <c r="E438">
        <v>30.5</v>
      </c>
      <c r="F438">
        <v>21.1</v>
      </c>
      <c r="G438">
        <v>0.34200000000000003</v>
      </c>
      <c r="H438">
        <v>25</v>
      </c>
      <c r="I438">
        <v>0</v>
      </c>
    </row>
    <row r="439" spans="1:9" x14ac:dyDescent="0.3">
      <c r="A439">
        <v>11</v>
      </c>
      <c r="B439">
        <v>111</v>
      </c>
      <c r="C439">
        <v>84</v>
      </c>
      <c r="D439">
        <v>40</v>
      </c>
      <c r="E439">
        <v>30.5</v>
      </c>
      <c r="F439">
        <v>46.8</v>
      </c>
      <c r="G439">
        <v>0.92500000000000004</v>
      </c>
      <c r="H439">
        <v>45</v>
      </c>
      <c r="I439">
        <v>1</v>
      </c>
    </row>
    <row r="440" spans="1:9" x14ac:dyDescent="0.3">
      <c r="A440">
        <v>2</v>
      </c>
      <c r="B440">
        <v>112</v>
      </c>
      <c r="C440">
        <v>78</v>
      </c>
      <c r="D440">
        <v>50</v>
      </c>
      <c r="E440">
        <v>140</v>
      </c>
      <c r="F440">
        <v>39.4</v>
      </c>
      <c r="G440">
        <v>0.17499999999999999</v>
      </c>
      <c r="H440">
        <v>24</v>
      </c>
      <c r="I440">
        <v>0</v>
      </c>
    </row>
    <row r="441" spans="1:9" x14ac:dyDescent="0.3">
      <c r="A441">
        <v>3</v>
      </c>
      <c r="B441">
        <v>132</v>
      </c>
      <c r="C441">
        <v>80</v>
      </c>
      <c r="D441">
        <v>23</v>
      </c>
      <c r="E441">
        <v>30.5</v>
      </c>
      <c r="F441">
        <v>34.4</v>
      </c>
      <c r="G441">
        <v>0.40200000000000002</v>
      </c>
      <c r="H441">
        <v>44</v>
      </c>
      <c r="I441">
        <v>1</v>
      </c>
    </row>
    <row r="442" spans="1:9" x14ac:dyDescent="0.3">
      <c r="A442">
        <v>2</v>
      </c>
      <c r="B442">
        <v>82</v>
      </c>
      <c r="C442">
        <v>52</v>
      </c>
      <c r="D442">
        <v>22</v>
      </c>
      <c r="E442">
        <v>115</v>
      </c>
      <c r="F442">
        <v>28.5</v>
      </c>
      <c r="G442">
        <v>1.6990000000000001</v>
      </c>
      <c r="H442">
        <v>25</v>
      </c>
      <c r="I442">
        <v>0</v>
      </c>
    </row>
    <row r="443" spans="1:9" x14ac:dyDescent="0.3">
      <c r="A443">
        <v>6</v>
      </c>
      <c r="B443">
        <v>123</v>
      </c>
      <c r="C443">
        <v>72</v>
      </c>
      <c r="D443">
        <v>45</v>
      </c>
      <c r="E443">
        <v>230</v>
      </c>
      <c r="F443">
        <v>33.6</v>
      </c>
      <c r="G443">
        <v>0.73299999999999998</v>
      </c>
      <c r="H443">
        <v>34</v>
      </c>
      <c r="I443">
        <v>0</v>
      </c>
    </row>
    <row r="444" spans="1:9" x14ac:dyDescent="0.3">
      <c r="A444">
        <v>0</v>
      </c>
      <c r="B444">
        <v>188</v>
      </c>
      <c r="C444">
        <v>82</v>
      </c>
      <c r="D444">
        <v>14</v>
      </c>
      <c r="E444">
        <v>185</v>
      </c>
      <c r="F444">
        <v>32</v>
      </c>
      <c r="G444">
        <v>0.68200000000000005</v>
      </c>
      <c r="H444">
        <v>22</v>
      </c>
      <c r="I444">
        <v>1</v>
      </c>
    </row>
    <row r="445" spans="1:9" x14ac:dyDescent="0.3">
      <c r="A445">
        <v>0</v>
      </c>
      <c r="B445">
        <v>67</v>
      </c>
      <c r="C445">
        <v>76</v>
      </c>
      <c r="D445">
        <v>23</v>
      </c>
      <c r="E445">
        <v>30.5</v>
      </c>
      <c r="F445">
        <v>45.3</v>
      </c>
      <c r="G445">
        <v>0.19400000000000001</v>
      </c>
      <c r="H445">
        <v>46</v>
      </c>
      <c r="I445">
        <v>0</v>
      </c>
    </row>
    <row r="446" spans="1:9" x14ac:dyDescent="0.3">
      <c r="A446">
        <v>1</v>
      </c>
      <c r="B446">
        <v>89</v>
      </c>
      <c r="C446">
        <v>24</v>
      </c>
      <c r="D446">
        <v>19</v>
      </c>
      <c r="E446">
        <v>25</v>
      </c>
      <c r="F446">
        <v>27.8</v>
      </c>
      <c r="G446">
        <v>0.55900000000000005</v>
      </c>
      <c r="H446">
        <v>21</v>
      </c>
      <c r="I446">
        <v>0</v>
      </c>
    </row>
    <row r="447" spans="1:9" x14ac:dyDescent="0.3">
      <c r="A447">
        <v>1</v>
      </c>
      <c r="B447">
        <v>173</v>
      </c>
      <c r="C447">
        <v>74</v>
      </c>
      <c r="D447">
        <v>23</v>
      </c>
      <c r="E447">
        <v>30.5</v>
      </c>
      <c r="F447">
        <v>36.799999999999997</v>
      </c>
      <c r="G447">
        <v>8.7999999999999995E-2</v>
      </c>
      <c r="H447">
        <v>38</v>
      </c>
      <c r="I447">
        <v>1</v>
      </c>
    </row>
    <row r="448" spans="1:9" x14ac:dyDescent="0.3">
      <c r="A448">
        <v>1</v>
      </c>
      <c r="B448">
        <v>109</v>
      </c>
      <c r="C448">
        <v>38</v>
      </c>
      <c r="D448">
        <v>18</v>
      </c>
      <c r="E448">
        <v>120</v>
      </c>
      <c r="F448">
        <v>23.1</v>
      </c>
      <c r="G448">
        <v>0.40699999999999997</v>
      </c>
      <c r="H448">
        <v>26</v>
      </c>
      <c r="I448">
        <v>0</v>
      </c>
    </row>
    <row r="449" spans="1:9" x14ac:dyDescent="0.3">
      <c r="A449">
        <v>1</v>
      </c>
      <c r="B449">
        <v>108</v>
      </c>
      <c r="C449">
        <v>88</v>
      </c>
      <c r="D449">
        <v>19</v>
      </c>
      <c r="E449">
        <v>30.5</v>
      </c>
      <c r="F449">
        <v>27.1</v>
      </c>
      <c r="G449">
        <v>0.4</v>
      </c>
      <c r="H449">
        <v>24</v>
      </c>
      <c r="I449">
        <v>0</v>
      </c>
    </row>
    <row r="450" spans="1:9" x14ac:dyDescent="0.3">
      <c r="A450">
        <v>6</v>
      </c>
      <c r="B450">
        <v>96</v>
      </c>
      <c r="C450">
        <v>72</v>
      </c>
      <c r="D450">
        <v>23</v>
      </c>
      <c r="E450">
        <v>30.5</v>
      </c>
      <c r="F450">
        <v>23.7</v>
      </c>
      <c r="G450">
        <v>0.19</v>
      </c>
      <c r="H450">
        <v>28</v>
      </c>
      <c r="I450">
        <v>0</v>
      </c>
    </row>
    <row r="451" spans="1:9" x14ac:dyDescent="0.3">
      <c r="A451">
        <v>1</v>
      </c>
      <c r="B451">
        <v>124</v>
      </c>
      <c r="C451">
        <v>74</v>
      </c>
      <c r="D451">
        <v>36</v>
      </c>
      <c r="E451">
        <v>30.5</v>
      </c>
      <c r="F451">
        <v>27.8</v>
      </c>
      <c r="G451">
        <v>0.1</v>
      </c>
      <c r="H451">
        <v>30</v>
      </c>
      <c r="I451">
        <v>0</v>
      </c>
    </row>
    <row r="452" spans="1:9" x14ac:dyDescent="0.3">
      <c r="A452">
        <v>7</v>
      </c>
      <c r="B452">
        <v>150</v>
      </c>
      <c r="C452">
        <v>78</v>
      </c>
      <c r="D452">
        <v>29</v>
      </c>
      <c r="E452">
        <v>126</v>
      </c>
      <c r="F452">
        <v>35.200000000000003</v>
      </c>
      <c r="G452">
        <v>0.69199999999999995</v>
      </c>
      <c r="H452">
        <v>54</v>
      </c>
      <c r="I452">
        <v>1</v>
      </c>
    </row>
    <row r="453" spans="1:9" x14ac:dyDescent="0.3">
      <c r="A453">
        <v>4</v>
      </c>
      <c r="B453">
        <v>183</v>
      </c>
      <c r="C453">
        <v>72</v>
      </c>
      <c r="D453">
        <v>23</v>
      </c>
      <c r="E453">
        <v>30.5</v>
      </c>
      <c r="F453">
        <v>28.4</v>
      </c>
      <c r="G453">
        <v>0.21199999999999999</v>
      </c>
      <c r="H453">
        <v>36</v>
      </c>
      <c r="I453">
        <v>1</v>
      </c>
    </row>
    <row r="454" spans="1:9" x14ac:dyDescent="0.3">
      <c r="A454">
        <v>1</v>
      </c>
      <c r="B454">
        <v>124</v>
      </c>
      <c r="C454">
        <v>60</v>
      </c>
      <c r="D454">
        <v>32</v>
      </c>
      <c r="E454">
        <v>30.5</v>
      </c>
      <c r="F454">
        <v>35.799999999999997</v>
      </c>
      <c r="G454">
        <v>0.51400000000000001</v>
      </c>
      <c r="H454">
        <v>21</v>
      </c>
      <c r="I454">
        <v>0</v>
      </c>
    </row>
    <row r="455" spans="1:9" x14ac:dyDescent="0.3">
      <c r="A455">
        <v>1</v>
      </c>
      <c r="B455">
        <v>181</v>
      </c>
      <c r="C455">
        <v>78</v>
      </c>
      <c r="D455">
        <v>42</v>
      </c>
      <c r="E455">
        <v>293</v>
      </c>
      <c r="F455">
        <v>40</v>
      </c>
      <c r="G455">
        <v>1.258</v>
      </c>
      <c r="H455">
        <v>22</v>
      </c>
      <c r="I455">
        <v>1</v>
      </c>
    </row>
    <row r="456" spans="1:9" x14ac:dyDescent="0.3">
      <c r="A456">
        <v>1</v>
      </c>
      <c r="B456">
        <v>92</v>
      </c>
      <c r="C456">
        <v>62</v>
      </c>
      <c r="D456">
        <v>25</v>
      </c>
      <c r="E456">
        <v>41</v>
      </c>
      <c r="F456">
        <v>19.5</v>
      </c>
      <c r="G456">
        <v>0.48199999999999998</v>
      </c>
      <c r="H456">
        <v>25</v>
      </c>
      <c r="I456">
        <v>0</v>
      </c>
    </row>
    <row r="457" spans="1:9" x14ac:dyDescent="0.3">
      <c r="A457">
        <v>0</v>
      </c>
      <c r="B457">
        <v>152</v>
      </c>
      <c r="C457">
        <v>82</v>
      </c>
      <c r="D457">
        <v>39</v>
      </c>
      <c r="E457">
        <v>272</v>
      </c>
      <c r="F457">
        <v>41.5</v>
      </c>
      <c r="G457">
        <v>0.27</v>
      </c>
      <c r="H457">
        <v>27</v>
      </c>
      <c r="I457">
        <v>0</v>
      </c>
    </row>
    <row r="458" spans="1:9" x14ac:dyDescent="0.3">
      <c r="A458">
        <v>1</v>
      </c>
      <c r="B458">
        <v>111</v>
      </c>
      <c r="C458">
        <v>62</v>
      </c>
      <c r="D458">
        <v>13</v>
      </c>
      <c r="E458">
        <v>182</v>
      </c>
      <c r="F458">
        <v>24</v>
      </c>
      <c r="G458">
        <v>0.13800000000000001</v>
      </c>
      <c r="H458">
        <v>23</v>
      </c>
      <c r="I458">
        <v>0</v>
      </c>
    </row>
    <row r="459" spans="1:9" x14ac:dyDescent="0.3">
      <c r="A459">
        <v>3</v>
      </c>
      <c r="B459">
        <v>106</v>
      </c>
      <c r="C459">
        <v>54</v>
      </c>
      <c r="D459">
        <v>21</v>
      </c>
      <c r="E459">
        <v>158</v>
      </c>
      <c r="F459">
        <v>30.9</v>
      </c>
      <c r="G459">
        <v>0.29199999999999998</v>
      </c>
      <c r="H459">
        <v>24</v>
      </c>
      <c r="I459">
        <v>0</v>
      </c>
    </row>
    <row r="460" spans="1:9" x14ac:dyDescent="0.3">
      <c r="A460">
        <v>3</v>
      </c>
      <c r="B460">
        <v>174</v>
      </c>
      <c r="C460">
        <v>58</v>
      </c>
      <c r="D460">
        <v>22</v>
      </c>
      <c r="E460">
        <v>194</v>
      </c>
      <c r="F460">
        <v>32.9</v>
      </c>
      <c r="G460">
        <v>0.59299999999999997</v>
      </c>
      <c r="H460">
        <v>36</v>
      </c>
      <c r="I460">
        <v>1</v>
      </c>
    </row>
    <row r="461" spans="1:9" x14ac:dyDescent="0.3">
      <c r="A461">
        <v>7</v>
      </c>
      <c r="B461">
        <v>168</v>
      </c>
      <c r="C461">
        <v>88</v>
      </c>
      <c r="D461">
        <v>42</v>
      </c>
      <c r="E461">
        <v>321</v>
      </c>
      <c r="F461">
        <v>38.200000000000003</v>
      </c>
      <c r="G461">
        <v>0.78700000000000003</v>
      </c>
      <c r="H461">
        <v>40</v>
      </c>
      <c r="I461">
        <v>1</v>
      </c>
    </row>
    <row r="462" spans="1:9" x14ac:dyDescent="0.3">
      <c r="A462">
        <v>6</v>
      </c>
      <c r="B462">
        <v>105</v>
      </c>
      <c r="C462">
        <v>80</v>
      </c>
      <c r="D462">
        <v>28</v>
      </c>
      <c r="E462">
        <v>30.5</v>
      </c>
      <c r="F462">
        <v>32.5</v>
      </c>
      <c r="G462">
        <v>0.878</v>
      </c>
      <c r="H462">
        <v>26</v>
      </c>
      <c r="I462">
        <v>0</v>
      </c>
    </row>
    <row r="463" spans="1:9" x14ac:dyDescent="0.3">
      <c r="A463">
        <v>11</v>
      </c>
      <c r="B463">
        <v>138</v>
      </c>
      <c r="C463">
        <v>74</v>
      </c>
      <c r="D463">
        <v>26</v>
      </c>
      <c r="E463">
        <v>144</v>
      </c>
      <c r="F463">
        <v>36.1</v>
      </c>
      <c r="G463">
        <v>0.55700000000000005</v>
      </c>
      <c r="H463">
        <v>50</v>
      </c>
      <c r="I463">
        <v>1</v>
      </c>
    </row>
    <row r="464" spans="1:9" x14ac:dyDescent="0.3">
      <c r="A464">
        <v>3</v>
      </c>
      <c r="B464">
        <v>106</v>
      </c>
      <c r="C464">
        <v>72</v>
      </c>
      <c r="D464">
        <v>23</v>
      </c>
      <c r="E464">
        <v>30.5</v>
      </c>
      <c r="F464">
        <v>25.8</v>
      </c>
      <c r="G464">
        <v>0.20699999999999999</v>
      </c>
      <c r="H464">
        <v>27</v>
      </c>
      <c r="I464">
        <v>0</v>
      </c>
    </row>
    <row r="465" spans="1:9" x14ac:dyDescent="0.3">
      <c r="A465">
        <v>6</v>
      </c>
      <c r="B465">
        <v>117</v>
      </c>
      <c r="C465">
        <v>96</v>
      </c>
      <c r="D465">
        <v>23</v>
      </c>
      <c r="E465">
        <v>30.5</v>
      </c>
      <c r="F465">
        <v>28.7</v>
      </c>
      <c r="G465">
        <v>0.157</v>
      </c>
      <c r="H465">
        <v>30</v>
      </c>
      <c r="I465">
        <v>0</v>
      </c>
    </row>
    <row r="466" spans="1:9" x14ac:dyDescent="0.3">
      <c r="A466">
        <v>2</v>
      </c>
      <c r="B466">
        <v>68</v>
      </c>
      <c r="C466">
        <v>62</v>
      </c>
      <c r="D466">
        <v>13</v>
      </c>
      <c r="E466">
        <v>15</v>
      </c>
      <c r="F466">
        <v>20.100000000000001</v>
      </c>
      <c r="G466">
        <v>0.25700000000000001</v>
      </c>
      <c r="H466">
        <v>23</v>
      </c>
      <c r="I466">
        <v>0</v>
      </c>
    </row>
    <row r="467" spans="1:9" x14ac:dyDescent="0.3">
      <c r="A467">
        <v>9</v>
      </c>
      <c r="B467">
        <v>112</v>
      </c>
      <c r="C467">
        <v>82</v>
      </c>
      <c r="D467">
        <v>24</v>
      </c>
      <c r="E467">
        <v>30.5</v>
      </c>
      <c r="F467">
        <v>28.2</v>
      </c>
      <c r="G467">
        <v>1.282</v>
      </c>
      <c r="H467">
        <v>50</v>
      </c>
      <c r="I467">
        <v>1</v>
      </c>
    </row>
    <row r="468" spans="1:9" x14ac:dyDescent="0.3">
      <c r="A468">
        <v>0</v>
      </c>
      <c r="B468">
        <v>119</v>
      </c>
      <c r="C468">
        <v>72</v>
      </c>
      <c r="D468">
        <v>23</v>
      </c>
      <c r="E468">
        <v>30.5</v>
      </c>
      <c r="F468">
        <v>32.4</v>
      </c>
      <c r="G468">
        <v>0.14099999999999999</v>
      </c>
      <c r="H468">
        <v>24</v>
      </c>
      <c r="I468">
        <v>1</v>
      </c>
    </row>
    <row r="469" spans="1:9" x14ac:dyDescent="0.3">
      <c r="A469">
        <v>2</v>
      </c>
      <c r="B469">
        <v>112</v>
      </c>
      <c r="C469">
        <v>86</v>
      </c>
      <c r="D469">
        <v>42</v>
      </c>
      <c r="E469">
        <v>160</v>
      </c>
      <c r="F469">
        <v>38.4</v>
      </c>
      <c r="G469">
        <v>0.246</v>
      </c>
      <c r="H469">
        <v>28</v>
      </c>
      <c r="I469">
        <v>0</v>
      </c>
    </row>
    <row r="470" spans="1:9" x14ac:dyDescent="0.3">
      <c r="A470">
        <v>2</v>
      </c>
      <c r="B470">
        <v>92</v>
      </c>
      <c r="C470">
        <v>76</v>
      </c>
      <c r="D470">
        <v>20</v>
      </c>
      <c r="E470">
        <v>30.5</v>
      </c>
      <c r="F470">
        <v>24.2</v>
      </c>
      <c r="G470">
        <v>1.698</v>
      </c>
      <c r="H470">
        <v>28</v>
      </c>
      <c r="I470">
        <v>0</v>
      </c>
    </row>
    <row r="471" spans="1:9" x14ac:dyDescent="0.3">
      <c r="A471">
        <v>6</v>
      </c>
      <c r="B471">
        <v>183</v>
      </c>
      <c r="C471">
        <v>94</v>
      </c>
      <c r="D471">
        <v>23</v>
      </c>
      <c r="E471">
        <v>30.5</v>
      </c>
      <c r="F471">
        <v>40.799999999999997</v>
      </c>
      <c r="G471">
        <v>1.4610000000000001</v>
      </c>
      <c r="H471">
        <v>45</v>
      </c>
      <c r="I471">
        <v>0</v>
      </c>
    </row>
    <row r="472" spans="1:9" x14ac:dyDescent="0.3">
      <c r="A472">
        <v>0</v>
      </c>
      <c r="B472">
        <v>94</v>
      </c>
      <c r="C472">
        <v>70</v>
      </c>
      <c r="D472">
        <v>27</v>
      </c>
      <c r="E472">
        <v>115</v>
      </c>
      <c r="F472">
        <v>43.5</v>
      </c>
      <c r="G472">
        <v>0.34699999999999998</v>
      </c>
      <c r="H472">
        <v>21</v>
      </c>
      <c r="I472">
        <v>0</v>
      </c>
    </row>
    <row r="473" spans="1:9" x14ac:dyDescent="0.3">
      <c r="A473">
        <v>2</v>
      </c>
      <c r="B473">
        <v>108</v>
      </c>
      <c r="C473">
        <v>64</v>
      </c>
      <c r="D473">
        <v>23</v>
      </c>
      <c r="E473">
        <v>30.5</v>
      </c>
      <c r="F473">
        <v>30.8</v>
      </c>
      <c r="G473">
        <v>0.158</v>
      </c>
      <c r="H473">
        <v>21</v>
      </c>
      <c r="I473">
        <v>0</v>
      </c>
    </row>
    <row r="474" spans="1:9" x14ac:dyDescent="0.3">
      <c r="A474">
        <v>4</v>
      </c>
      <c r="B474">
        <v>90</v>
      </c>
      <c r="C474">
        <v>88</v>
      </c>
      <c r="D474">
        <v>47</v>
      </c>
      <c r="E474">
        <v>54</v>
      </c>
      <c r="F474">
        <v>37.700000000000003</v>
      </c>
      <c r="G474">
        <v>0.36199999999999999</v>
      </c>
      <c r="H474">
        <v>29</v>
      </c>
      <c r="I474">
        <v>0</v>
      </c>
    </row>
    <row r="475" spans="1:9" x14ac:dyDescent="0.3">
      <c r="A475">
        <v>0</v>
      </c>
      <c r="B475">
        <v>125</v>
      </c>
      <c r="C475">
        <v>68</v>
      </c>
      <c r="D475">
        <v>23</v>
      </c>
      <c r="E475">
        <v>30.5</v>
      </c>
      <c r="F475">
        <v>24.7</v>
      </c>
      <c r="G475">
        <v>0.20599999999999999</v>
      </c>
      <c r="H475">
        <v>21</v>
      </c>
      <c r="I475">
        <v>0</v>
      </c>
    </row>
    <row r="476" spans="1:9" x14ac:dyDescent="0.3">
      <c r="A476">
        <v>0</v>
      </c>
      <c r="B476">
        <v>132</v>
      </c>
      <c r="C476">
        <v>78</v>
      </c>
      <c r="D476">
        <v>23</v>
      </c>
      <c r="E476">
        <v>30.5</v>
      </c>
      <c r="F476">
        <v>32.4</v>
      </c>
      <c r="G476">
        <v>0.39300000000000002</v>
      </c>
      <c r="H476">
        <v>21</v>
      </c>
      <c r="I476">
        <v>0</v>
      </c>
    </row>
    <row r="477" spans="1:9" x14ac:dyDescent="0.3">
      <c r="A477">
        <v>5</v>
      </c>
      <c r="B477">
        <v>128</v>
      </c>
      <c r="C477">
        <v>80</v>
      </c>
      <c r="D477">
        <v>23</v>
      </c>
      <c r="E477">
        <v>30.5</v>
      </c>
      <c r="F477">
        <v>34.6</v>
      </c>
      <c r="G477">
        <v>0.14399999999999999</v>
      </c>
      <c r="H477">
        <v>45</v>
      </c>
      <c r="I477">
        <v>0</v>
      </c>
    </row>
    <row r="478" spans="1:9" x14ac:dyDescent="0.3">
      <c r="A478">
        <v>4</v>
      </c>
      <c r="B478">
        <v>94</v>
      </c>
      <c r="C478">
        <v>65</v>
      </c>
      <c r="D478">
        <v>22</v>
      </c>
      <c r="E478">
        <v>30.5</v>
      </c>
      <c r="F478">
        <v>24.7</v>
      </c>
      <c r="G478">
        <v>0.14799999999999999</v>
      </c>
      <c r="H478">
        <v>21</v>
      </c>
      <c r="I478">
        <v>0</v>
      </c>
    </row>
    <row r="479" spans="1:9" x14ac:dyDescent="0.3">
      <c r="A479">
        <v>7</v>
      </c>
      <c r="B479">
        <v>114</v>
      </c>
      <c r="C479">
        <v>64</v>
      </c>
      <c r="D479">
        <v>23</v>
      </c>
      <c r="E479">
        <v>30.5</v>
      </c>
      <c r="F479">
        <v>27.4</v>
      </c>
      <c r="G479">
        <v>0.73199999999999998</v>
      </c>
      <c r="H479">
        <v>34</v>
      </c>
      <c r="I479">
        <v>1</v>
      </c>
    </row>
    <row r="480" spans="1:9" x14ac:dyDescent="0.3">
      <c r="A480">
        <v>0</v>
      </c>
      <c r="B480">
        <v>102</v>
      </c>
      <c r="C480">
        <v>78</v>
      </c>
      <c r="D480">
        <v>40</v>
      </c>
      <c r="E480">
        <v>90</v>
      </c>
      <c r="F480">
        <v>34.5</v>
      </c>
      <c r="G480">
        <v>0.23799999999999999</v>
      </c>
      <c r="H480">
        <v>24</v>
      </c>
      <c r="I480">
        <v>0</v>
      </c>
    </row>
    <row r="481" spans="1:9" x14ac:dyDescent="0.3">
      <c r="A481">
        <v>2</v>
      </c>
      <c r="B481">
        <v>111</v>
      </c>
      <c r="C481">
        <v>60</v>
      </c>
      <c r="D481">
        <v>23</v>
      </c>
      <c r="E481">
        <v>30.5</v>
      </c>
      <c r="F481">
        <v>26.2</v>
      </c>
      <c r="G481">
        <v>0.34300000000000003</v>
      </c>
      <c r="H481">
        <v>23</v>
      </c>
      <c r="I481">
        <v>0</v>
      </c>
    </row>
    <row r="482" spans="1:9" x14ac:dyDescent="0.3">
      <c r="A482">
        <v>1</v>
      </c>
      <c r="B482">
        <v>128</v>
      </c>
      <c r="C482">
        <v>82</v>
      </c>
      <c r="D482">
        <v>17</v>
      </c>
      <c r="E482">
        <v>183</v>
      </c>
      <c r="F482">
        <v>27.5</v>
      </c>
      <c r="G482">
        <v>0.115</v>
      </c>
      <c r="H482">
        <v>22</v>
      </c>
      <c r="I482">
        <v>0</v>
      </c>
    </row>
    <row r="483" spans="1:9" x14ac:dyDescent="0.3">
      <c r="A483">
        <v>10</v>
      </c>
      <c r="B483">
        <v>92</v>
      </c>
      <c r="C483">
        <v>62</v>
      </c>
      <c r="D483">
        <v>23</v>
      </c>
      <c r="E483">
        <v>30.5</v>
      </c>
      <c r="F483">
        <v>25.9</v>
      </c>
      <c r="G483">
        <v>0.16700000000000001</v>
      </c>
      <c r="H483">
        <v>31</v>
      </c>
      <c r="I483">
        <v>0</v>
      </c>
    </row>
    <row r="484" spans="1:9" x14ac:dyDescent="0.3">
      <c r="A484">
        <v>13</v>
      </c>
      <c r="B484">
        <v>104</v>
      </c>
      <c r="C484">
        <v>72</v>
      </c>
      <c r="D484">
        <v>23</v>
      </c>
      <c r="E484">
        <v>30.5</v>
      </c>
      <c r="F484">
        <v>31.2</v>
      </c>
      <c r="G484">
        <v>0.46500000000000002</v>
      </c>
      <c r="H484">
        <v>38</v>
      </c>
      <c r="I484">
        <v>1</v>
      </c>
    </row>
    <row r="485" spans="1:9" x14ac:dyDescent="0.3">
      <c r="A485">
        <v>5</v>
      </c>
      <c r="B485">
        <v>104</v>
      </c>
      <c r="C485">
        <v>74</v>
      </c>
      <c r="D485">
        <v>23</v>
      </c>
      <c r="E485">
        <v>30.5</v>
      </c>
      <c r="F485">
        <v>28.8</v>
      </c>
      <c r="G485">
        <v>0.153</v>
      </c>
      <c r="H485">
        <v>48</v>
      </c>
      <c r="I485">
        <v>0</v>
      </c>
    </row>
    <row r="486" spans="1:9" x14ac:dyDescent="0.3">
      <c r="A486">
        <v>2</v>
      </c>
      <c r="B486">
        <v>94</v>
      </c>
      <c r="C486">
        <v>76</v>
      </c>
      <c r="D486">
        <v>18</v>
      </c>
      <c r="E486">
        <v>66</v>
      </c>
      <c r="F486">
        <v>31.6</v>
      </c>
      <c r="G486">
        <v>0.64900000000000002</v>
      </c>
      <c r="H486">
        <v>23</v>
      </c>
      <c r="I486">
        <v>0</v>
      </c>
    </row>
    <row r="487" spans="1:9" x14ac:dyDescent="0.3">
      <c r="A487">
        <v>7</v>
      </c>
      <c r="B487">
        <v>97</v>
      </c>
      <c r="C487">
        <v>76</v>
      </c>
      <c r="D487">
        <v>32</v>
      </c>
      <c r="E487">
        <v>91</v>
      </c>
      <c r="F487">
        <v>40.9</v>
      </c>
      <c r="G487">
        <v>0.871</v>
      </c>
      <c r="H487">
        <v>32</v>
      </c>
      <c r="I487">
        <v>1</v>
      </c>
    </row>
    <row r="488" spans="1:9" x14ac:dyDescent="0.3">
      <c r="A488">
        <v>1</v>
      </c>
      <c r="B488">
        <v>100</v>
      </c>
      <c r="C488">
        <v>74</v>
      </c>
      <c r="D488">
        <v>12</v>
      </c>
      <c r="E488">
        <v>46</v>
      </c>
      <c r="F488">
        <v>19.5</v>
      </c>
      <c r="G488">
        <v>0.14899999999999999</v>
      </c>
      <c r="H488">
        <v>28</v>
      </c>
      <c r="I488">
        <v>0</v>
      </c>
    </row>
    <row r="489" spans="1:9" x14ac:dyDescent="0.3">
      <c r="A489">
        <v>0</v>
      </c>
      <c r="B489">
        <v>102</v>
      </c>
      <c r="C489">
        <v>86</v>
      </c>
      <c r="D489">
        <v>17</v>
      </c>
      <c r="E489">
        <v>105</v>
      </c>
      <c r="F489">
        <v>29.3</v>
      </c>
      <c r="G489">
        <v>0.69499999999999995</v>
      </c>
      <c r="H489">
        <v>27</v>
      </c>
      <c r="I489">
        <v>0</v>
      </c>
    </row>
    <row r="490" spans="1:9" x14ac:dyDescent="0.3">
      <c r="A490">
        <v>4</v>
      </c>
      <c r="B490">
        <v>128</v>
      </c>
      <c r="C490">
        <v>70</v>
      </c>
      <c r="D490">
        <v>23</v>
      </c>
      <c r="E490">
        <v>30.5</v>
      </c>
      <c r="F490">
        <v>34.299999999999997</v>
      </c>
      <c r="G490">
        <v>0.30299999999999999</v>
      </c>
      <c r="H490">
        <v>24</v>
      </c>
      <c r="I490">
        <v>0</v>
      </c>
    </row>
    <row r="491" spans="1:9" x14ac:dyDescent="0.3">
      <c r="A491">
        <v>6</v>
      </c>
      <c r="B491">
        <v>147</v>
      </c>
      <c r="C491">
        <v>80</v>
      </c>
      <c r="D491">
        <v>23</v>
      </c>
      <c r="E491">
        <v>30.5</v>
      </c>
      <c r="F491">
        <v>29.5</v>
      </c>
      <c r="G491">
        <v>0.17799999999999999</v>
      </c>
      <c r="H491">
        <v>50</v>
      </c>
      <c r="I491">
        <v>1</v>
      </c>
    </row>
    <row r="492" spans="1:9" x14ac:dyDescent="0.3">
      <c r="A492">
        <v>4</v>
      </c>
      <c r="B492">
        <v>90</v>
      </c>
      <c r="C492">
        <v>72</v>
      </c>
      <c r="D492">
        <v>23</v>
      </c>
      <c r="E492">
        <v>30.5</v>
      </c>
      <c r="F492">
        <v>28</v>
      </c>
      <c r="G492">
        <v>0.61</v>
      </c>
      <c r="H492">
        <v>31</v>
      </c>
      <c r="I492">
        <v>0</v>
      </c>
    </row>
    <row r="493" spans="1:9" x14ac:dyDescent="0.3">
      <c r="A493">
        <v>3</v>
      </c>
      <c r="B493">
        <v>103</v>
      </c>
      <c r="C493">
        <v>72</v>
      </c>
      <c r="D493">
        <v>30</v>
      </c>
      <c r="E493">
        <v>152</v>
      </c>
      <c r="F493">
        <v>27.6</v>
      </c>
      <c r="G493">
        <v>0.73</v>
      </c>
      <c r="H493">
        <v>27</v>
      </c>
      <c r="I493">
        <v>0</v>
      </c>
    </row>
    <row r="494" spans="1:9" x14ac:dyDescent="0.3">
      <c r="A494">
        <v>2</v>
      </c>
      <c r="B494">
        <v>157</v>
      </c>
      <c r="C494">
        <v>74</v>
      </c>
      <c r="D494">
        <v>35</v>
      </c>
      <c r="E494">
        <v>440</v>
      </c>
      <c r="F494">
        <v>39.4</v>
      </c>
      <c r="G494">
        <v>0.13400000000000001</v>
      </c>
      <c r="H494">
        <v>30</v>
      </c>
      <c r="I494">
        <v>0</v>
      </c>
    </row>
    <row r="495" spans="1:9" x14ac:dyDescent="0.3">
      <c r="A495">
        <v>1</v>
      </c>
      <c r="B495">
        <v>167</v>
      </c>
      <c r="C495">
        <v>74</v>
      </c>
      <c r="D495">
        <v>17</v>
      </c>
      <c r="E495">
        <v>144</v>
      </c>
      <c r="F495">
        <v>23.4</v>
      </c>
      <c r="G495">
        <v>0.44700000000000001</v>
      </c>
      <c r="H495">
        <v>33</v>
      </c>
      <c r="I495">
        <v>1</v>
      </c>
    </row>
    <row r="496" spans="1:9" x14ac:dyDescent="0.3">
      <c r="A496">
        <v>0</v>
      </c>
      <c r="B496">
        <v>179</v>
      </c>
      <c r="C496">
        <v>50</v>
      </c>
      <c r="D496">
        <v>36</v>
      </c>
      <c r="E496">
        <v>159</v>
      </c>
      <c r="F496">
        <v>37.799999999999997</v>
      </c>
      <c r="G496">
        <v>0.45500000000000002</v>
      </c>
      <c r="H496">
        <v>22</v>
      </c>
      <c r="I496">
        <v>1</v>
      </c>
    </row>
    <row r="497" spans="1:9" x14ac:dyDescent="0.3">
      <c r="A497">
        <v>11</v>
      </c>
      <c r="B497">
        <v>136</v>
      </c>
      <c r="C497">
        <v>84</v>
      </c>
      <c r="D497">
        <v>35</v>
      </c>
      <c r="E497">
        <v>130</v>
      </c>
      <c r="F497">
        <v>28.3</v>
      </c>
      <c r="G497">
        <v>0.26</v>
      </c>
      <c r="H497">
        <v>42</v>
      </c>
      <c r="I497">
        <v>1</v>
      </c>
    </row>
    <row r="498" spans="1:9" x14ac:dyDescent="0.3">
      <c r="A498">
        <v>0</v>
      </c>
      <c r="B498">
        <v>107</v>
      </c>
      <c r="C498">
        <v>60</v>
      </c>
      <c r="D498">
        <v>25</v>
      </c>
      <c r="E498">
        <v>30.5</v>
      </c>
      <c r="F498">
        <v>26.4</v>
      </c>
      <c r="G498">
        <v>0.13300000000000001</v>
      </c>
      <c r="H498">
        <v>23</v>
      </c>
      <c r="I498">
        <v>0</v>
      </c>
    </row>
    <row r="499" spans="1:9" x14ac:dyDescent="0.3">
      <c r="A499">
        <v>1</v>
      </c>
      <c r="B499">
        <v>91</v>
      </c>
      <c r="C499">
        <v>54</v>
      </c>
      <c r="D499">
        <v>25</v>
      </c>
      <c r="E499">
        <v>100</v>
      </c>
      <c r="F499">
        <v>25.2</v>
      </c>
      <c r="G499">
        <v>0.23400000000000001</v>
      </c>
      <c r="H499">
        <v>23</v>
      </c>
      <c r="I499">
        <v>0</v>
      </c>
    </row>
    <row r="500" spans="1:9" x14ac:dyDescent="0.3">
      <c r="A500">
        <v>1</v>
      </c>
      <c r="B500">
        <v>117</v>
      </c>
      <c r="C500">
        <v>60</v>
      </c>
      <c r="D500">
        <v>23</v>
      </c>
      <c r="E500">
        <v>106</v>
      </c>
      <c r="F500">
        <v>33.799999999999997</v>
      </c>
      <c r="G500">
        <v>0.46600000000000003</v>
      </c>
      <c r="H500">
        <v>27</v>
      </c>
      <c r="I500">
        <v>0</v>
      </c>
    </row>
    <row r="501" spans="1:9" x14ac:dyDescent="0.3">
      <c r="A501">
        <v>5</v>
      </c>
      <c r="B501">
        <v>123</v>
      </c>
      <c r="C501">
        <v>74</v>
      </c>
      <c r="D501">
        <v>40</v>
      </c>
      <c r="E501">
        <v>77</v>
      </c>
      <c r="F501">
        <v>34.1</v>
      </c>
      <c r="G501">
        <v>0.26900000000000002</v>
      </c>
      <c r="H501">
        <v>28</v>
      </c>
      <c r="I501">
        <v>0</v>
      </c>
    </row>
    <row r="502" spans="1:9" x14ac:dyDescent="0.3">
      <c r="A502">
        <v>2</v>
      </c>
      <c r="B502">
        <v>120</v>
      </c>
      <c r="C502">
        <v>54</v>
      </c>
      <c r="D502">
        <v>23</v>
      </c>
      <c r="E502">
        <v>30.5</v>
      </c>
      <c r="F502">
        <v>26.8</v>
      </c>
      <c r="G502">
        <v>0.45500000000000002</v>
      </c>
      <c r="H502">
        <v>27</v>
      </c>
      <c r="I502">
        <v>0</v>
      </c>
    </row>
    <row r="503" spans="1:9" x14ac:dyDescent="0.3">
      <c r="A503">
        <v>1</v>
      </c>
      <c r="B503">
        <v>106</v>
      </c>
      <c r="C503">
        <v>70</v>
      </c>
      <c r="D503">
        <v>28</v>
      </c>
      <c r="E503">
        <v>135</v>
      </c>
      <c r="F503">
        <v>34.200000000000003</v>
      </c>
      <c r="G503">
        <v>0.14199999999999999</v>
      </c>
      <c r="H503">
        <v>22</v>
      </c>
      <c r="I503">
        <v>0</v>
      </c>
    </row>
    <row r="504" spans="1:9" x14ac:dyDescent="0.3">
      <c r="A504">
        <v>2</v>
      </c>
      <c r="B504">
        <v>155</v>
      </c>
      <c r="C504">
        <v>52</v>
      </c>
      <c r="D504">
        <v>27</v>
      </c>
      <c r="E504">
        <v>540</v>
      </c>
      <c r="F504">
        <v>38.700000000000003</v>
      </c>
      <c r="G504">
        <v>0.24</v>
      </c>
      <c r="H504">
        <v>25</v>
      </c>
      <c r="I504">
        <v>1</v>
      </c>
    </row>
    <row r="505" spans="1:9" x14ac:dyDescent="0.3">
      <c r="A505">
        <v>2</v>
      </c>
      <c r="B505">
        <v>101</v>
      </c>
      <c r="C505">
        <v>58</v>
      </c>
      <c r="D505">
        <v>35</v>
      </c>
      <c r="E505">
        <v>90</v>
      </c>
      <c r="F505">
        <v>21.8</v>
      </c>
      <c r="G505">
        <v>0.155</v>
      </c>
      <c r="H505">
        <v>22</v>
      </c>
      <c r="I505">
        <v>0</v>
      </c>
    </row>
    <row r="506" spans="1:9" x14ac:dyDescent="0.3">
      <c r="A506">
        <v>1</v>
      </c>
      <c r="B506">
        <v>120</v>
      </c>
      <c r="C506">
        <v>80</v>
      </c>
      <c r="D506">
        <v>48</v>
      </c>
      <c r="E506">
        <v>200</v>
      </c>
      <c r="F506">
        <v>38.9</v>
      </c>
      <c r="G506">
        <v>1.1619999999999999</v>
      </c>
      <c r="H506">
        <v>41</v>
      </c>
      <c r="I506">
        <v>0</v>
      </c>
    </row>
    <row r="507" spans="1:9" x14ac:dyDescent="0.3">
      <c r="A507">
        <v>11</v>
      </c>
      <c r="B507">
        <v>127</v>
      </c>
      <c r="C507">
        <v>106</v>
      </c>
      <c r="D507">
        <v>23</v>
      </c>
      <c r="E507">
        <v>30.5</v>
      </c>
      <c r="F507">
        <v>39</v>
      </c>
      <c r="G507">
        <v>0.19</v>
      </c>
      <c r="H507">
        <v>51</v>
      </c>
      <c r="I507">
        <v>0</v>
      </c>
    </row>
    <row r="508" spans="1:9" x14ac:dyDescent="0.3">
      <c r="A508">
        <v>3</v>
      </c>
      <c r="B508">
        <v>80</v>
      </c>
      <c r="C508">
        <v>82</v>
      </c>
      <c r="D508">
        <v>31</v>
      </c>
      <c r="E508">
        <v>70</v>
      </c>
      <c r="F508">
        <v>34.200000000000003</v>
      </c>
      <c r="G508">
        <v>1.292</v>
      </c>
      <c r="H508">
        <v>27</v>
      </c>
      <c r="I508">
        <v>1</v>
      </c>
    </row>
    <row r="509" spans="1:9" x14ac:dyDescent="0.3">
      <c r="A509">
        <v>10</v>
      </c>
      <c r="B509">
        <v>162</v>
      </c>
      <c r="C509">
        <v>84</v>
      </c>
      <c r="D509">
        <v>23</v>
      </c>
      <c r="E509">
        <v>30.5</v>
      </c>
      <c r="F509">
        <v>27.7</v>
      </c>
      <c r="G509">
        <v>0.182</v>
      </c>
      <c r="H509">
        <v>54</v>
      </c>
      <c r="I509">
        <v>0</v>
      </c>
    </row>
    <row r="510" spans="1:9" x14ac:dyDescent="0.3">
      <c r="A510">
        <v>1</v>
      </c>
      <c r="B510">
        <v>199</v>
      </c>
      <c r="C510">
        <v>76</v>
      </c>
      <c r="D510">
        <v>43</v>
      </c>
      <c r="E510">
        <v>30.5</v>
      </c>
      <c r="F510">
        <v>42.9</v>
      </c>
      <c r="G510">
        <v>1.3939999999999999</v>
      </c>
      <c r="H510">
        <v>22</v>
      </c>
      <c r="I510">
        <v>1</v>
      </c>
    </row>
    <row r="511" spans="1:9" x14ac:dyDescent="0.3">
      <c r="A511">
        <v>8</v>
      </c>
      <c r="B511">
        <v>167</v>
      </c>
      <c r="C511">
        <v>106</v>
      </c>
      <c r="D511">
        <v>46</v>
      </c>
      <c r="E511">
        <v>231</v>
      </c>
      <c r="F511">
        <v>37.6</v>
      </c>
      <c r="G511">
        <v>0.16500000000000001</v>
      </c>
      <c r="H511">
        <v>43</v>
      </c>
      <c r="I511">
        <v>1</v>
      </c>
    </row>
    <row r="512" spans="1:9" x14ac:dyDescent="0.3">
      <c r="A512">
        <v>9</v>
      </c>
      <c r="B512">
        <v>145</v>
      </c>
      <c r="C512">
        <v>80</v>
      </c>
      <c r="D512">
        <v>46</v>
      </c>
      <c r="E512">
        <v>130</v>
      </c>
      <c r="F512">
        <v>37.9</v>
      </c>
      <c r="G512">
        <v>0.63700000000000001</v>
      </c>
      <c r="H512">
        <v>40</v>
      </c>
      <c r="I512">
        <v>1</v>
      </c>
    </row>
    <row r="513" spans="1:9" x14ac:dyDescent="0.3">
      <c r="A513">
        <v>6</v>
      </c>
      <c r="B513">
        <v>115</v>
      </c>
      <c r="C513">
        <v>60</v>
      </c>
      <c r="D513">
        <v>39</v>
      </c>
      <c r="E513">
        <v>30.5</v>
      </c>
      <c r="F513">
        <v>33.700000000000003</v>
      </c>
      <c r="G513">
        <v>0.245</v>
      </c>
      <c r="H513">
        <v>40</v>
      </c>
      <c r="I513">
        <v>1</v>
      </c>
    </row>
    <row r="514" spans="1:9" x14ac:dyDescent="0.3">
      <c r="A514">
        <v>1</v>
      </c>
      <c r="B514">
        <v>112</v>
      </c>
      <c r="C514">
        <v>80</v>
      </c>
      <c r="D514">
        <v>45</v>
      </c>
      <c r="E514">
        <v>132</v>
      </c>
      <c r="F514">
        <v>34.799999999999997</v>
      </c>
      <c r="G514">
        <v>0.217</v>
      </c>
      <c r="H514">
        <v>24</v>
      </c>
      <c r="I514">
        <v>0</v>
      </c>
    </row>
    <row r="515" spans="1:9" x14ac:dyDescent="0.3">
      <c r="A515">
        <v>4</v>
      </c>
      <c r="B515">
        <v>145</v>
      </c>
      <c r="C515">
        <v>82</v>
      </c>
      <c r="D515">
        <v>18</v>
      </c>
      <c r="E515">
        <v>30.5</v>
      </c>
      <c r="F515">
        <v>32.5</v>
      </c>
      <c r="G515">
        <v>0.23499999999999999</v>
      </c>
      <c r="H515">
        <v>70</v>
      </c>
      <c r="I515">
        <v>1</v>
      </c>
    </row>
    <row r="516" spans="1:9" x14ac:dyDescent="0.3">
      <c r="A516">
        <v>10</v>
      </c>
      <c r="B516">
        <v>111</v>
      </c>
      <c r="C516">
        <v>70</v>
      </c>
      <c r="D516">
        <v>27</v>
      </c>
      <c r="E516">
        <v>30.5</v>
      </c>
      <c r="F516">
        <v>27.5</v>
      </c>
      <c r="G516">
        <v>0.14099999999999999</v>
      </c>
      <c r="H516">
        <v>40</v>
      </c>
      <c r="I516">
        <v>1</v>
      </c>
    </row>
    <row r="517" spans="1:9" x14ac:dyDescent="0.3">
      <c r="A517">
        <v>6</v>
      </c>
      <c r="B517">
        <v>98</v>
      </c>
      <c r="C517">
        <v>58</v>
      </c>
      <c r="D517">
        <v>33</v>
      </c>
      <c r="E517">
        <v>190</v>
      </c>
      <c r="F517">
        <v>34</v>
      </c>
      <c r="G517">
        <v>0.43</v>
      </c>
      <c r="H517">
        <v>43</v>
      </c>
      <c r="I517">
        <v>0</v>
      </c>
    </row>
    <row r="518" spans="1:9" x14ac:dyDescent="0.3">
      <c r="A518">
        <v>9</v>
      </c>
      <c r="B518">
        <v>154</v>
      </c>
      <c r="C518">
        <v>78</v>
      </c>
      <c r="D518">
        <v>30</v>
      </c>
      <c r="E518">
        <v>100</v>
      </c>
      <c r="F518">
        <v>30.9</v>
      </c>
      <c r="G518">
        <v>0.16400000000000001</v>
      </c>
      <c r="H518">
        <v>45</v>
      </c>
      <c r="I518">
        <v>0</v>
      </c>
    </row>
    <row r="519" spans="1:9" x14ac:dyDescent="0.3">
      <c r="A519">
        <v>6</v>
      </c>
      <c r="B519">
        <v>165</v>
      </c>
      <c r="C519">
        <v>68</v>
      </c>
      <c r="D519">
        <v>26</v>
      </c>
      <c r="E519">
        <v>168</v>
      </c>
      <c r="F519">
        <v>33.6</v>
      </c>
      <c r="G519">
        <v>0.63100000000000001</v>
      </c>
      <c r="H519">
        <v>49</v>
      </c>
      <c r="I519">
        <v>0</v>
      </c>
    </row>
    <row r="520" spans="1:9" x14ac:dyDescent="0.3">
      <c r="A520">
        <v>1</v>
      </c>
      <c r="B520">
        <v>99</v>
      </c>
      <c r="C520">
        <v>58</v>
      </c>
      <c r="D520">
        <v>10</v>
      </c>
      <c r="E520">
        <v>30.5</v>
      </c>
      <c r="F520">
        <v>25.4</v>
      </c>
      <c r="G520">
        <v>0.55100000000000005</v>
      </c>
      <c r="H520">
        <v>21</v>
      </c>
      <c r="I520">
        <v>0</v>
      </c>
    </row>
    <row r="521" spans="1:9" x14ac:dyDescent="0.3">
      <c r="A521">
        <v>10</v>
      </c>
      <c r="B521">
        <v>68</v>
      </c>
      <c r="C521">
        <v>106</v>
      </c>
      <c r="D521">
        <v>23</v>
      </c>
      <c r="E521">
        <v>49</v>
      </c>
      <c r="F521">
        <v>35.5</v>
      </c>
      <c r="G521">
        <v>0.28499999999999998</v>
      </c>
      <c r="H521">
        <v>47</v>
      </c>
      <c r="I521">
        <v>0</v>
      </c>
    </row>
    <row r="522" spans="1:9" x14ac:dyDescent="0.3">
      <c r="A522">
        <v>3</v>
      </c>
      <c r="B522">
        <v>123</v>
      </c>
      <c r="C522">
        <v>100</v>
      </c>
      <c r="D522">
        <v>35</v>
      </c>
      <c r="E522">
        <v>240</v>
      </c>
      <c r="F522">
        <v>57.3</v>
      </c>
      <c r="G522">
        <v>0.88</v>
      </c>
      <c r="H522">
        <v>22</v>
      </c>
      <c r="I522">
        <v>0</v>
      </c>
    </row>
    <row r="523" spans="1:9" x14ac:dyDescent="0.3">
      <c r="A523">
        <v>8</v>
      </c>
      <c r="B523">
        <v>91</v>
      </c>
      <c r="C523">
        <v>82</v>
      </c>
      <c r="D523">
        <v>23</v>
      </c>
      <c r="E523">
        <v>30.5</v>
      </c>
      <c r="F523">
        <v>35.6</v>
      </c>
      <c r="G523">
        <v>0.58699999999999997</v>
      </c>
      <c r="H523">
        <v>68</v>
      </c>
      <c r="I523">
        <v>0</v>
      </c>
    </row>
    <row r="524" spans="1:9" x14ac:dyDescent="0.3">
      <c r="A524">
        <v>6</v>
      </c>
      <c r="B524">
        <v>195</v>
      </c>
      <c r="C524">
        <v>70</v>
      </c>
      <c r="D524">
        <v>23</v>
      </c>
      <c r="E524">
        <v>30.5</v>
      </c>
      <c r="F524">
        <v>30.9</v>
      </c>
      <c r="G524">
        <v>0.32800000000000001</v>
      </c>
      <c r="H524">
        <v>31</v>
      </c>
      <c r="I524">
        <v>1</v>
      </c>
    </row>
    <row r="525" spans="1:9" x14ac:dyDescent="0.3">
      <c r="A525">
        <v>9</v>
      </c>
      <c r="B525">
        <v>156</v>
      </c>
      <c r="C525">
        <v>86</v>
      </c>
      <c r="D525">
        <v>23</v>
      </c>
      <c r="E525">
        <v>30.5</v>
      </c>
      <c r="F525">
        <v>24.8</v>
      </c>
      <c r="G525">
        <v>0.23</v>
      </c>
      <c r="H525">
        <v>53</v>
      </c>
      <c r="I525">
        <v>1</v>
      </c>
    </row>
    <row r="526" spans="1:9" x14ac:dyDescent="0.3">
      <c r="A526">
        <v>0</v>
      </c>
      <c r="B526">
        <v>93</v>
      </c>
      <c r="C526">
        <v>60</v>
      </c>
      <c r="D526">
        <v>23</v>
      </c>
      <c r="E526">
        <v>30.5</v>
      </c>
      <c r="F526">
        <v>35.299999999999997</v>
      </c>
      <c r="G526">
        <v>0.26300000000000001</v>
      </c>
      <c r="H526">
        <v>25</v>
      </c>
      <c r="I526">
        <v>0</v>
      </c>
    </row>
    <row r="527" spans="1:9" x14ac:dyDescent="0.3">
      <c r="A527">
        <v>3</v>
      </c>
      <c r="B527">
        <v>121</v>
      </c>
      <c r="C527">
        <v>52</v>
      </c>
      <c r="D527">
        <v>23</v>
      </c>
      <c r="E527">
        <v>30.5</v>
      </c>
      <c r="F527">
        <v>36</v>
      </c>
      <c r="G527">
        <v>0.127</v>
      </c>
      <c r="H527">
        <v>25</v>
      </c>
      <c r="I527">
        <v>1</v>
      </c>
    </row>
    <row r="528" spans="1:9" x14ac:dyDescent="0.3">
      <c r="A528">
        <v>2</v>
      </c>
      <c r="B528">
        <v>101</v>
      </c>
      <c r="C528">
        <v>58</v>
      </c>
      <c r="D528">
        <v>17</v>
      </c>
      <c r="E528">
        <v>265</v>
      </c>
      <c r="F528">
        <v>24.2</v>
      </c>
      <c r="G528">
        <v>0.61399999999999999</v>
      </c>
      <c r="H528">
        <v>23</v>
      </c>
      <c r="I528">
        <v>0</v>
      </c>
    </row>
    <row r="529" spans="1:9" x14ac:dyDescent="0.3">
      <c r="A529">
        <v>2</v>
      </c>
      <c r="B529">
        <v>56</v>
      </c>
      <c r="C529">
        <v>56</v>
      </c>
      <c r="D529">
        <v>28</v>
      </c>
      <c r="E529">
        <v>45</v>
      </c>
      <c r="F529">
        <v>24.2</v>
      </c>
      <c r="G529">
        <v>0.33200000000000002</v>
      </c>
      <c r="H529">
        <v>22</v>
      </c>
      <c r="I529">
        <v>0</v>
      </c>
    </row>
    <row r="530" spans="1:9" x14ac:dyDescent="0.3">
      <c r="A530">
        <v>0</v>
      </c>
      <c r="B530">
        <v>162</v>
      </c>
      <c r="C530">
        <v>76</v>
      </c>
      <c r="D530">
        <v>36</v>
      </c>
      <c r="E530">
        <v>30.5</v>
      </c>
      <c r="F530">
        <v>49.6</v>
      </c>
      <c r="G530">
        <v>0.36399999999999999</v>
      </c>
      <c r="H530">
        <v>26</v>
      </c>
      <c r="I530">
        <v>1</v>
      </c>
    </row>
    <row r="531" spans="1:9" x14ac:dyDescent="0.3">
      <c r="A531">
        <v>0</v>
      </c>
      <c r="B531">
        <v>95</v>
      </c>
      <c r="C531">
        <v>64</v>
      </c>
      <c r="D531">
        <v>39</v>
      </c>
      <c r="E531">
        <v>105</v>
      </c>
      <c r="F531">
        <v>44.6</v>
      </c>
      <c r="G531">
        <v>0.36599999999999999</v>
      </c>
      <c r="H531">
        <v>22</v>
      </c>
      <c r="I531">
        <v>0</v>
      </c>
    </row>
    <row r="532" spans="1:9" x14ac:dyDescent="0.3">
      <c r="A532">
        <v>4</v>
      </c>
      <c r="B532">
        <v>125</v>
      </c>
      <c r="C532">
        <v>80</v>
      </c>
      <c r="D532">
        <v>23</v>
      </c>
      <c r="E532">
        <v>30.5</v>
      </c>
      <c r="F532">
        <v>32.299999999999997</v>
      </c>
      <c r="G532">
        <v>0.53600000000000003</v>
      </c>
      <c r="H532">
        <v>27</v>
      </c>
      <c r="I532">
        <v>1</v>
      </c>
    </row>
    <row r="533" spans="1:9" x14ac:dyDescent="0.3">
      <c r="A533">
        <v>5</v>
      </c>
      <c r="B533">
        <v>136</v>
      </c>
      <c r="C533">
        <v>82</v>
      </c>
      <c r="D533">
        <v>23</v>
      </c>
      <c r="E533">
        <v>30.5</v>
      </c>
      <c r="F533">
        <v>32</v>
      </c>
      <c r="G533">
        <v>0.64</v>
      </c>
      <c r="H533">
        <v>69</v>
      </c>
      <c r="I533">
        <v>0</v>
      </c>
    </row>
    <row r="534" spans="1:9" x14ac:dyDescent="0.3">
      <c r="A534">
        <v>2</v>
      </c>
      <c r="B534">
        <v>129</v>
      </c>
      <c r="C534">
        <v>74</v>
      </c>
      <c r="D534">
        <v>26</v>
      </c>
      <c r="E534">
        <v>205</v>
      </c>
      <c r="F534">
        <v>33.200000000000003</v>
      </c>
      <c r="G534">
        <v>0.59099999999999997</v>
      </c>
      <c r="H534">
        <v>25</v>
      </c>
      <c r="I534">
        <v>0</v>
      </c>
    </row>
    <row r="535" spans="1:9" x14ac:dyDescent="0.3">
      <c r="A535">
        <v>3</v>
      </c>
      <c r="B535">
        <v>130</v>
      </c>
      <c r="C535">
        <v>64</v>
      </c>
      <c r="D535">
        <v>23</v>
      </c>
      <c r="E535">
        <v>30.5</v>
      </c>
      <c r="F535">
        <v>23.1</v>
      </c>
      <c r="G535">
        <v>0.314</v>
      </c>
      <c r="H535">
        <v>22</v>
      </c>
      <c r="I535">
        <v>0</v>
      </c>
    </row>
    <row r="536" spans="1:9" x14ac:dyDescent="0.3">
      <c r="A536">
        <v>1</v>
      </c>
      <c r="B536">
        <v>107</v>
      </c>
      <c r="C536">
        <v>50</v>
      </c>
      <c r="D536">
        <v>19</v>
      </c>
      <c r="E536">
        <v>30.5</v>
      </c>
      <c r="F536">
        <v>28.3</v>
      </c>
      <c r="G536">
        <v>0.18099999999999999</v>
      </c>
      <c r="H536">
        <v>29</v>
      </c>
      <c r="I536">
        <v>0</v>
      </c>
    </row>
    <row r="537" spans="1:9" x14ac:dyDescent="0.3">
      <c r="A537">
        <v>1</v>
      </c>
      <c r="B537">
        <v>140</v>
      </c>
      <c r="C537">
        <v>74</v>
      </c>
      <c r="D537">
        <v>26</v>
      </c>
      <c r="E537">
        <v>180</v>
      </c>
      <c r="F537">
        <v>24.1</v>
      </c>
      <c r="G537">
        <v>0.82799999999999996</v>
      </c>
      <c r="H537">
        <v>23</v>
      </c>
      <c r="I537">
        <v>0</v>
      </c>
    </row>
    <row r="538" spans="1:9" x14ac:dyDescent="0.3">
      <c r="A538">
        <v>1</v>
      </c>
      <c r="B538">
        <v>144</v>
      </c>
      <c r="C538">
        <v>82</v>
      </c>
      <c r="D538">
        <v>46</v>
      </c>
      <c r="E538">
        <v>180</v>
      </c>
      <c r="F538">
        <v>46.1</v>
      </c>
      <c r="G538">
        <v>0.33500000000000002</v>
      </c>
      <c r="H538">
        <v>46</v>
      </c>
      <c r="I538">
        <v>1</v>
      </c>
    </row>
    <row r="539" spans="1:9" x14ac:dyDescent="0.3">
      <c r="A539">
        <v>8</v>
      </c>
      <c r="B539">
        <v>107</v>
      </c>
      <c r="C539">
        <v>80</v>
      </c>
      <c r="D539">
        <v>23</v>
      </c>
      <c r="E539">
        <v>30.5</v>
      </c>
      <c r="F539">
        <v>24.6</v>
      </c>
      <c r="G539">
        <v>0.85599999999999998</v>
      </c>
      <c r="H539">
        <v>34</v>
      </c>
      <c r="I539">
        <v>0</v>
      </c>
    </row>
    <row r="540" spans="1:9" x14ac:dyDescent="0.3">
      <c r="A540">
        <v>13</v>
      </c>
      <c r="B540">
        <v>158</v>
      </c>
      <c r="C540">
        <v>114</v>
      </c>
      <c r="D540">
        <v>23</v>
      </c>
      <c r="E540">
        <v>30.5</v>
      </c>
      <c r="F540">
        <v>42.3</v>
      </c>
      <c r="G540">
        <v>0.25700000000000001</v>
      </c>
      <c r="H540">
        <v>44</v>
      </c>
      <c r="I540">
        <v>1</v>
      </c>
    </row>
    <row r="541" spans="1:9" x14ac:dyDescent="0.3">
      <c r="A541">
        <v>2</v>
      </c>
      <c r="B541">
        <v>121</v>
      </c>
      <c r="C541">
        <v>70</v>
      </c>
      <c r="D541">
        <v>32</v>
      </c>
      <c r="E541">
        <v>95</v>
      </c>
      <c r="F541">
        <v>39.1</v>
      </c>
      <c r="G541">
        <v>0.88600000000000001</v>
      </c>
      <c r="H541">
        <v>23</v>
      </c>
      <c r="I541">
        <v>0</v>
      </c>
    </row>
    <row r="542" spans="1:9" x14ac:dyDescent="0.3">
      <c r="A542">
        <v>7</v>
      </c>
      <c r="B542">
        <v>129</v>
      </c>
      <c r="C542">
        <v>68</v>
      </c>
      <c r="D542">
        <v>49</v>
      </c>
      <c r="E542">
        <v>125</v>
      </c>
      <c r="F542">
        <v>38.5</v>
      </c>
      <c r="G542">
        <v>0.439</v>
      </c>
      <c r="H542">
        <v>43</v>
      </c>
      <c r="I542">
        <v>1</v>
      </c>
    </row>
    <row r="543" spans="1:9" x14ac:dyDescent="0.3">
      <c r="A543">
        <v>2</v>
      </c>
      <c r="B543">
        <v>90</v>
      </c>
      <c r="C543">
        <v>60</v>
      </c>
      <c r="D543">
        <v>23</v>
      </c>
      <c r="E543">
        <v>30.5</v>
      </c>
      <c r="F543">
        <v>23.5</v>
      </c>
      <c r="G543">
        <v>0.191</v>
      </c>
      <c r="H543">
        <v>25</v>
      </c>
      <c r="I543">
        <v>0</v>
      </c>
    </row>
    <row r="544" spans="1:9" x14ac:dyDescent="0.3">
      <c r="A544">
        <v>7</v>
      </c>
      <c r="B544">
        <v>142</v>
      </c>
      <c r="C544">
        <v>90</v>
      </c>
      <c r="D544">
        <v>24</v>
      </c>
      <c r="E544">
        <v>480</v>
      </c>
      <c r="F544">
        <v>30.4</v>
      </c>
      <c r="G544">
        <v>0.128</v>
      </c>
      <c r="H544">
        <v>43</v>
      </c>
      <c r="I544">
        <v>1</v>
      </c>
    </row>
    <row r="545" spans="1:9" x14ac:dyDescent="0.3">
      <c r="A545">
        <v>3</v>
      </c>
      <c r="B545">
        <v>169</v>
      </c>
      <c r="C545">
        <v>74</v>
      </c>
      <c r="D545">
        <v>19</v>
      </c>
      <c r="E545">
        <v>125</v>
      </c>
      <c r="F545">
        <v>29.9</v>
      </c>
      <c r="G545">
        <v>0.26800000000000002</v>
      </c>
      <c r="H545">
        <v>31</v>
      </c>
      <c r="I545">
        <v>1</v>
      </c>
    </row>
    <row r="546" spans="1:9" x14ac:dyDescent="0.3">
      <c r="A546">
        <v>0</v>
      </c>
      <c r="B546">
        <v>99</v>
      </c>
      <c r="C546">
        <v>72</v>
      </c>
      <c r="D546">
        <v>23</v>
      </c>
      <c r="E546">
        <v>30.5</v>
      </c>
      <c r="F546">
        <v>25</v>
      </c>
      <c r="G546">
        <v>0.253</v>
      </c>
      <c r="H546">
        <v>22</v>
      </c>
      <c r="I546">
        <v>0</v>
      </c>
    </row>
    <row r="547" spans="1:9" x14ac:dyDescent="0.3">
      <c r="A547">
        <v>4</v>
      </c>
      <c r="B547">
        <v>127</v>
      </c>
      <c r="C547">
        <v>88</v>
      </c>
      <c r="D547">
        <v>11</v>
      </c>
      <c r="E547">
        <v>155</v>
      </c>
      <c r="F547">
        <v>34.5</v>
      </c>
      <c r="G547">
        <v>0.59799999999999998</v>
      </c>
      <c r="H547">
        <v>28</v>
      </c>
      <c r="I547">
        <v>0</v>
      </c>
    </row>
    <row r="548" spans="1:9" x14ac:dyDescent="0.3">
      <c r="A548">
        <v>4</v>
      </c>
      <c r="B548">
        <v>118</v>
      </c>
      <c r="C548">
        <v>70</v>
      </c>
      <c r="D548">
        <v>23</v>
      </c>
      <c r="E548">
        <v>30.5</v>
      </c>
      <c r="F548">
        <v>44.5</v>
      </c>
      <c r="G548">
        <v>0.90400000000000003</v>
      </c>
      <c r="H548">
        <v>26</v>
      </c>
      <c r="I548">
        <v>0</v>
      </c>
    </row>
    <row r="549" spans="1:9" x14ac:dyDescent="0.3">
      <c r="A549">
        <v>2</v>
      </c>
      <c r="B549">
        <v>122</v>
      </c>
      <c r="C549">
        <v>76</v>
      </c>
      <c r="D549">
        <v>27</v>
      </c>
      <c r="E549">
        <v>200</v>
      </c>
      <c r="F549">
        <v>35.9</v>
      </c>
      <c r="G549">
        <v>0.48299999999999998</v>
      </c>
      <c r="H549">
        <v>26</v>
      </c>
      <c r="I549">
        <v>0</v>
      </c>
    </row>
    <row r="550" spans="1:9" x14ac:dyDescent="0.3">
      <c r="A550">
        <v>6</v>
      </c>
      <c r="B550">
        <v>125</v>
      </c>
      <c r="C550">
        <v>78</v>
      </c>
      <c r="D550">
        <v>31</v>
      </c>
      <c r="E550">
        <v>30.5</v>
      </c>
      <c r="F550">
        <v>27.6</v>
      </c>
      <c r="G550">
        <v>0.56499999999999995</v>
      </c>
      <c r="H550">
        <v>49</v>
      </c>
      <c r="I550">
        <v>1</v>
      </c>
    </row>
    <row r="551" spans="1:9" x14ac:dyDescent="0.3">
      <c r="A551">
        <v>1</v>
      </c>
      <c r="B551">
        <v>168</v>
      </c>
      <c r="C551">
        <v>88</v>
      </c>
      <c r="D551">
        <v>29</v>
      </c>
      <c r="E551">
        <v>30.5</v>
      </c>
      <c r="F551">
        <v>35</v>
      </c>
      <c r="G551">
        <v>0.90500000000000003</v>
      </c>
      <c r="H551">
        <v>52</v>
      </c>
      <c r="I551">
        <v>1</v>
      </c>
    </row>
    <row r="552" spans="1:9" x14ac:dyDescent="0.3">
      <c r="A552">
        <v>2</v>
      </c>
      <c r="B552">
        <v>129</v>
      </c>
      <c r="C552">
        <v>72</v>
      </c>
      <c r="D552">
        <v>23</v>
      </c>
      <c r="E552">
        <v>30.5</v>
      </c>
      <c r="F552">
        <v>38.5</v>
      </c>
      <c r="G552">
        <v>0.30399999999999999</v>
      </c>
      <c r="H552">
        <v>41</v>
      </c>
      <c r="I552">
        <v>0</v>
      </c>
    </row>
    <row r="553" spans="1:9" x14ac:dyDescent="0.3">
      <c r="A553">
        <v>4</v>
      </c>
      <c r="B553">
        <v>110</v>
      </c>
      <c r="C553">
        <v>76</v>
      </c>
      <c r="D553">
        <v>20</v>
      </c>
      <c r="E553">
        <v>100</v>
      </c>
      <c r="F553">
        <v>28.4</v>
      </c>
      <c r="G553">
        <v>0.11799999999999999</v>
      </c>
      <c r="H553">
        <v>27</v>
      </c>
      <c r="I553">
        <v>0</v>
      </c>
    </row>
    <row r="554" spans="1:9" x14ac:dyDescent="0.3">
      <c r="A554">
        <v>6</v>
      </c>
      <c r="B554">
        <v>80</v>
      </c>
      <c r="C554">
        <v>80</v>
      </c>
      <c r="D554">
        <v>36</v>
      </c>
      <c r="E554">
        <v>30.5</v>
      </c>
      <c r="F554">
        <v>39.799999999999997</v>
      </c>
      <c r="G554">
        <v>0.17699999999999999</v>
      </c>
      <c r="H554">
        <v>28</v>
      </c>
      <c r="I554">
        <v>0</v>
      </c>
    </row>
    <row r="555" spans="1:9" x14ac:dyDescent="0.3">
      <c r="A555">
        <v>10</v>
      </c>
      <c r="B555">
        <v>115</v>
      </c>
      <c r="C555">
        <v>72</v>
      </c>
      <c r="D555">
        <v>23</v>
      </c>
      <c r="E555">
        <v>30.5</v>
      </c>
      <c r="F555">
        <v>32</v>
      </c>
      <c r="G555">
        <v>0.26100000000000001</v>
      </c>
      <c r="H555">
        <v>30</v>
      </c>
      <c r="I555">
        <v>1</v>
      </c>
    </row>
    <row r="556" spans="1:9" x14ac:dyDescent="0.3">
      <c r="A556">
        <v>2</v>
      </c>
      <c r="B556">
        <v>127</v>
      </c>
      <c r="C556">
        <v>46</v>
      </c>
      <c r="D556">
        <v>21</v>
      </c>
      <c r="E556">
        <v>335</v>
      </c>
      <c r="F556">
        <v>34.4</v>
      </c>
      <c r="G556">
        <v>0.17599999999999999</v>
      </c>
      <c r="H556">
        <v>22</v>
      </c>
      <c r="I556">
        <v>0</v>
      </c>
    </row>
    <row r="557" spans="1:9" x14ac:dyDescent="0.3">
      <c r="A557">
        <v>9</v>
      </c>
      <c r="B557">
        <v>164</v>
      </c>
      <c r="C557">
        <v>78</v>
      </c>
      <c r="D557">
        <v>23</v>
      </c>
      <c r="E557">
        <v>30.5</v>
      </c>
      <c r="F557">
        <v>32.799999999999997</v>
      </c>
      <c r="G557">
        <v>0.14799999999999999</v>
      </c>
      <c r="H557">
        <v>45</v>
      </c>
      <c r="I557">
        <v>1</v>
      </c>
    </row>
    <row r="558" spans="1:9" x14ac:dyDescent="0.3">
      <c r="A558">
        <v>2</v>
      </c>
      <c r="B558">
        <v>93</v>
      </c>
      <c r="C558">
        <v>64</v>
      </c>
      <c r="D558">
        <v>32</v>
      </c>
      <c r="E558">
        <v>160</v>
      </c>
      <c r="F558">
        <v>38</v>
      </c>
      <c r="G558">
        <v>0.67400000000000004</v>
      </c>
      <c r="H558">
        <v>23</v>
      </c>
      <c r="I558">
        <v>1</v>
      </c>
    </row>
    <row r="559" spans="1:9" x14ac:dyDescent="0.3">
      <c r="A559">
        <v>3</v>
      </c>
      <c r="B559">
        <v>158</v>
      </c>
      <c r="C559">
        <v>64</v>
      </c>
      <c r="D559">
        <v>13</v>
      </c>
      <c r="E559">
        <v>387</v>
      </c>
      <c r="F559">
        <v>31.2</v>
      </c>
      <c r="G559">
        <v>0.29499999999999998</v>
      </c>
      <c r="H559">
        <v>24</v>
      </c>
      <c r="I559">
        <v>0</v>
      </c>
    </row>
    <row r="560" spans="1:9" x14ac:dyDescent="0.3">
      <c r="A560">
        <v>5</v>
      </c>
      <c r="B560">
        <v>126</v>
      </c>
      <c r="C560">
        <v>78</v>
      </c>
      <c r="D560">
        <v>27</v>
      </c>
      <c r="E560">
        <v>22</v>
      </c>
      <c r="F560">
        <v>29.6</v>
      </c>
      <c r="G560">
        <v>0.439</v>
      </c>
      <c r="H560">
        <v>40</v>
      </c>
      <c r="I560">
        <v>0</v>
      </c>
    </row>
    <row r="561" spans="1:9" x14ac:dyDescent="0.3">
      <c r="A561">
        <v>10</v>
      </c>
      <c r="B561">
        <v>129</v>
      </c>
      <c r="C561">
        <v>62</v>
      </c>
      <c r="D561">
        <v>36</v>
      </c>
      <c r="E561">
        <v>30.5</v>
      </c>
      <c r="F561">
        <v>41.2</v>
      </c>
      <c r="G561">
        <v>0.441</v>
      </c>
      <c r="H561">
        <v>38</v>
      </c>
      <c r="I561">
        <v>1</v>
      </c>
    </row>
    <row r="562" spans="1:9" x14ac:dyDescent="0.3">
      <c r="A562">
        <v>0</v>
      </c>
      <c r="B562">
        <v>134</v>
      </c>
      <c r="C562">
        <v>58</v>
      </c>
      <c r="D562">
        <v>20</v>
      </c>
      <c r="E562">
        <v>291</v>
      </c>
      <c r="F562">
        <v>26.4</v>
      </c>
      <c r="G562">
        <v>0.35199999999999998</v>
      </c>
      <c r="H562">
        <v>21</v>
      </c>
      <c r="I562">
        <v>0</v>
      </c>
    </row>
    <row r="563" spans="1:9" x14ac:dyDescent="0.3">
      <c r="A563">
        <v>3</v>
      </c>
      <c r="B563">
        <v>102</v>
      </c>
      <c r="C563">
        <v>74</v>
      </c>
      <c r="D563">
        <v>23</v>
      </c>
      <c r="E563">
        <v>30.5</v>
      </c>
      <c r="F563">
        <v>29.5</v>
      </c>
      <c r="G563">
        <v>0.121</v>
      </c>
      <c r="H563">
        <v>32</v>
      </c>
      <c r="I563">
        <v>0</v>
      </c>
    </row>
    <row r="564" spans="1:9" x14ac:dyDescent="0.3">
      <c r="A564">
        <v>7</v>
      </c>
      <c r="B564">
        <v>187</v>
      </c>
      <c r="C564">
        <v>50</v>
      </c>
      <c r="D564">
        <v>33</v>
      </c>
      <c r="E564">
        <v>392</v>
      </c>
      <c r="F564">
        <v>33.9</v>
      </c>
      <c r="G564">
        <v>0.82599999999999996</v>
      </c>
      <c r="H564">
        <v>34</v>
      </c>
      <c r="I564">
        <v>1</v>
      </c>
    </row>
    <row r="565" spans="1:9" x14ac:dyDescent="0.3">
      <c r="A565">
        <v>3</v>
      </c>
      <c r="B565">
        <v>173</v>
      </c>
      <c r="C565">
        <v>78</v>
      </c>
      <c r="D565">
        <v>39</v>
      </c>
      <c r="E565">
        <v>185</v>
      </c>
      <c r="F565">
        <v>33.799999999999997</v>
      </c>
      <c r="G565">
        <v>0.97</v>
      </c>
      <c r="H565">
        <v>31</v>
      </c>
      <c r="I565">
        <v>1</v>
      </c>
    </row>
    <row r="566" spans="1:9" x14ac:dyDescent="0.3">
      <c r="A566">
        <v>10</v>
      </c>
      <c r="B566">
        <v>94</v>
      </c>
      <c r="C566">
        <v>72</v>
      </c>
      <c r="D566">
        <v>18</v>
      </c>
      <c r="E566">
        <v>30.5</v>
      </c>
      <c r="F566">
        <v>23.1</v>
      </c>
      <c r="G566">
        <v>0.59499999999999997</v>
      </c>
      <c r="H566">
        <v>56</v>
      </c>
      <c r="I566">
        <v>0</v>
      </c>
    </row>
    <row r="567" spans="1:9" x14ac:dyDescent="0.3">
      <c r="A567">
        <v>1</v>
      </c>
      <c r="B567">
        <v>108</v>
      </c>
      <c r="C567">
        <v>60</v>
      </c>
      <c r="D567">
        <v>46</v>
      </c>
      <c r="E567">
        <v>178</v>
      </c>
      <c r="F567">
        <v>35.5</v>
      </c>
      <c r="G567">
        <v>0.41499999999999998</v>
      </c>
      <c r="H567">
        <v>24</v>
      </c>
      <c r="I567">
        <v>0</v>
      </c>
    </row>
    <row r="568" spans="1:9" x14ac:dyDescent="0.3">
      <c r="A568">
        <v>5</v>
      </c>
      <c r="B568">
        <v>97</v>
      </c>
      <c r="C568">
        <v>76</v>
      </c>
      <c r="D568">
        <v>27</v>
      </c>
      <c r="E568">
        <v>30.5</v>
      </c>
      <c r="F568">
        <v>35.6</v>
      </c>
      <c r="G568">
        <v>0.378</v>
      </c>
      <c r="H568">
        <v>52</v>
      </c>
      <c r="I568">
        <v>1</v>
      </c>
    </row>
    <row r="569" spans="1:9" x14ac:dyDescent="0.3">
      <c r="A569">
        <v>4</v>
      </c>
      <c r="B569">
        <v>83</v>
      </c>
      <c r="C569">
        <v>86</v>
      </c>
      <c r="D569">
        <v>19</v>
      </c>
      <c r="E569">
        <v>30.5</v>
      </c>
      <c r="F569">
        <v>29.3</v>
      </c>
      <c r="G569">
        <v>0.317</v>
      </c>
      <c r="H569">
        <v>34</v>
      </c>
      <c r="I569">
        <v>0</v>
      </c>
    </row>
    <row r="570" spans="1:9" x14ac:dyDescent="0.3">
      <c r="A570">
        <v>1</v>
      </c>
      <c r="B570">
        <v>114</v>
      </c>
      <c r="C570">
        <v>66</v>
      </c>
      <c r="D570">
        <v>36</v>
      </c>
      <c r="E570">
        <v>200</v>
      </c>
      <c r="F570">
        <v>38.1</v>
      </c>
      <c r="G570">
        <v>0.28899999999999998</v>
      </c>
      <c r="H570">
        <v>21</v>
      </c>
      <c r="I570">
        <v>0</v>
      </c>
    </row>
    <row r="571" spans="1:9" x14ac:dyDescent="0.3">
      <c r="A571">
        <v>1</v>
      </c>
      <c r="B571">
        <v>149</v>
      </c>
      <c r="C571">
        <v>68</v>
      </c>
      <c r="D571">
        <v>29</v>
      </c>
      <c r="E571">
        <v>127</v>
      </c>
      <c r="F571">
        <v>29.3</v>
      </c>
      <c r="G571">
        <v>0.34899999999999998</v>
      </c>
      <c r="H571">
        <v>42</v>
      </c>
      <c r="I571">
        <v>1</v>
      </c>
    </row>
    <row r="572" spans="1:9" x14ac:dyDescent="0.3">
      <c r="A572">
        <v>5</v>
      </c>
      <c r="B572">
        <v>117</v>
      </c>
      <c r="C572">
        <v>86</v>
      </c>
      <c r="D572">
        <v>30</v>
      </c>
      <c r="E572">
        <v>105</v>
      </c>
      <c r="F572">
        <v>39.1</v>
      </c>
      <c r="G572">
        <v>0.251</v>
      </c>
      <c r="H572">
        <v>42</v>
      </c>
      <c r="I572">
        <v>0</v>
      </c>
    </row>
    <row r="573" spans="1:9" x14ac:dyDescent="0.3">
      <c r="A573">
        <v>1</v>
      </c>
      <c r="B573">
        <v>111</v>
      </c>
      <c r="C573">
        <v>94</v>
      </c>
      <c r="D573">
        <v>23</v>
      </c>
      <c r="E573">
        <v>30.5</v>
      </c>
      <c r="F573">
        <v>32.799999999999997</v>
      </c>
      <c r="G573">
        <v>0.26500000000000001</v>
      </c>
      <c r="H573">
        <v>45</v>
      </c>
      <c r="I573">
        <v>0</v>
      </c>
    </row>
    <row r="574" spans="1:9" x14ac:dyDescent="0.3">
      <c r="A574">
        <v>4</v>
      </c>
      <c r="B574">
        <v>112</v>
      </c>
      <c r="C574">
        <v>78</v>
      </c>
      <c r="D574">
        <v>40</v>
      </c>
      <c r="E574">
        <v>30.5</v>
      </c>
      <c r="F574">
        <v>39.4</v>
      </c>
      <c r="G574">
        <v>0.23599999999999999</v>
      </c>
      <c r="H574">
        <v>38</v>
      </c>
      <c r="I574">
        <v>0</v>
      </c>
    </row>
    <row r="575" spans="1:9" x14ac:dyDescent="0.3">
      <c r="A575">
        <v>1</v>
      </c>
      <c r="B575">
        <v>116</v>
      </c>
      <c r="C575">
        <v>78</v>
      </c>
      <c r="D575">
        <v>29</v>
      </c>
      <c r="E575">
        <v>180</v>
      </c>
      <c r="F575">
        <v>36.1</v>
      </c>
      <c r="G575">
        <v>0.496</v>
      </c>
      <c r="H575">
        <v>25</v>
      </c>
      <c r="I575">
        <v>0</v>
      </c>
    </row>
    <row r="576" spans="1:9" x14ac:dyDescent="0.3">
      <c r="A576">
        <v>0</v>
      </c>
      <c r="B576">
        <v>141</v>
      </c>
      <c r="C576">
        <v>84</v>
      </c>
      <c r="D576">
        <v>26</v>
      </c>
      <c r="E576">
        <v>30.5</v>
      </c>
      <c r="F576">
        <v>32.4</v>
      </c>
      <c r="G576">
        <v>0.433</v>
      </c>
      <c r="H576">
        <v>22</v>
      </c>
      <c r="I576">
        <v>0</v>
      </c>
    </row>
    <row r="577" spans="1:9" x14ac:dyDescent="0.3">
      <c r="A577">
        <v>2</v>
      </c>
      <c r="B577">
        <v>175</v>
      </c>
      <c r="C577">
        <v>88</v>
      </c>
      <c r="D577">
        <v>23</v>
      </c>
      <c r="E577">
        <v>30.5</v>
      </c>
      <c r="F577">
        <v>22.9</v>
      </c>
      <c r="G577">
        <v>0.32600000000000001</v>
      </c>
      <c r="H577">
        <v>22</v>
      </c>
      <c r="I577">
        <v>0</v>
      </c>
    </row>
    <row r="578" spans="1:9" x14ac:dyDescent="0.3">
      <c r="A578">
        <v>2</v>
      </c>
      <c r="B578">
        <v>92</v>
      </c>
      <c r="C578">
        <v>52</v>
      </c>
      <c r="D578">
        <v>23</v>
      </c>
      <c r="E578">
        <v>30.5</v>
      </c>
      <c r="F578">
        <v>30.1</v>
      </c>
      <c r="G578">
        <v>0.14099999999999999</v>
      </c>
      <c r="H578">
        <v>22</v>
      </c>
      <c r="I578">
        <v>0</v>
      </c>
    </row>
    <row r="579" spans="1:9" x14ac:dyDescent="0.3">
      <c r="A579">
        <v>3</v>
      </c>
      <c r="B579">
        <v>130</v>
      </c>
      <c r="C579">
        <v>78</v>
      </c>
      <c r="D579">
        <v>23</v>
      </c>
      <c r="E579">
        <v>79</v>
      </c>
      <c r="F579">
        <v>28.4</v>
      </c>
      <c r="G579">
        <v>0.32300000000000001</v>
      </c>
      <c r="H579">
        <v>34</v>
      </c>
      <c r="I579">
        <v>1</v>
      </c>
    </row>
    <row r="580" spans="1:9" x14ac:dyDescent="0.3">
      <c r="A580">
        <v>8</v>
      </c>
      <c r="B580">
        <v>120</v>
      </c>
      <c r="C580">
        <v>86</v>
      </c>
      <c r="D580">
        <v>23</v>
      </c>
      <c r="E580">
        <v>30.5</v>
      </c>
      <c r="F580">
        <v>28.4</v>
      </c>
      <c r="G580">
        <v>0.25900000000000001</v>
      </c>
      <c r="H580">
        <v>22</v>
      </c>
      <c r="I580">
        <v>1</v>
      </c>
    </row>
    <row r="581" spans="1:9" x14ac:dyDescent="0.3">
      <c r="A581">
        <v>2</v>
      </c>
      <c r="B581">
        <v>174</v>
      </c>
      <c r="C581">
        <v>88</v>
      </c>
      <c r="D581">
        <v>37</v>
      </c>
      <c r="E581">
        <v>120</v>
      </c>
      <c r="F581">
        <v>44.5</v>
      </c>
      <c r="G581">
        <v>0.64600000000000002</v>
      </c>
      <c r="H581">
        <v>24</v>
      </c>
      <c r="I581">
        <v>1</v>
      </c>
    </row>
    <row r="582" spans="1:9" x14ac:dyDescent="0.3">
      <c r="A582">
        <v>2</v>
      </c>
      <c r="B582">
        <v>106</v>
      </c>
      <c r="C582">
        <v>56</v>
      </c>
      <c r="D582">
        <v>27</v>
      </c>
      <c r="E582">
        <v>165</v>
      </c>
      <c r="F582">
        <v>29</v>
      </c>
      <c r="G582">
        <v>0.42599999999999999</v>
      </c>
      <c r="H582">
        <v>22</v>
      </c>
      <c r="I582">
        <v>0</v>
      </c>
    </row>
    <row r="583" spans="1:9" x14ac:dyDescent="0.3">
      <c r="A583">
        <v>2</v>
      </c>
      <c r="B583">
        <v>105</v>
      </c>
      <c r="C583">
        <v>75</v>
      </c>
      <c r="D583">
        <v>23</v>
      </c>
      <c r="E583">
        <v>30.5</v>
      </c>
      <c r="F583">
        <v>23.3</v>
      </c>
      <c r="G583">
        <v>0.56000000000000005</v>
      </c>
      <c r="H583">
        <v>53</v>
      </c>
      <c r="I583">
        <v>0</v>
      </c>
    </row>
    <row r="584" spans="1:9" x14ac:dyDescent="0.3">
      <c r="A584">
        <v>4</v>
      </c>
      <c r="B584">
        <v>95</v>
      </c>
      <c r="C584">
        <v>60</v>
      </c>
      <c r="D584">
        <v>32</v>
      </c>
      <c r="E584">
        <v>30.5</v>
      </c>
      <c r="F584">
        <v>35.4</v>
      </c>
      <c r="G584">
        <v>0.28399999999999997</v>
      </c>
      <c r="H584">
        <v>28</v>
      </c>
      <c r="I584">
        <v>0</v>
      </c>
    </row>
    <row r="585" spans="1:9" x14ac:dyDescent="0.3">
      <c r="A585">
        <v>0</v>
      </c>
      <c r="B585">
        <v>126</v>
      </c>
      <c r="C585">
        <v>86</v>
      </c>
      <c r="D585">
        <v>27</v>
      </c>
      <c r="E585">
        <v>120</v>
      </c>
      <c r="F585">
        <v>27.4</v>
      </c>
      <c r="G585">
        <v>0.51500000000000001</v>
      </c>
      <c r="H585">
        <v>21</v>
      </c>
      <c r="I585">
        <v>0</v>
      </c>
    </row>
    <row r="586" spans="1:9" x14ac:dyDescent="0.3">
      <c r="A586">
        <v>8</v>
      </c>
      <c r="B586">
        <v>65</v>
      </c>
      <c r="C586">
        <v>72</v>
      </c>
      <c r="D586">
        <v>23</v>
      </c>
      <c r="E586">
        <v>30.5</v>
      </c>
      <c r="F586">
        <v>32</v>
      </c>
      <c r="G586">
        <v>0.6</v>
      </c>
      <c r="H586">
        <v>42</v>
      </c>
      <c r="I586">
        <v>0</v>
      </c>
    </row>
    <row r="587" spans="1:9" x14ac:dyDescent="0.3">
      <c r="A587">
        <v>2</v>
      </c>
      <c r="B587">
        <v>99</v>
      </c>
      <c r="C587">
        <v>60</v>
      </c>
      <c r="D587">
        <v>17</v>
      </c>
      <c r="E587">
        <v>160</v>
      </c>
      <c r="F587">
        <v>36.6</v>
      </c>
      <c r="G587">
        <v>0.45300000000000001</v>
      </c>
      <c r="H587">
        <v>21</v>
      </c>
      <c r="I587">
        <v>0</v>
      </c>
    </row>
    <row r="588" spans="1:9" x14ac:dyDescent="0.3">
      <c r="A588">
        <v>1</v>
      </c>
      <c r="B588">
        <v>102</v>
      </c>
      <c r="C588">
        <v>74</v>
      </c>
      <c r="D588">
        <v>23</v>
      </c>
      <c r="E588">
        <v>30.5</v>
      </c>
      <c r="F588">
        <v>39.5</v>
      </c>
      <c r="G588">
        <v>0.29299999999999998</v>
      </c>
      <c r="H588">
        <v>42</v>
      </c>
      <c r="I588">
        <v>1</v>
      </c>
    </row>
    <row r="589" spans="1:9" x14ac:dyDescent="0.3">
      <c r="A589">
        <v>11</v>
      </c>
      <c r="B589">
        <v>120</v>
      </c>
      <c r="C589">
        <v>80</v>
      </c>
      <c r="D589">
        <v>37</v>
      </c>
      <c r="E589">
        <v>150</v>
      </c>
      <c r="F589">
        <v>42.3</v>
      </c>
      <c r="G589">
        <v>0.78500000000000003</v>
      </c>
      <c r="H589">
        <v>48</v>
      </c>
      <c r="I589">
        <v>1</v>
      </c>
    </row>
    <row r="590" spans="1:9" x14ac:dyDescent="0.3">
      <c r="A590">
        <v>3</v>
      </c>
      <c r="B590">
        <v>102</v>
      </c>
      <c r="C590">
        <v>44</v>
      </c>
      <c r="D590">
        <v>20</v>
      </c>
      <c r="E590">
        <v>94</v>
      </c>
      <c r="F590">
        <v>30.8</v>
      </c>
      <c r="G590">
        <v>0.4</v>
      </c>
      <c r="H590">
        <v>26</v>
      </c>
      <c r="I590">
        <v>0</v>
      </c>
    </row>
    <row r="591" spans="1:9" x14ac:dyDescent="0.3">
      <c r="A591">
        <v>1</v>
      </c>
      <c r="B591">
        <v>109</v>
      </c>
      <c r="C591">
        <v>58</v>
      </c>
      <c r="D591">
        <v>18</v>
      </c>
      <c r="E591">
        <v>116</v>
      </c>
      <c r="F591">
        <v>28.5</v>
      </c>
      <c r="G591">
        <v>0.219</v>
      </c>
      <c r="H591">
        <v>22</v>
      </c>
      <c r="I591">
        <v>0</v>
      </c>
    </row>
    <row r="592" spans="1:9" x14ac:dyDescent="0.3">
      <c r="A592">
        <v>9</v>
      </c>
      <c r="B592">
        <v>140</v>
      </c>
      <c r="C592">
        <v>94</v>
      </c>
      <c r="D592">
        <v>23</v>
      </c>
      <c r="E592">
        <v>30.5</v>
      </c>
      <c r="F592">
        <v>32.700000000000003</v>
      </c>
      <c r="G592">
        <v>0.73399999999999999</v>
      </c>
      <c r="H592">
        <v>45</v>
      </c>
      <c r="I592">
        <v>1</v>
      </c>
    </row>
    <row r="593" spans="1:9" x14ac:dyDescent="0.3">
      <c r="A593">
        <v>13</v>
      </c>
      <c r="B593">
        <v>153</v>
      </c>
      <c r="C593">
        <v>88</v>
      </c>
      <c r="D593">
        <v>37</v>
      </c>
      <c r="E593">
        <v>140</v>
      </c>
      <c r="F593">
        <v>40.6</v>
      </c>
      <c r="G593">
        <v>1.1739999999999999</v>
      </c>
      <c r="H593">
        <v>39</v>
      </c>
      <c r="I593">
        <v>0</v>
      </c>
    </row>
    <row r="594" spans="1:9" x14ac:dyDescent="0.3">
      <c r="A594">
        <v>12</v>
      </c>
      <c r="B594">
        <v>100</v>
      </c>
      <c r="C594">
        <v>84</v>
      </c>
      <c r="D594">
        <v>33</v>
      </c>
      <c r="E594">
        <v>105</v>
      </c>
      <c r="F594">
        <v>30</v>
      </c>
      <c r="G594">
        <v>0.48799999999999999</v>
      </c>
      <c r="H594">
        <v>46</v>
      </c>
      <c r="I594">
        <v>0</v>
      </c>
    </row>
    <row r="595" spans="1:9" x14ac:dyDescent="0.3">
      <c r="A595">
        <v>1</v>
      </c>
      <c r="B595">
        <v>147</v>
      </c>
      <c r="C595">
        <v>94</v>
      </c>
      <c r="D595">
        <v>41</v>
      </c>
      <c r="E595">
        <v>30.5</v>
      </c>
      <c r="F595">
        <v>49.3</v>
      </c>
      <c r="G595">
        <v>0.35799999999999998</v>
      </c>
      <c r="H595">
        <v>27</v>
      </c>
      <c r="I595">
        <v>1</v>
      </c>
    </row>
    <row r="596" spans="1:9" x14ac:dyDescent="0.3">
      <c r="A596">
        <v>1</v>
      </c>
      <c r="B596">
        <v>81</v>
      </c>
      <c r="C596">
        <v>74</v>
      </c>
      <c r="D596">
        <v>41</v>
      </c>
      <c r="E596">
        <v>57</v>
      </c>
      <c r="F596">
        <v>46.3</v>
      </c>
      <c r="G596">
        <v>1.0960000000000001</v>
      </c>
      <c r="H596">
        <v>32</v>
      </c>
      <c r="I596">
        <v>0</v>
      </c>
    </row>
    <row r="597" spans="1:9" x14ac:dyDescent="0.3">
      <c r="A597">
        <v>3</v>
      </c>
      <c r="B597">
        <v>187</v>
      </c>
      <c r="C597">
        <v>70</v>
      </c>
      <c r="D597">
        <v>22</v>
      </c>
      <c r="E597">
        <v>200</v>
      </c>
      <c r="F597">
        <v>36.4</v>
      </c>
      <c r="G597">
        <v>0.40799999999999997</v>
      </c>
      <c r="H597">
        <v>36</v>
      </c>
      <c r="I597">
        <v>1</v>
      </c>
    </row>
    <row r="598" spans="1:9" x14ac:dyDescent="0.3">
      <c r="A598">
        <v>6</v>
      </c>
      <c r="B598">
        <v>162</v>
      </c>
      <c r="C598">
        <v>62</v>
      </c>
      <c r="D598">
        <v>23</v>
      </c>
      <c r="E598">
        <v>30.5</v>
      </c>
      <c r="F598">
        <v>24.3</v>
      </c>
      <c r="G598">
        <v>0.17799999999999999</v>
      </c>
      <c r="H598">
        <v>50</v>
      </c>
      <c r="I598">
        <v>1</v>
      </c>
    </row>
    <row r="599" spans="1:9" x14ac:dyDescent="0.3">
      <c r="A599">
        <v>4</v>
      </c>
      <c r="B599">
        <v>136</v>
      </c>
      <c r="C599">
        <v>70</v>
      </c>
      <c r="D599">
        <v>23</v>
      </c>
      <c r="E599">
        <v>30.5</v>
      </c>
      <c r="F599">
        <v>31.2</v>
      </c>
      <c r="G599">
        <v>1.1819999999999999</v>
      </c>
      <c r="H599">
        <v>22</v>
      </c>
      <c r="I599">
        <v>1</v>
      </c>
    </row>
    <row r="600" spans="1:9" x14ac:dyDescent="0.3">
      <c r="A600">
        <v>1</v>
      </c>
      <c r="B600">
        <v>121</v>
      </c>
      <c r="C600">
        <v>78</v>
      </c>
      <c r="D600">
        <v>39</v>
      </c>
      <c r="E600">
        <v>74</v>
      </c>
      <c r="F600">
        <v>39</v>
      </c>
      <c r="G600">
        <v>0.26100000000000001</v>
      </c>
      <c r="H600">
        <v>28</v>
      </c>
      <c r="I600">
        <v>0</v>
      </c>
    </row>
    <row r="601" spans="1:9" x14ac:dyDescent="0.3">
      <c r="A601">
        <v>3</v>
      </c>
      <c r="B601">
        <v>108</v>
      </c>
      <c r="C601">
        <v>62</v>
      </c>
      <c r="D601">
        <v>24</v>
      </c>
      <c r="E601">
        <v>30.5</v>
      </c>
      <c r="F601">
        <v>26</v>
      </c>
      <c r="G601">
        <v>0.223</v>
      </c>
      <c r="H601">
        <v>25</v>
      </c>
      <c r="I601">
        <v>0</v>
      </c>
    </row>
    <row r="602" spans="1:9" x14ac:dyDescent="0.3">
      <c r="A602">
        <v>0</v>
      </c>
      <c r="B602">
        <v>181</v>
      </c>
      <c r="C602">
        <v>88</v>
      </c>
      <c r="D602">
        <v>44</v>
      </c>
      <c r="E602">
        <v>510</v>
      </c>
      <c r="F602">
        <v>43.3</v>
      </c>
      <c r="G602">
        <v>0.222</v>
      </c>
      <c r="H602">
        <v>26</v>
      </c>
      <c r="I602">
        <v>1</v>
      </c>
    </row>
    <row r="603" spans="1:9" x14ac:dyDescent="0.3">
      <c r="A603">
        <v>8</v>
      </c>
      <c r="B603">
        <v>154</v>
      </c>
      <c r="C603">
        <v>78</v>
      </c>
      <c r="D603">
        <v>32</v>
      </c>
      <c r="E603">
        <v>30.5</v>
      </c>
      <c r="F603">
        <v>32.4</v>
      </c>
      <c r="G603">
        <v>0.443</v>
      </c>
      <c r="H603">
        <v>45</v>
      </c>
      <c r="I603">
        <v>1</v>
      </c>
    </row>
    <row r="604" spans="1:9" x14ac:dyDescent="0.3">
      <c r="A604">
        <v>1</v>
      </c>
      <c r="B604">
        <v>128</v>
      </c>
      <c r="C604">
        <v>88</v>
      </c>
      <c r="D604">
        <v>39</v>
      </c>
      <c r="E604">
        <v>110</v>
      </c>
      <c r="F604">
        <v>36.5</v>
      </c>
      <c r="G604">
        <v>1.0569999999999999</v>
      </c>
      <c r="H604">
        <v>37</v>
      </c>
      <c r="I604">
        <v>1</v>
      </c>
    </row>
    <row r="605" spans="1:9" x14ac:dyDescent="0.3">
      <c r="A605">
        <v>7</v>
      </c>
      <c r="B605">
        <v>137</v>
      </c>
      <c r="C605">
        <v>90</v>
      </c>
      <c r="D605">
        <v>41</v>
      </c>
      <c r="E605">
        <v>30.5</v>
      </c>
      <c r="F605">
        <v>32</v>
      </c>
      <c r="G605">
        <v>0.39100000000000001</v>
      </c>
      <c r="H605">
        <v>39</v>
      </c>
      <c r="I605">
        <v>0</v>
      </c>
    </row>
    <row r="606" spans="1:9" x14ac:dyDescent="0.3">
      <c r="A606">
        <v>0</v>
      </c>
      <c r="B606">
        <v>123</v>
      </c>
      <c r="C606">
        <v>72</v>
      </c>
      <c r="D606">
        <v>23</v>
      </c>
      <c r="E606">
        <v>30.5</v>
      </c>
      <c r="F606">
        <v>36.299999999999997</v>
      </c>
      <c r="G606">
        <v>0.25800000000000001</v>
      </c>
      <c r="H606">
        <v>52</v>
      </c>
      <c r="I606">
        <v>1</v>
      </c>
    </row>
    <row r="607" spans="1:9" x14ac:dyDescent="0.3">
      <c r="A607">
        <v>1</v>
      </c>
      <c r="B607">
        <v>106</v>
      </c>
      <c r="C607">
        <v>76</v>
      </c>
      <c r="D607">
        <v>23</v>
      </c>
      <c r="E607">
        <v>30.5</v>
      </c>
      <c r="F607">
        <v>37.5</v>
      </c>
      <c r="G607">
        <v>0.19700000000000001</v>
      </c>
      <c r="H607">
        <v>26</v>
      </c>
      <c r="I607">
        <v>0</v>
      </c>
    </row>
    <row r="608" spans="1:9" x14ac:dyDescent="0.3">
      <c r="A608">
        <v>6</v>
      </c>
      <c r="B608">
        <v>190</v>
      </c>
      <c r="C608">
        <v>92</v>
      </c>
      <c r="D608">
        <v>23</v>
      </c>
      <c r="E608">
        <v>30.5</v>
      </c>
      <c r="F608">
        <v>35.5</v>
      </c>
      <c r="G608">
        <v>0.27800000000000002</v>
      </c>
      <c r="H608">
        <v>66</v>
      </c>
      <c r="I608">
        <v>1</v>
      </c>
    </row>
    <row r="609" spans="1:9" x14ac:dyDescent="0.3">
      <c r="A609">
        <v>2</v>
      </c>
      <c r="B609">
        <v>88</v>
      </c>
      <c r="C609">
        <v>58</v>
      </c>
      <c r="D609">
        <v>26</v>
      </c>
      <c r="E609">
        <v>16</v>
      </c>
      <c r="F609">
        <v>28.4</v>
      </c>
      <c r="G609">
        <v>0.76600000000000001</v>
      </c>
      <c r="H609">
        <v>22</v>
      </c>
      <c r="I609">
        <v>0</v>
      </c>
    </row>
    <row r="610" spans="1:9" x14ac:dyDescent="0.3">
      <c r="A610">
        <v>9</v>
      </c>
      <c r="B610">
        <v>170</v>
      </c>
      <c r="C610">
        <v>74</v>
      </c>
      <c r="D610">
        <v>31</v>
      </c>
      <c r="E610">
        <v>30.5</v>
      </c>
      <c r="F610">
        <v>44</v>
      </c>
      <c r="G610">
        <v>0.40300000000000002</v>
      </c>
      <c r="H610">
        <v>43</v>
      </c>
      <c r="I610">
        <v>1</v>
      </c>
    </row>
    <row r="611" spans="1:9" x14ac:dyDescent="0.3">
      <c r="A611">
        <v>9</v>
      </c>
      <c r="B611">
        <v>89</v>
      </c>
      <c r="C611">
        <v>62</v>
      </c>
      <c r="D611">
        <v>23</v>
      </c>
      <c r="E611">
        <v>30.5</v>
      </c>
      <c r="F611">
        <v>22.5</v>
      </c>
      <c r="G611">
        <v>0.14199999999999999</v>
      </c>
      <c r="H611">
        <v>33</v>
      </c>
      <c r="I611">
        <v>0</v>
      </c>
    </row>
    <row r="612" spans="1:9" x14ac:dyDescent="0.3">
      <c r="A612">
        <v>10</v>
      </c>
      <c r="B612">
        <v>101</v>
      </c>
      <c r="C612">
        <v>76</v>
      </c>
      <c r="D612">
        <v>48</v>
      </c>
      <c r="E612">
        <v>180</v>
      </c>
      <c r="F612">
        <v>32.9</v>
      </c>
      <c r="G612">
        <v>0.17100000000000001</v>
      </c>
      <c r="H612">
        <v>63</v>
      </c>
      <c r="I612">
        <v>0</v>
      </c>
    </row>
    <row r="613" spans="1:9" x14ac:dyDescent="0.3">
      <c r="A613">
        <v>2</v>
      </c>
      <c r="B613">
        <v>122</v>
      </c>
      <c r="C613">
        <v>70</v>
      </c>
      <c r="D613">
        <v>27</v>
      </c>
      <c r="E613">
        <v>30.5</v>
      </c>
      <c r="F613">
        <v>36.799999999999997</v>
      </c>
      <c r="G613">
        <v>0.34</v>
      </c>
      <c r="H613">
        <v>27</v>
      </c>
      <c r="I613">
        <v>0</v>
      </c>
    </row>
    <row r="614" spans="1:9" x14ac:dyDescent="0.3">
      <c r="A614">
        <v>5</v>
      </c>
      <c r="B614">
        <v>121</v>
      </c>
      <c r="C614">
        <v>72</v>
      </c>
      <c r="D614">
        <v>23</v>
      </c>
      <c r="E614">
        <v>112</v>
      </c>
      <c r="F614">
        <v>26.2</v>
      </c>
      <c r="G614">
        <v>0.245</v>
      </c>
      <c r="H614">
        <v>30</v>
      </c>
      <c r="I614">
        <v>0</v>
      </c>
    </row>
    <row r="615" spans="1:9" x14ac:dyDescent="0.3">
      <c r="A615">
        <v>1</v>
      </c>
      <c r="B615">
        <v>126</v>
      </c>
      <c r="C615">
        <v>60</v>
      </c>
      <c r="D615">
        <v>23</v>
      </c>
      <c r="E615">
        <v>30.5</v>
      </c>
      <c r="F615">
        <v>30.1</v>
      </c>
      <c r="G615">
        <v>0.34899999999999998</v>
      </c>
      <c r="H615">
        <v>47</v>
      </c>
      <c r="I615">
        <v>1</v>
      </c>
    </row>
    <row r="616" spans="1:9" x14ac:dyDescent="0.3">
      <c r="A616">
        <v>1</v>
      </c>
      <c r="B616">
        <v>93</v>
      </c>
      <c r="C616">
        <v>70</v>
      </c>
      <c r="D616">
        <v>31</v>
      </c>
      <c r="E616">
        <v>30.5</v>
      </c>
      <c r="F616">
        <v>30.4</v>
      </c>
      <c r="G616">
        <v>0.315</v>
      </c>
      <c r="H616">
        <v>23</v>
      </c>
      <c r="I616">
        <v>0</v>
      </c>
    </row>
  </sheetData>
  <mergeCells count="4">
    <mergeCell ref="M1:M1048576"/>
    <mergeCell ref="J1:J1048576"/>
    <mergeCell ref="N1:V1"/>
    <mergeCell ref="N6:V6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8D5CE-D972-4328-975C-2A8F0282EEAB}">
  <dimension ref="A1:AI154"/>
  <sheetViews>
    <sheetView tabSelected="1" topLeftCell="S1" zoomScale="74" zoomScaleNormal="74" workbookViewId="0">
      <selection activeCell="AG3" sqref="AG3"/>
    </sheetView>
  </sheetViews>
  <sheetFormatPr defaultRowHeight="14.4" x14ac:dyDescent="0.3"/>
  <cols>
    <col min="7" max="9" width="9" bestFit="1" customWidth="1"/>
    <col min="11" max="12" width="12.5546875" bestFit="1" customWidth="1"/>
    <col min="13" max="14" width="13.21875" bestFit="1" customWidth="1"/>
    <col min="15" max="16" width="19.21875" bestFit="1" customWidth="1"/>
    <col min="17" max="17" width="18.77734375" bestFit="1" customWidth="1"/>
    <col min="18" max="18" width="9" bestFit="1" customWidth="1"/>
    <col min="19" max="20" width="12.6640625" bestFit="1" customWidth="1"/>
    <col min="21" max="22" width="9" bestFit="1" customWidth="1"/>
    <col min="23" max="24" width="12.6640625" bestFit="1" customWidth="1"/>
    <col min="25" max="26" width="9" bestFit="1" customWidth="1"/>
    <col min="27" max="28" width="12.6640625" bestFit="1" customWidth="1"/>
    <col min="29" max="29" width="9" bestFit="1" customWidth="1"/>
    <col min="34" max="34" width="11.1093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9" t="s">
        <v>50</v>
      </c>
      <c r="AG1" s="1" t="s">
        <v>51</v>
      </c>
      <c r="AH1" s="30" t="s">
        <v>52</v>
      </c>
      <c r="AI1" s="30"/>
    </row>
    <row r="2" spans="1:35" x14ac:dyDescent="0.3">
      <c r="A2">
        <v>6</v>
      </c>
      <c r="B2">
        <v>148</v>
      </c>
      <c r="C2">
        <v>72</v>
      </c>
      <c r="D2">
        <v>35</v>
      </c>
      <c r="E2">
        <v>30.5</v>
      </c>
      <c r="F2">
        <v>33.6</v>
      </c>
      <c r="G2">
        <v>0.627</v>
      </c>
      <c r="H2">
        <v>50</v>
      </c>
      <c r="I2">
        <v>1</v>
      </c>
      <c r="K2">
        <f>(1/(SQRT(2*PI())*TRAINING!$O$8))*EXP(-((A2-TRAINING!$O$3)^2)/(2*(TRAINING!$O$8^2)))</f>
        <v>8.6503679874208927E-2</v>
      </c>
      <c r="L2">
        <f>(1/(SQRT(2*PI())*TRAINING!$O$9))*EXP(-((A2-TRAINING!$O$4)^2)/(2*(TRAINING!$O$9^2)))</f>
        <v>0.10224520417214994</v>
      </c>
      <c r="M2">
        <f>(1/(SQRT(2*PI())*TRAINING!$P$8))*EXP(-((B2-TRAINING!$P$3)^2)/(2*(TRAINING!$P$8^2)))</f>
        <v>5.3308937599296754E-3</v>
      </c>
      <c r="N2">
        <f>(1/(SQRT(2*PI())*TRAINING!$P$9))*EXP(-((B2-TRAINING!$P$4)^2)/(2*(TRAINING!$P$9^2)))</f>
        <v>1.3504205954466195E-2</v>
      </c>
      <c r="O2">
        <f>(1/(SQRT(2*PI())*TRAINING!$Q$8))*EXP(-((C2-TRAINING!$Q$3)^2)/(2*(TRAINING!$Q$8^2)))</f>
        <v>3.4215224205554493E-2</v>
      </c>
      <c r="P2">
        <f>(1/(SQRT(2*PI())*TRAINING!$Q$9))*EXP(-((C2-TRAINING!$Q$4)^2)/(2*(TRAINING!$Q$9^2)))</f>
        <v>3.3852206664402869E-2</v>
      </c>
      <c r="Q2">
        <f>(1/(SQRT(2*PI())*TRAINING!$R$8))*EXP(-((D2-TRAINING!$R$3)^2)/(2*(TRAINING!$R$8^2)))</f>
        <v>2.718189188440388E-2</v>
      </c>
      <c r="R2">
        <f>(1/(SQRT(2*PI())*TRAINING!$R$9))*EXP(-((D2-TRAINING!$R$4)^2)/(2*(TRAINING!$R$9^2)))</f>
        <v>3.507068932058819E-2</v>
      </c>
      <c r="S2">
        <f>(1/(SQRT(2*PI())*TRAINING!$S$8))*EXP(-((E2-TRAINING!$S$3)^2)/(2*(TRAINING!$S$8^2)))</f>
        <v>3.5657055057560366E-3</v>
      </c>
      <c r="T2">
        <f>(1/(SQRT(2*PI())*TRAINING!$S$9))*EXP(-((E2-TRAINING!$S$4)^2)/(2*(TRAINING!$S$9^2)))</f>
        <v>2.5951511419773543E-3</v>
      </c>
      <c r="U2">
        <f>(1/(SQRT(2*PI())*TRAINING!$T$8))*EXP(-((F2-TRAINING!$T$3)^2)/(2*(TRAINING!$T$8^2)))</f>
        <v>5.6331203158446357E-2</v>
      </c>
      <c r="V2">
        <f>(1/(SQRT(2*PI())*TRAINING!$T$9))*EXP(-((F2-TRAINING!$T$4)^2)/(2*(TRAINING!$T$9^2)))</f>
        <v>5.8648348825005574E-2</v>
      </c>
      <c r="W2">
        <f>(1/(SQRT(2*PI())*TRAINING!$U$8))*EXP(-((G2-TRAINING!$U$3)^2)/(2*(TRAINING!$U$8^2)))</f>
        <v>1.0778963230321146</v>
      </c>
      <c r="X2">
        <f>(1/(SQRT(2*PI())*TRAINING!$U$9))*EXP(-((G2-TRAINING!$U$4)^2)/(2*(TRAINING!$U$9^2)))</f>
        <v>1.0819027760253683</v>
      </c>
      <c r="Y2">
        <f>(1/(SQRT(2*PI())*TRAINING!$V$8))*EXP(-((H2-TRAINING!$V$3)^2)/(2*(TRAINING!$V$8^2)))</f>
        <v>9.748197685035806E-3</v>
      </c>
      <c r="Z2">
        <f>(1/(SQRT(2*PI())*TRAINING!$V$9))*EXP(-((H2-TRAINING!$V$4)^2)/(2*(TRAINING!$V$9^2)))</f>
        <v>1.7262638883770522E-2</v>
      </c>
      <c r="AA2">
        <f>PRODUCT(K2,M2,O2,Q2,S2,U2,W2,Y2)*TRAINING!$L$2</f>
        <v>5.9019938838902801E-13</v>
      </c>
      <c r="AB2">
        <f>PRODUCT(L2,N2,P2,R2,T2,V2,X2,Z2)*TRAINING!$L$3</f>
        <v>1.584295062264283E-12</v>
      </c>
      <c r="AC2">
        <f>IF(AB2&gt;AA2,1,0)</f>
        <v>1</v>
      </c>
      <c r="AD2">
        <f>IF(I2=AC2,1,0)</f>
        <v>1</v>
      </c>
      <c r="AE2" s="14">
        <f>AVERAGE(AD2:AD154)*100</f>
        <v>75.16339869281046</v>
      </c>
      <c r="AF2" s="19"/>
      <c r="AG2" t="str">
        <f>IF(AND(AC2=1,I2=1),"TP",IF(AND(AC2=0,I2=0),"TN",IF(AND(AC2=1,I2=0),"FP","FN")))</f>
        <v>TP</v>
      </c>
      <c r="AH2" s="4" t="s">
        <v>56</v>
      </c>
      <c r="AI2" s="4">
        <v>31</v>
      </c>
    </row>
    <row r="3" spans="1:35" x14ac:dyDescent="0.3">
      <c r="A3">
        <v>1</v>
      </c>
      <c r="B3">
        <v>85</v>
      </c>
      <c r="C3">
        <v>66</v>
      </c>
      <c r="D3">
        <v>29</v>
      </c>
      <c r="E3">
        <v>30.5</v>
      </c>
      <c r="F3">
        <v>26.6</v>
      </c>
      <c r="G3">
        <v>0.35099999999999998</v>
      </c>
      <c r="H3">
        <v>31</v>
      </c>
      <c r="I3">
        <v>0</v>
      </c>
      <c r="K3">
        <f>(1/(SQRT(2*PI())*TRAINING!$O$8))*EXP(-((A3-TRAINING!$O$3)^2)/(2*(TRAINING!$O$8^2)))</f>
        <v>0.10069314833313707</v>
      </c>
      <c r="L3">
        <f>(1/(SQRT(2*PI())*TRAINING!$O$9))*EXP(-((A3-TRAINING!$O$4)^2)/(2*(TRAINING!$O$9^2)))</f>
        <v>6.3165200316397857E-2</v>
      </c>
      <c r="M3">
        <f>(1/(SQRT(2*PI())*TRAINING!$P$8))*EXP(-((B3-TRAINING!$P$3)^2)/(2*(TRAINING!$P$8^2)))</f>
        <v>9.1788136053396092E-3</v>
      </c>
      <c r="N3">
        <f>(1/(SQRT(2*PI())*TRAINING!$P$9))*EXP(-((B3-TRAINING!$P$4)^2)/(2*(TRAINING!$P$9^2)))</f>
        <v>1.8471802364025524E-3</v>
      </c>
      <c r="O3">
        <f>(1/(SQRT(2*PI())*TRAINING!$Q$8))*EXP(-((C3-TRAINING!$Q$3)^2)/(2*(TRAINING!$Q$8^2)))</f>
        <v>3.1219956230797655E-2</v>
      </c>
      <c r="P3">
        <f>(1/(SQRT(2*PI())*TRAINING!$Q$9))*EXP(-((C3-TRAINING!$Q$4)^2)/(2*(TRAINING!$Q$9^2)))</f>
        <v>2.5033349599780073E-2</v>
      </c>
      <c r="Q3">
        <f>(1/(SQRT(2*PI())*TRAINING!$R$8))*EXP(-((D3-TRAINING!$R$3)^2)/(2*(TRAINING!$R$8^2)))</f>
        <v>4.3024675549764052E-2</v>
      </c>
      <c r="R3">
        <f>(1/(SQRT(2*PI())*TRAINING!$R$9))*EXP(-((D3-TRAINING!$R$4)^2)/(2*(TRAINING!$R$9^2)))</f>
        <v>4.0314921765277678E-2</v>
      </c>
      <c r="S3">
        <f>(1/(SQRT(2*PI())*TRAINING!$S$8))*EXP(-((E3-TRAINING!$S$3)^2)/(2*(TRAINING!$S$8^2)))</f>
        <v>3.5657055057560366E-3</v>
      </c>
      <c r="T3">
        <f>(1/(SQRT(2*PI())*TRAINING!$S$9))*EXP(-((E3-TRAINING!$S$4)^2)/(2*(TRAINING!$S$9^2)))</f>
        <v>2.5951511419773543E-3</v>
      </c>
      <c r="U3">
        <f>(1/(SQRT(2*PI())*TRAINING!$T$8))*EXP(-((F3-TRAINING!$T$3)^2)/(2*(TRAINING!$T$8^2)))</f>
        <v>4.8860608238382792E-2</v>
      </c>
      <c r="V3">
        <f>(1/(SQRT(2*PI())*TRAINING!$T$9))*EXP(-((F3-TRAINING!$T$4)^2)/(2*(TRAINING!$T$9^2)))</f>
        <v>2.5228031620371412E-2</v>
      </c>
      <c r="W3">
        <f>(1/(SQRT(2*PI())*TRAINING!$U$8))*EXP(-((G3-TRAINING!$U$3)^2)/(2*(TRAINING!$U$8^2)))</f>
        <v>1.2755407369739926</v>
      </c>
      <c r="X3">
        <f>(1/(SQRT(2*PI())*TRAINING!$U$9))*EXP(-((G3-TRAINING!$U$4)^2)/(2*(TRAINING!$U$9^2)))</f>
        <v>0.94917963577116193</v>
      </c>
      <c r="Y3">
        <f>(1/(SQRT(2*PI())*TRAINING!$V$8))*EXP(-((H3-TRAINING!$V$3)^2)/(2*(TRAINING!$V$8^2)))</f>
        <v>3.3596431738612473E-2</v>
      </c>
      <c r="Z3">
        <f>(1/(SQRT(2*PI())*TRAINING!$V$9))*EXP(-((H3-TRAINING!$V$4)^2)/(2*(TRAINING!$V$9^2)))</f>
        <v>3.1979114216098517E-2</v>
      </c>
      <c r="AA3">
        <f>PRODUCT(K3,M3,O3,Q3,S3,U3,W3,Y3)*TRAINING!$L$2</f>
        <v>6.0436241622279016E-12</v>
      </c>
      <c r="AB3">
        <f>PRODUCT(L3,N3,P3,R3,T3,V3,X3,Z3)*TRAINING!$L$3</f>
        <v>7.9563104202005695E-14</v>
      </c>
      <c r="AC3">
        <f t="shared" ref="AC3:AC66" si="0">IF(AB3&gt;AA3,1,0)</f>
        <v>0</v>
      </c>
      <c r="AD3">
        <f t="shared" ref="AD3:AD66" si="1">IF(I3=AC3,1,0)</f>
        <v>1</v>
      </c>
      <c r="AF3" s="19"/>
      <c r="AG3" t="str">
        <f t="shared" ref="AG3:AG66" si="2">IF(AND(AC3=1,I3=1),"TP",IF(AND(AC3=0,I3=0),"TN",IF(AND(AC3=1,I3=0),"FP","FN")))</f>
        <v>TN</v>
      </c>
      <c r="AH3" s="4" t="s">
        <v>53</v>
      </c>
      <c r="AI3" s="4">
        <f>COUNTIFS($I$2:$I$154,0,$AC$2:$AC$154,0)</f>
        <v>84</v>
      </c>
    </row>
    <row r="4" spans="1:35" x14ac:dyDescent="0.3">
      <c r="A4">
        <v>8</v>
      </c>
      <c r="B4">
        <v>183</v>
      </c>
      <c r="C4">
        <v>64</v>
      </c>
      <c r="D4">
        <v>23</v>
      </c>
      <c r="E4">
        <v>30.5</v>
      </c>
      <c r="F4">
        <v>23.3</v>
      </c>
      <c r="G4">
        <v>0.67200000000000004</v>
      </c>
      <c r="H4">
        <v>32</v>
      </c>
      <c r="I4">
        <v>1</v>
      </c>
      <c r="K4">
        <f>(1/(SQRT(2*PI())*TRAINING!$O$8))*EXP(-((A4-TRAINING!$O$3)^2)/(2*(TRAINING!$O$8^2)))</f>
        <v>3.7889114375245843E-2</v>
      </c>
      <c r="L4">
        <f>(1/(SQRT(2*PI())*TRAINING!$O$9))*EXP(-((A4-TRAINING!$O$4)^2)/(2*(TRAINING!$O$9^2)))</f>
        <v>7.4585525924131008E-2</v>
      </c>
      <c r="M4">
        <f>(1/(SQRT(2*PI())*TRAINING!$P$8))*EXP(-((B4-TRAINING!$P$3)^2)/(2*(TRAINING!$P$8^2)))</f>
        <v>2.3498740281939232E-4</v>
      </c>
      <c r="N4">
        <f>(1/(SQRT(2*PI())*TRAINING!$P$9))*EXP(-((B4-TRAINING!$P$4)^2)/(2*(TRAINING!$P$9^2)))</f>
        <v>5.4360897126718996E-3</v>
      </c>
      <c r="O4">
        <f>(1/(SQRT(2*PI())*TRAINING!$Q$8))*EXP(-((C4-TRAINING!$Q$3)^2)/(2*(TRAINING!$Q$8^2)))</f>
        <v>2.8539543720520966E-2</v>
      </c>
      <c r="P4">
        <f>(1/(SQRT(2*PI())*TRAINING!$Q$9))*EXP(-((C4-TRAINING!$Q$4)^2)/(2*(TRAINING!$Q$9^2)))</f>
        <v>2.125454560902645E-2</v>
      </c>
      <c r="Q4">
        <f>(1/(SQRT(2*PI())*TRAINING!$R$8))*EXP(-((D4-TRAINING!$R$3)^2)/(2*(TRAINING!$R$8^2)))</f>
        <v>4.2691938231656991E-2</v>
      </c>
      <c r="R4">
        <f>(1/(SQRT(2*PI())*TRAINING!$R$9))*EXP(-((D4-TRAINING!$R$4)^2)/(2*(TRAINING!$R$9^2)))</f>
        <v>3.202065801833482E-2</v>
      </c>
      <c r="S4">
        <f>(1/(SQRT(2*PI())*TRAINING!$S$8))*EXP(-((E4-TRAINING!$S$3)^2)/(2*(TRAINING!$S$8^2)))</f>
        <v>3.5657055057560366E-3</v>
      </c>
      <c r="T4">
        <f>(1/(SQRT(2*PI())*TRAINING!$S$9))*EXP(-((E4-TRAINING!$S$4)^2)/(2*(TRAINING!$S$9^2)))</f>
        <v>2.5951511419773543E-3</v>
      </c>
      <c r="U4">
        <f>(1/(SQRT(2*PI())*TRAINING!$T$8))*EXP(-((F4-TRAINING!$T$3)^2)/(2*(TRAINING!$T$8^2)))</f>
        <v>3.066658864212711E-2</v>
      </c>
      <c r="V4">
        <f>(1/(SQRT(2*PI())*TRAINING!$T$9))*EXP(-((F4-TRAINING!$T$4)^2)/(2*(TRAINING!$T$9^2)))</f>
        <v>1.1441300564811808E-2</v>
      </c>
      <c r="W4">
        <f>(1/(SQRT(2*PI())*TRAINING!$U$8))*EXP(-((G4-TRAINING!$U$3)^2)/(2*(TRAINING!$U$8^2)))</f>
        <v>0.96846049498508113</v>
      </c>
      <c r="X4">
        <f>(1/(SQRT(2*PI())*TRAINING!$U$9))*EXP(-((G4-TRAINING!$U$4)^2)/(2*(TRAINING!$U$9^2)))</f>
        <v>1.0455112364180368</v>
      </c>
      <c r="Y4">
        <f>(1/(SQRT(2*PI())*TRAINING!$V$8))*EXP(-((H4-TRAINING!$V$3)^2)/(2*(TRAINING!$V$8^2)))</f>
        <v>3.3554537230317136E-2</v>
      </c>
      <c r="Z4">
        <f>(1/(SQRT(2*PI())*TRAINING!$V$9))*EXP(-((H4-TRAINING!$V$4)^2)/(2*(TRAINING!$V$9^2)))</f>
        <v>3.3382195020896732E-2</v>
      </c>
      <c r="AA4">
        <f>PRODUCT(K4,M4,O4,Q4,S4,U4,W4,Y4)*TRAINING!$L$2</f>
        <v>2.5134213099056918E-14</v>
      </c>
      <c r="AB4">
        <f>PRODUCT(L4,N4,P4,R4,T4,V4,X4,Z4)*TRAINING!$L$3</f>
        <v>9.7226311844750155E-14</v>
      </c>
      <c r="AC4">
        <f t="shared" si="0"/>
        <v>1</v>
      </c>
      <c r="AD4">
        <f t="shared" si="1"/>
        <v>1</v>
      </c>
      <c r="AF4" s="19"/>
      <c r="AG4" t="str">
        <f t="shared" si="2"/>
        <v>TP</v>
      </c>
      <c r="AH4" s="4" t="s">
        <v>54</v>
      </c>
      <c r="AI4" s="4">
        <f>COUNTIFS($I$2:$I$154,0,$AC$2:$AC$154,1)</f>
        <v>15</v>
      </c>
    </row>
    <row r="5" spans="1:35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  <c r="K5">
        <f>(1/(SQRT(2*PI())*TRAINING!$O$8))*EXP(-((A5-TRAINING!$O$3)^2)/(2*(TRAINING!$O$8^2)))</f>
        <v>0.10069314833313707</v>
      </c>
      <c r="L5">
        <f>(1/(SQRT(2*PI())*TRAINING!$O$9))*EXP(-((A5-TRAINING!$O$4)^2)/(2*(TRAINING!$O$9^2)))</f>
        <v>6.3165200316397857E-2</v>
      </c>
      <c r="M5">
        <f>(1/(SQRT(2*PI())*TRAINING!$P$8))*EXP(-((B5-TRAINING!$P$3)^2)/(2*(TRAINING!$P$8^2)))</f>
        <v>1.0766264308832943E-2</v>
      </c>
      <c r="N5">
        <f>(1/(SQRT(2*PI())*TRAINING!$P$9))*EXP(-((B5-TRAINING!$P$4)^2)/(2*(TRAINING!$P$9^2)))</f>
        <v>2.4075702003301517E-3</v>
      </c>
      <c r="O5">
        <f>(1/(SQRT(2*PI())*TRAINING!$Q$8))*EXP(-((C5-TRAINING!$Q$3)^2)/(2*(TRAINING!$Q$8^2)))</f>
        <v>3.1219956230797655E-2</v>
      </c>
      <c r="P5">
        <f>(1/(SQRT(2*PI())*TRAINING!$Q$9))*EXP(-((C5-TRAINING!$Q$4)^2)/(2*(TRAINING!$Q$9^2)))</f>
        <v>2.5033349599780073E-2</v>
      </c>
      <c r="Q5">
        <f>(1/(SQRT(2*PI())*TRAINING!$R$8))*EXP(-((D5-TRAINING!$R$3)^2)/(2*(TRAINING!$R$8^2)))</f>
        <v>4.2691938231656991E-2</v>
      </c>
      <c r="R5">
        <f>(1/(SQRT(2*PI())*TRAINING!$R$9))*EXP(-((D5-TRAINING!$R$4)^2)/(2*(TRAINING!$R$9^2)))</f>
        <v>3.202065801833482E-2</v>
      </c>
      <c r="S5">
        <f>(1/(SQRT(2*PI())*TRAINING!$S$8))*EXP(-((E5-TRAINING!$S$3)^2)/(2*(TRAINING!$S$8^2)))</f>
        <v>4.2392671051683485E-3</v>
      </c>
      <c r="T5">
        <f>(1/(SQRT(2*PI())*TRAINING!$S$9))*EXP(-((E5-TRAINING!$S$4)^2)/(2*(TRAINING!$S$9^2)))</f>
        <v>3.2479092811894201E-3</v>
      </c>
      <c r="U5">
        <f>(1/(SQRT(2*PI())*TRAINING!$T$8))*EXP(-((F5-TRAINING!$T$3)^2)/(2*(TRAINING!$T$8^2)))</f>
        <v>5.5491907650163277E-2</v>
      </c>
      <c r="V5">
        <f>(1/(SQRT(2*PI())*TRAINING!$T$9))*EXP(-((F5-TRAINING!$T$4)^2)/(2*(TRAINING!$T$9^2)))</f>
        <v>3.3252265846845999E-2</v>
      </c>
      <c r="W5">
        <f>(1/(SQRT(2*PI())*TRAINING!$U$8))*EXP(-((G5-TRAINING!$U$3)^2)/(2*(TRAINING!$U$8^2)))</f>
        <v>0.8950665734441563</v>
      </c>
      <c r="X5">
        <f>(1/(SQRT(2*PI())*TRAINING!$U$9))*EXP(-((G5-TRAINING!$U$4)^2)/(2*(TRAINING!$U$9^2)))</f>
        <v>0.62818052053032269</v>
      </c>
      <c r="Y5">
        <f>(1/(SQRT(2*PI())*TRAINING!$V$8))*EXP(-((H5-TRAINING!$V$3)^2)/(2*(TRAINING!$V$8^2)))</f>
        <v>2.3024268373034226E-2</v>
      </c>
      <c r="Z5">
        <f>(1/(SQRT(2*PI())*TRAINING!$V$9))*EXP(-((H5-TRAINING!$V$4)^2)/(2*(TRAINING!$V$9^2)))</f>
        <v>1.3130994726231127E-2</v>
      </c>
      <c r="AA5">
        <f>PRODUCT(K5,M5,O5,Q5,S5,U5,W5,Y5)*TRAINING!$L$2</f>
        <v>4.5674519782310388E-12</v>
      </c>
      <c r="AB5">
        <f>PRODUCT(L5,N5,P5,R5,T5,V5,X5,Z5)*TRAINING!$L$3</f>
        <v>3.692259334004403E-14</v>
      </c>
      <c r="AC5">
        <f t="shared" si="0"/>
        <v>0</v>
      </c>
      <c r="AD5">
        <f t="shared" si="1"/>
        <v>1</v>
      </c>
      <c r="AF5" s="19"/>
      <c r="AG5" t="str">
        <f t="shared" si="2"/>
        <v>TN</v>
      </c>
      <c r="AH5" s="4" t="s">
        <v>55</v>
      </c>
      <c r="AI5" s="4">
        <v>23</v>
      </c>
    </row>
    <row r="6" spans="1:35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  <c r="K6">
        <f>(1/(SQRT(2*PI())*TRAINING!$O$8))*EXP(-((A6-TRAINING!$O$3)^2)/(2*(TRAINING!$O$8^2)))</f>
        <v>7.4791087346963395E-2</v>
      </c>
      <c r="L6">
        <f>(1/(SQRT(2*PI())*TRAINING!$O$9))*EXP(-((A6-TRAINING!$O$4)^2)/(2*(TRAINING!$O$9^2)))</f>
        <v>4.6140116319387747E-2</v>
      </c>
      <c r="M6">
        <f>(1/(SQRT(2*PI())*TRAINING!$P$8))*EXP(-((B6-TRAINING!$P$3)^2)/(2*(TRAINING!$P$8^2)))</f>
        <v>9.3806228289489875E-3</v>
      </c>
      <c r="N6">
        <f>(1/(SQRT(2*PI())*TRAINING!$P$9))*EXP(-((B6-TRAINING!$P$4)^2)/(2*(TRAINING!$P$9^2)))</f>
        <v>1.335254338070632E-2</v>
      </c>
      <c r="O6">
        <f>(1/(SQRT(2*PI())*TRAINING!$Q$8))*EXP(-((C6-TRAINING!$Q$3)^2)/(2*(TRAINING!$Q$8^2)))</f>
        <v>9.6478567635312131E-4</v>
      </c>
      <c r="P6">
        <f>(1/(SQRT(2*PI())*TRAINING!$Q$9))*EXP(-((C6-TRAINING!$Q$4)^2)/(2*(TRAINING!$Q$9^2)))</f>
        <v>2.5521838124180991E-4</v>
      </c>
      <c r="Q6">
        <f>(1/(SQRT(2*PI())*TRAINING!$R$8))*EXP(-((D6-TRAINING!$R$3)^2)/(2*(TRAINING!$R$8^2)))</f>
        <v>2.718189188440388E-2</v>
      </c>
      <c r="R6">
        <f>(1/(SQRT(2*PI())*TRAINING!$R$9))*EXP(-((D6-TRAINING!$R$4)^2)/(2*(TRAINING!$R$9^2)))</f>
        <v>3.507068932058819E-2</v>
      </c>
      <c r="S6">
        <f>(1/(SQRT(2*PI())*TRAINING!$S$8))*EXP(-((E6-TRAINING!$S$3)^2)/(2*(TRAINING!$S$8^2)))</f>
        <v>2.9083629613299244E-3</v>
      </c>
      <c r="T6">
        <f>(1/(SQRT(2*PI())*TRAINING!$S$9))*EXP(-((E6-TRAINING!$S$4)^2)/(2*(TRAINING!$S$9^2)))</f>
        <v>2.9827764667513332E-3</v>
      </c>
      <c r="U6">
        <f>(1/(SQRT(2*PI())*TRAINING!$T$8))*EXP(-((F6-TRAINING!$T$3)^2)/(2*(TRAINING!$T$8^2)))</f>
        <v>1.0865166436361384E-2</v>
      </c>
      <c r="V6">
        <f>(1/(SQRT(2*PI())*TRAINING!$T$9))*EXP(-((F6-TRAINING!$T$4)^2)/(2*(TRAINING!$T$9^2)))</f>
        <v>3.0082573610055719E-2</v>
      </c>
      <c r="W6">
        <f>(1/(SQRT(2*PI())*TRAINING!$U$8))*EXP(-((G6-TRAINING!$U$3)^2)/(2*(TRAINING!$U$8^2)))</f>
        <v>7.7961196025720181E-9</v>
      </c>
      <c r="X6">
        <f>(1/(SQRT(2*PI())*TRAINING!$U$9))*EXP(-((G6-TRAINING!$U$4)^2)/(2*(TRAINING!$U$9^2)))</f>
        <v>1.0056272244135974E-5</v>
      </c>
      <c r="Y6">
        <f>(1/(SQRT(2*PI())*TRAINING!$V$8))*EXP(-((H6-TRAINING!$V$3)^2)/(2*(TRAINING!$V$8^2)))</f>
        <v>3.3275689020108933E-2</v>
      </c>
      <c r="Z6">
        <f>(1/(SQRT(2*PI())*TRAINING!$V$9))*EXP(-((H6-TRAINING!$V$4)^2)/(2*(TRAINING!$V$9^2)))</f>
        <v>3.4556158331369637E-2</v>
      </c>
      <c r="AA6">
        <f>PRODUCT(K6,M6,O6,Q6,S6,U6,W6,Y6)*TRAINING!$L$2</f>
        <v>9.8344900432614044E-23</v>
      </c>
      <c r="AB6">
        <f>PRODUCT(L6,N6,P6,R6,T6,V6,X6,Z6)*TRAINING!$L$3</f>
        <v>5.8462317191748101E-20</v>
      </c>
      <c r="AC6">
        <f t="shared" si="0"/>
        <v>1</v>
      </c>
      <c r="AD6">
        <f t="shared" si="1"/>
        <v>1</v>
      </c>
      <c r="AF6" s="19"/>
      <c r="AG6" t="str">
        <f t="shared" si="2"/>
        <v>TP</v>
      </c>
      <c r="AI6" s="17">
        <f>AI2+AI3+AI4+AI5</f>
        <v>153</v>
      </c>
    </row>
    <row r="7" spans="1:35" x14ac:dyDescent="0.3">
      <c r="A7">
        <v>5</v>
      </c>
      <c r="B7">
        <v>116</v>
      </c>
      <c r="C7">
        <v>74</v>
      </c>
      <c r="D7">
        <v>23</v>
      </c>
      <c r="E7">
        <v>30.5</v>
      </c>
      <c r="F7">
        <v>25.6</v>
      </c>
      <c r="G7">
        <v>0.20100000000000001</v>
      </c>
      <c r="H7">
        <v>30</v>
      </c>
      <c r="I7">
        <v>0</v>
      </c>
      <c r="K7">
        <f>(1/(SQRT(2*PI())*TRAINING!$O$8))*EXP(-((A7-TRAINING!$O$3)^2)/(2*(TRAINING!$O$8^2)))</f>
        <v>0.11094891947307506</v>
      </c>
      <c r="L7">
        <f>(1/(SQRT(2*PI())*TRAINING!$O$9))*EXP(-((A7-TRAINING!$O$4)^2)/(2*(TRAINING!$O$9^2)))</f>
        <v>0.1073628550745119</v>
      </c>
      <c r="M7">
        <f>(1/(SQRT(2*PI())*TRAINING!$P$8))*EXP(-((B7-TRAINING!$P$3)^2)/(2*(TRAINING!$P$8^2)))</f>
        <v>1.5880026207301268E-2</v>
      </c>
      <c r="N7">
        <f>(1/(SQRT(2*PI())*TRAINING!$P$9))*EXP(-((B7-TRAINING!$P$4)^2)/(2*(TRAINING!$P$9^2)))</f>
        <v>8.8052129728476338E-3</v>
      </c>
      <c r="O7">
        <f>(1/(SQRT(2*PI())*TRAINING!$Q$8))*EXP(-((C7-TRAINING!$Q$3)^2)/(2*(TRAINING!$Q$8^2)))</f>
        <v>3.3247489640615996E-2</v>
      </c>
      <c r="P7">
        <f>(1/(SQRT(2*PI())*TRAINING!$Q$9))*EXP(-((C7-TRAINING!$Q$4)^2)/(2*(TRAINING!$Q$9^2)))</f>
        <v>3.5147830490959445E-2</v>
      </c>
      <c r="Q7">
        <f>(1/(SQRT(2*PI())*TRAINING!$R$8))*EXP(-((D7-TRAINING!$R$3)^2)/(2*(TRAINING!$R$8^2)))</f>
        <v>4.2691938231656991E-2</v>
      </c>
      <c r="R7">
        <f>(1/(SQRT(2*PI())*TRAINING!$R$9))*EXP(-((D7-TRAINING!$R$4)^2)/(2*(TRAINING!$R$9^2)))</f>
        <v>3.202065801833482E-2</v>
      </c>
      <c r="S7">
        <f>(1/(SQRT(2*PI())*TRAINING!$S$8))*EXP(-((E7-TRAINING!$S$3)^2)/(2*(TRAINING!$S$8^2)))</f>
        <v>3.5657055057560366E-3</v>
      </c>
      <c r="T7">
        <f>(1/(SQRT(2*PI())*TRAINING!$S$9))*EXP(-((E7-TRAINING!$S$4)^2)/(2*(TRAINING!$S$9^2)))</f>
        <v>2.5951511419773543E-3</v>
      </c>
      <c r="U7">
        <f>(1/(SQRT(2*PI())*TRAINING!$T$8))*EXP(-((F7-TRAINING!$T$3)^2)/(2*(TRAINING!$T$8^2)))</f>
        <v>4.3588839169286388E-2</v>
      </c>
      <c r="V7">
        <f>(1/(SQRT(2*PI())*TRAINING!$T$9))*EXP(-((F7-TRAINING!$T$4)^2)/(2*(TRAINING!$T$9^2)))</f>
        <v>2.038780107771208E-2</v>
      </c>
      <c r="W7">
        <f>(1/(SQRT(2*PI())*TRAINING!$U$8))*EXP(-((G7-TRAINING!$U$3)^2)/(2*(TRAINING!$U$8^2)))</f>
        <v>0.98285362053422087</v>
      </c>
      <c r="X7">
        <f>(1/(SQRT(2*PI())*TRAINING!$U$9))*EXP(-((G7-TRAINING!$U$4)^2)/(2*(TRAINING!$U$9^2)))</f>
        <v>0.69139724763561528</v>
      </c>
      <c r="Y7">
        <f>(1/(SQRT(2*PI())*TRAINING!$V$8))*EXP(-((H7-TRAINING!$V$3)^2)/(2*(TRAINING!$V$8^2)))</f>
        <v>3.3400483760251447E-2</v>
      </c>
      <c r="Z7">
        <f>(1/(SQRT(2*PI())*TRAINING!$V$9))*EXP(-((H7-TRAINING!$V$4)^2)/(2*(TRAINING!$V$9^2)))</f>
        <v>3.0379461798111088E-2</v>
      </c>
      <c r="AA7">
        <f>PRODUCT(K7,M7,O7,Q7,S7,U7,W7,Y7)*TRAINING!$L$2</f>
        <v>8.3197572381077832E-12</v>
      </c>
      <c r="AB7">
        <f>PRODUCT(L7,N7,P7,R7,T7,V7,X7,Z7)*TRAINING!$L$3</f>
        <v>4.0201510876363203E-13</v>
      </c>
      <c r="AC7">
        <f t="shared" si="0"/>
        <v>0</v>
      </c>
      <c r="AD7">
        <f t="shared" si="1"/>
        <v>1</v>
      </c>
      <c r="AF7" s="19"/>
      <c r="AG7" t="str">
        <f t="shared" si="2"/>
        <v>TN</v>
      </c>
      <c r="AH7" s="30" t="s">
        <v>61</v>
      </c>
      <c r="AI7" s="30"/>
    </row>
    <row r="8" spans="1:35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K8">
        <f>(1/(SQRT(2*PI())*TRAINING!$O$8))*EXP(-((A8-TRAINING!$O$3)^2)/(2*(TRAINING!$O$8^2)))</f>
        <v>0.13150943904653345</v>
      </c>
      <c r="L8">
        <f>(1/(SQRT(2*PI())*TRAINING!$O$9))*EXP(-((A8-TRAINING!$O$4)^2)/(2*(TRAINING!$O$9^2)))</f>
        <v>9.5216033172430034E-2</v>
      </c>
      <c r="M8">
        <f>(1/(SQRT(2*PI())*TRAINING!$P$8))*EXP(-((B8-TRAINING!$P$3)^2)/(2*(TRAINING!$P$8^2)))</f>
        <v>6.5171394696729593E-3</v>
      </c>
      <c r="N8">
        <f>(1/(SQRT(2*PI())*TRAINING!$P$9))*EXP(-((B8-TRAINING!$P$4)^2)/(2*(TRAINING!$P$9^2)))</f>
        <v>1.1104291956232537E-3</v>
      </c>
      <c r="O8">
        <f>(1/(SQRT(2*PI())*TRAINING!$Q$8))*EXP(-((C8-TRAINING!$Q$3)^2)/(2*(TRAINING!$Q$8^2)))</f>
        <v>6.6439997690656187E-3</v>
      </c>
      <c r="P8">
        <f>(1/(SQRT(2*PI())*TRAINING!$Q$9))*EXP(-((C8-TRAINING!$Q$4)^2)/(2*(TRAINING!$Q$9^2)))</f>
        <v>2.7970011666003701E-3</v>
      </c>
      <c r="Q8">
        <f>(1/(SQRT(2*PI())*TRAINING!$R$8))*EXP(-((D8-TRAINING!$R$3)^2)/(2*(TRAINING!$R$8^2)))</f>
        <v>3.6253492357915126E-2</v>
      </c>
      <c r="R8">
        <f>(1/(SQRT(2*PI())*TRAINING!$R$9))*EXP(-((D8-TRAINING!$R$4)^2)/(2*(TRAINING!$R$9^2)))</f>
        <v>3.937990805069122E-2</v>
      </c>
      <c r="S8">
        <f>(1/(SQRT(2*PI())*TRAINING!$S$8))*EXP(-((E8-TRAINING!$S$3)^2)/(2*(TRAINING!$S$8^2)))</f>
        <v>4.2531257864379451E-3</v>
      </c>
      <c r="T8">
        <f>(1/(SQRT(2*PI())*TRAINING!$S$9))*EXP(-((E8-TRAINING!$S$4)^2)/(2*(TRAINING!$S$9^2)))</f>
        <v>3.2173702289962523E-3</v>
      </c>
      <c r="U8">
        <f>(1/(SQRT(2*PI())*TRAINING!$T$8))*EXP(-((F8-TRAINING!$T$3)^2)/(2*(TRAINING!$T$8^2)))</f>
        <v>6.110546443083837E-2</v>
      </c>
      <c r="V8">
        <f>(1/(SQRT(2*PI())*TRAINING!$T$9))*EXP(-((F8-TRAINING!$T$4)^2)/(2*(TRAINING!$T$9^2)))</f>
        <v>4.8935441613581751E-2</v>
      </c>
      <c r="W8">
        <f>(1/(SQRT(2*PI())*TRAINING!$U$8))*EXP(-((G8-TRAINING!$U$3)^2)/(2*(TRAINING!$U$8^2)))</f>
        <v>1.0953343759080543</v>
      </c>
      <c r="X8">
        <f>(1/(SQRT(2*PI())*TRAINING!$U$9))*EXP(-((G8-TRAINING!$U$4)^2)/(2*(TRAINING!$U$9^2)))</f>
        <v>0.77791929571117613</v>
      </c>
      <c r="Y8">
        <f>(1/(SQRT(2*PI())*TRAINING!$V$8))*EXP(-((H8-TRAINING!$V$3)^2)/(2*(TRAINING!$V$8^2)))</f>
        <v>3.039262448519801E-2</v>
      </c>
      <c r="Z8">
        <f>(1/(SQRT(2*PI())*TRAINING!$V$9))*EXP(-((H8-TRAINING!$V$4)^2)/(2*(TRAINING!$V$9^2)))</f>
        <v>2.2753892995124533E-2</v>
      </c>
      <c r="AA8">
        <f>PRODUCT(K8,M8,O8,Q8,S8,U8,W8,Y8)*TRAINING!$L$2</f>
        <v>1.1645706849196308E-12</v>
      </c>
      <c r="AB8">
        <f>PRODUCT(L8,N8,P8,R8,T8,V8,X8,Z8)*TRAINING!$L$3</f>
        <v>1.103473796061115E-14</v>
      </c>
      <c r="AC8">
        <f t="shared" si="0"/>
        <v>0</v>
      </c>
      <c r="AD8">
        <f t="shared" si="1"/>
        <v>0</v>
      </c>
      <c r="AF8" s="19"/>
      <c r="AG8" t="str">
        <f t="shared" si="2"/>
        <v>FN</v>
      </c>
      <c r="AH8" s="15" t="s">
        <v>57</v>
      </c>
      <c r="AI8" s="16">
        <f>((AI2+AI3)/(AI2+AI3+AI4+AI5))</f>
        <v>0.75163398692810457</v>
      </c>
    </row>
    <row r="9" spans="1:35" x14ac:dyDescent="0.3">
      <c r="A9">
        <v>10</v>
      </c>
      <c r="B9">
        <v>115</v>
      </c>
      <c r="C9">
        <v>72</v>
      </c>
      <c r="D9">
        <v>23</v>
      </c>
      <c r="E9">
        <v>30.5</v>
      </c>
      <c r="F9">
        <v>35.299999999999997</v>
      </c>
      <c r="G9">
        <v>0.13400000000000001</v>
      </c>
      <c r="H9">
        <v>29</v>
      </c>
      <c r="I9">
        <v>0</v>
      </c>
      <c r="K9">
        <f>(1/(SQRT(2*PI())*TRAINING!$O$8))*EXP(-((A9-TRAINING!$O$3)^2)/(2*(TRAINING!$O$8^2)))</f>
        <v>1.0720214418818754E-2</v>
      </c>
      <c r="L9">
        <f>(1/(SQRT(2*PI())*TRAINING!$O$9))*EXP(-((A9-TRAINING!$O$4)^2)/(2*(TRAINING!$O$9^2)))</f>
        <v>4.0698455459240418E-2</v>
      </c>
      <c r="M9">
        <f>(1/(SQRT(2*PI())*TRAINING!$P$8))*EXP(-((B9-TRAINING!$P$3)^2)/(2*(TRAINING!$P$8^2)))</f>
        <v>1.5991269775217587E-2</v>
      </c>
      <c r="N9">
        <f>(1/(SQRT(2*PI())*TRAINING!$P$9))*EXP(-((B9-TRAINING!$P$4)^2)/(2*(TRAINING!$P$9^2)))</f>
        <v>8.5214974827763478E-3</v>
      </c>
      <c r="O9">
        <f>(1/(SQRT(2*PI())*TRAINING!$Q$8))*EXP(-((C9-TRAINING!$Q$3)^2)/(2*(TRAINING!$Q$8^2)))</f>
        <v>3.4215224205554493E-2</v>
      </c>
      <c r="P9">
        <f>(1/(SQRT(2*PI())*TRAINING!$Q$9))*EXP(-((C9-TRAINING!$Q$4)^2)/(2*(TRAINING!$Q$9^2)))</f>
        <v>3.3852206664402869E-2</v>
      </c>
      <c r="Q9">
        <f>(1/(SQRT(2*PI())*TRAINING!$R$8))*EXP(-((D9-TRAINING!$R$3)^2)/(2*(TRAINING!$R$8^2)))</f>
        <v>4.2691938231656991E-2</v>
      </c>
      <c r="R9">
        <f>(1/(SQRT(2*PI())*TRAINING!$R$9))*EXP(-((D9-TRAINING!$R$4)^2)/(2*(TRAINING!$R$9^2)))</f>
        <v>3.202065801833482E-2</v>
      </c>
      <c r="S9">
        <f>(1/(SQRT(2*PI())*TRAINING!$S$8))*EXP(-((E9-TRAINING!$S$3)^2)/(2*(TRAINING!$S$8^2)))</f>
        <v>3.5657055057560366E-3</v>
      </c>
      <c r="T9">
        <f>(1/(SQRT(2*PI())*TRAINING!$S$9))*EXP(-((E9-TRAINING!$S$4)^2)/(2*(TRAINING!$S$9^2)))</f>
        <v>2.5951511419773543E-3</v>
      </c>
      <c r="U9">
        <f>(1/(SQRT(2*PI())*TRAINING!$T$8))*EXP(-((F9-TRAINING!$T$3)^2)/(2*(TRAINING!$T$8^2)))</f>
        <v>4.9023782154903835E-2</v>
      </c>
      <c r="V9">
        <f>(1/(SQRT(2*PI())*TRAINING!$T$9))*EXP(-((F9-TRAINING!$T$4)^2)/(2*(TRAINING!$T$9^2)))</f>
        <v>6.0668066362398208E-2</v>
      </c>
      <c r="W9">
        <f>(1/(SQRT(2*PI())*TRAINING!$U$8))*EXP(-((G9-TRAINING!$U$3)^2)/(2*(TRAINING!$U$8^2)))</f>
        <v>0.80746733170248597</v>
      </c>
      <c r="X9">
        <f>(1/(SQRT(2*PI())*TRAINING!$U$9))*EXP(-((G9-TRAINING!$U$4)^2)/(2*(TRAINING!$U$9^2)))</f>
        <v>0.56750950579625936</v>
      </c>
      <c r="Y9">
        <f>(1/(SQRT(2*PI())*TRAINING!$V$8))*EXP(-((H9-TRAINING!$V$3)^2)/(2*(TRAINING!$V$8^2)))</f>
        <v>3.2970843943366711E-2</v>
      </c>
      <c r="Z9">
        <f>(1/(SQRT(2*PI())*TRAINING!$V$9))*EXP(-((H9-TRAINING!$V$4)^2)/(2*(TRAINING!$V$9^2)))</f>
        <v>2.8619090403733831E-2</v>
      </c>
      <c r="AA9">
        <f>PRODUCT(K9,M9,O9,Q9,S9,U9,W9,Y9)*TRAINING!$L$2</f>
        <v>7.5985067088737777E-13</v>
      </c>
      <c r="AB9">
        <f>PRODUCT(L9,N9,P9,R9,T9,V9,X9,Z9)*TRAINING!$L$3</f>
        <v>3.2684494836207826E-13</v>
      </c>
      <c r="AC9">
        <f t="shared" si="0"/>
        <v>0</v>
      </c>
      <c r="AD9">
        <f t="shared" si="1"/>
        <v>1</v>
      </c>
      <c r="AF9" s="19"/>
      <c r="AG9" t="str">
        <f t="shared" si="2"/>
        <v>TN</v>
      </c>
      <c r="AH9" s="15" t="s">
        <v>58</v>
      </c>
      <c r="AI9" s="16">
        <f>(AI2/(AI2+AI4))</f>
        <v>0.67391304347826086</v>
      </c>
    </row>
    <row r="10" spans="1:35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K10">
        <f>(1/(SQRT(2*PI())*TRAINING!$O$8))*EXP(-((A10-TRAINING!$O$3)^2)/(2*(TRAINING!$O$8^2)))</f>
        <v>0.12153525578060927</v>
      </c>
      <c r="L10">
        <f>(1/(SQRT(2*PI())*TRAINING!$O$9))*EXP(-((A10-TRAINING!$O$4)^2)/(2*(TRAINING!$O$9^2)))</f>
        <v>8.041832272231407E-2</v>
      </c>
      <c r="M10">
        <f>(1/(SQRT(2*PI())*TRAINING!$P$8))*EXP(-((B10-TRAINING!$P$3)^2)/(2*(TRAINING!$P$8^2)))</f>
        <v>3.8354121381406221E-5</v>
      </c>
      <c r="N10">
        <f>(1/(SQRT(2*PI())*TRAINING!$P$9))*EXP(-((B10-TRAINING!$P$4)^2)/(2*(TRAINING!$P$9^2)))</f>
        <v>2.5245363120298884E-3</v>
      </c>
      <c r="O10">
        <f>(1/(SQRT(2*PI())*TRAINING!$Q$8))*EXP(-((C10-TRAINING!$Q$3)^2)/(2*(TRAINING!$Q$8^2)))</f>
        <v>3.4183653072486359E-2</v>
      </c>
      <c r="P10">
        <f>(1/(SQRT(2*PI())*TRAINING!$Q$9))*EXP(-((C10-TRAINING!$Q$4)^2)/(2*(TRAINING!$Q$9^2)))</f>
        <v>3.159268547546501E-2</v>
      </c>
      <c r="Q10">
        <f>(1/(SQRT(2*PI())*TRAINING!$R$8))*EXP(-((D10-TRAINING!$R$3)^2)/(2*(TRAINING!$R$8^2)))</f>
        <v>4.4791439520110209E-3</v>
      </c>
      <c r="R10">
        <f>(1/(SQRT(2*PI())*TRAINING!$R$9))*EXP(-((D10-TRAINING!$R$4)^2)/(2*(TRAINING!$R$9^2)))</f>
        <v>1.222592068207695E-2</v>
      </c>
      <c r="S10">
        <f>(1/(SQRT(2*PI())*TRAINING!$S$8))*EXP(-((E10-TRAINING!$S$3)^2)/(2*(TRAINING!$S$8^2)))</f>
        <v>3.0014344419430649E-8</v>
      </c>
      <c r="T10">
        <f>(1/(SQRT(2*PI())*TRAINING!$S$9))*EXP(-((E10-TRAINING!$S$4)^2)/(2*(TRAINING!$S$9^2)))</f>
        <v>6.2537018282225217E-6</v>
      </c>
      <c r="U10">
        <f>(1/(SQRT(2*PI())*TRAINING!$T$8))*EXP(-((F10-TRAINING!$T$3)^2)/(2*(TRAINING!$T$8^2)))</f>
        <v>6.0950591422804568E-2</v>
      </c>
      <c r="V10">
        <f>(1/(SQRT(2*PI())*TRAINING!$T$9))*EXP(-((F10-TRAINING!$T$4)^2)/(2*(TRAINING!$T$9^2)))</f>
        <v>4.6421395901422059E-2</v>
      </c>
      <c r="W10">
        <f>(1/(SQRT(2*PI())*TRAINING!$U$8))*EXP(-((G10-TRAINING!$U$3)^2)/(2*(TRAINING!$U$8^2)))</f>
        <v>0.87131087713600663</v>
      </c>
      <c r="X10">
        <f>(1/(SQRT(2*PI())*TRAINING!$U$9))*EXP(-((G10-TRAINING!$U$4)^2)/(2*(TRAINING!$U$9^2)))</f>
        <v>0.61152593421401946</v>
      </c>
      <c r="Y10">
        <f>(1/(SQRT(2*PI())*TRAINING!$V$8))*EXP(-((H10-TRAINING!$V$3)^2)/(2*(TRAINING!$V$8^2)))</f>
        <v>6.3439657447732761E-3</v>
      </c>
      <c r="Z10">
        <f>(1/(SQRT(2*PI())*TRAINING!$V$9))*EXP(-((H10-TRAINING!$V$4)^2)/(2*(TRAINING!$V$9^2)))</f>
        <v>1.1878972786450084E-2</v>
      </c>
      <c r="AA10">
        <f>PRODUCT(K10,M10,O10,Q10,S10,U10,W10,Y10)*TRAINING!$L$2</f>
        <v>4.7058471597643818E-21</v>
      </c>
      <c r="AB10">
        <f>PRODUCT(L10,N10,P10,R10,T10,V10,X10,Z10)*TRAINING!$L$3</f>
        <v>5.6225431979396632E-17</v>
      </c>
      <c r="AC10">
        <f t="shared" si="0"/>
        <v>1</v>
      </c>
      <c r="AD10">
        <f t="shared" si="1"/>
        <v>1</v>
      </c>
      <c r="AF10" s="19"/>
      <c r="AG10" t="str">
        <f t="shared" si="2"/>
        <v>TP</v>
      </c>
      <c r="AH10" s="15" t="s">
        <v>59</v>
      </c>
      <c r="AI10" s="16">
        <f>(AI2/(AI2+AI5))</f>
        <v>0.57407407407407407</v>
      </c>
    </row>
    <row r="11" spans="1:35" x14ac:dyDescent="0.3">
      <c r="A11">
        <v>8</v>
      </c>
      <c r="B11">
        <v>125</v>
      </c>
      <c r="C11">
        <v>96</v>
      </c>
      <c r="D11">
        <v>23</v>
      </c>
      <c r="E11">
        <v>30.5</v>
      </c>
      <c r="F11">
        <v>32</v>
      </c>
      <c r="G11">
        <v>0.23200000000000001</v>
      </c>
      <c r="H11">
        <v>54</v>
      </c>
      <c r="I11">
        <v>1</v>
      </c>
      <c r="K11">
        <f>(1/(SQRT(2*PI())*TRAINING!$O$8))*EXP(-((A11-TRAINING!$O$3)^2)/(2*(TRAINING!$O$8^2)))</f>
        <v>3.7889114375245843E-2</v>
      </c>
      <c r="L11">
        <f>(1/(SQRT(2*PI())*TRAINING!$O$9))*EXP(-((A11-TRAINING!$O$4)^2)/(2*(TRAINING!$O$9^2)))</f>
        <v>7.4585525924131008E-2</v>
      </c>
      <c r="M11">
        <f>(1/(SQRT(2*PI())*TRAINING!$P$8))*EXP(-((B11-TRAINING!$P$3)^2)/(2*(TRAINING!$P$8^2)))</f>
        <v>1.3849429291927092E-2</v>
      </c>
      <c r="N11">
        <f>(1/(SQRT(2*PI())*TRAINING!$P$9))*EXP(-((B11-TRAINING!$P$4)^2)/(2*(TRAINING!$P$9^2)))</f>
        <v>1.1214811619511168E-2</v>
      </c>
      <c r="O11">
        <f>(1/(SQRT(2*PI())*TRAINING!$Q$8))*EXP(-((C11-TRAINING!$Q$3)^2)/(2*(TRAINING!$Q$8^2)))</f>
        <v>3.4342934371503994E-3</v>
      </c>
      <c r="P11">
        <f>(1/(SQRT(2*PI())*TRAINING!$Q$9))*EXP(-((C11-TRAINING!$Q$4)^2)/(2*(TRAINING!$Q$9^2)))</f>
        <v>6.6352617656347986E-3</v>
      </c>
      <c r="Q11">
        <f>(1/(SQRT(2*PI())*TRAINING!$R$8))*EXP(-((D11-TRAINING!$R$3)^2)/(2*(TRAINING!$R$8^2)))</f>
        <v>4.2691938231656991E-2</v>
      </c>
      <c r="R11">
        <f>(1/(SQRT(2*PI())*TRAINING!$R$9))*EXP(-((D11-TRAINING!$R$4)^2)/(2*(TRAINING!$R$9^2)))</f>
        <v>3.202065801833482E-2</v>
      </c>
      <c r="S11">
        <f>(1/(SQRT(2*PI())*TRAINING!$S$8))*EXP(-((E11-TRAINING!$S$3)^2)/(2*(TRAINING!$S$8^2)))</f>
        <v>3.5657055057560366E-3</v>
      </c>
      <c r="T11">
        <f>(1/(SQRT(2*PI())*TRAINING!$S$9))*EXP(-((E11-TRAINING!$S$4)^2)/(2*(TRAINING!$S$9^2)))</f>
        <v>2.5951511419773543E-3</v>
      </c>
      <c r="U11">
        <f>(1/(SQRT(2*PI())*TRAINING!$T$8))*EXP(-((F11-TRAINING!$T$3)^2)/(2*(TRAINING!$T$8^2)))</f>
        <v>6.0345164388641175E-2</v>
      </c>
      <c r="V11">
        <f>(1/(SQRT(2*PI())*TRAINING!$T$9))*EXP(-((F11-TRAINING!$T$4)^2)/(2*(TRAINING!$T$9^2)))</f>
        <v>5.344431412493849E-2</v>
      </c>
      <c r="W11">
        <f>(1/(SQRT(2*PI())*TRAINING!$U$8))*EXP(-((G11-TRAINING!$U$3)^2)/(2*(TRAINING!$U$8^2)))</f>
        <v>1.0585568330054513</v>
      </c>
      <c r="X11">
        <f>(1/(SQRT(2*PI())*TRAINING!$U$9))*EXP(-((G11-TRAINING!$U$4)^2)/(2*(TRAINING!$U$9^2)))</f>
        <v>0.74873969317766975</v>
      </c>
      <c r="Y11">
        <f>(1/(SQRT(2*PI())*TRAINING!$V$8))*EXP(-((H11-TRAINING!$V$3)^2)/(2*(TRAINING!$V$8^2)))</f>
        <v>5.4201137770171952E-3</v>
      </c>
      <c r="Z11">
        <f>(1/(SQRT(2*PI())*TRAINING!$V$9))*EXP(-((H11-TRAINING!$V$4)^2)/(2*(TRAINING!$V$9^2)))</f>
        <v>1.0313205354008743E-2</v>
      </c>
      <c r="AA11">
        <f>PRODUCT(K11,M11,O11,Q11,S11,U11,W11,Y11)*TRAINING!$L$2</f>
        <v>6.1931185015466169E-14</v>
      </c>
      <c r="AB11">
        <f>PRODUCT(L11,N11,P11,R11,T11,V11,X11,Z11)*TRAINING!$L$3</f>
        <v>6.4714627582254905E-14</v>
      </c>
      <c r="AC11">
        <f t="shared" si="0"/>
        <v>1</v>
      </c>
      <c r="AD11">
        <f t="shared" si="1"/>
        <v>1</v>
      </c>
      <c r="AF11" s="19"/>
      <c r="AG11" t="str">
        <f t="shared" si="2"/>
        <v>TP</v>
      </c>
      <c r="AH11" s="15" t="s">
        <v>60</v>
      </c>
      <c r="AI11" s="16">
        <f>(2*(AI9*AI10)/(AI9+AI10))</f>
        <v>0.62</v>
      </c>
    </row>
    <row r="12" spans="1:35" x14ac:dyDescent="0.3">
      <c r="A12">
        <v>4</v>
      </c>
      <c r="B12">
        <v>110</v>
      </c>
      <c r="C12">
        <v>92</v>
      </c>
      <c r="D12">
        <v>23</v>
      </c>
      <c r="E12">
        <v>30.5</v>
      </c>
      <c r="F12">
        <v>37.6</v>
      </c>
      <c r="G12">
        <v>0.191</v>
      </c>
      <c r="H12">
        <v>30</v>
      </c>
      <c r="I12">
        <v>0</v>
      </c>
      <c r="K12">
        <f>(1/(SQRT(2*PI())*TRAINING!$O$8))*EXP(-((A12-TRAINING!$O$3)^2)/(2*(TRAINING!$O$8^2)))</f>
        <v>0.12757449499469867</v>
      </c>
      <c r="L12">
        <f>(1/(SQRT(2*PI())*TRAINING!$O$9))*EXP(-((A12-TRAINING!$O$4)^2)/(2*(TRAINING!$O$9^2)))</f>
        <v>0.10484388320832955</v>
      </c>
      <c r="M12">
        <f>(1/(SQRT(2*PI())*TRAINING!$P$8))*EXP(-((B12-TRAINING!$P$3)^2)/(2*(TRAINING!$P$8^2)))</f>
        <v>1.6155871312478309E-2</v>
      </c>
      <c r="N12">
        <f>(1/(SQRT(2*PI())*TRAINING!$P$9))*EXP(-((B12-TRAINING!$P$4)^2)/(2*(TRAINING!$P$9^2)))</f>
        <v>7.1079069691615893E-3</v>
      </c>
      <c r="O12">
        <f>(1/(SQRT(2*PI())*TRAINING!$Q$8))*EXP(-((C12-TRAINING!$Q$3)^2)/(2*(TRAINING!$Q$8^2)))</f>
        <v>6.7740576174603632E-3</v>
      </c>
      <c r="P12">
        <f>(1/(SQRT(2*PI())*TRAINING!$Q$9))*EXP(-((C12-TRAINING!$Q$4)^2)/(2*(TRAINING!$Q$9^2)))</f>
        <v>1.1931687795893526E-2</v>
      </c>
      <c r="Q12">
        <f>(1/(SQRT(2*PI())*TRAINING!$R$8))*EXP(-((D12-TRAINING!$R$3)^2)/(2*(TRAINING!$R$8^2)))</f>
        <v>4.2691938231656991E-2</v>
      </c>
      <c r="R12">
        <f>(1/(SQRT(2*PI())*TRAINING!$R$9))*EXP(-((D12-TRAINING!$R$4)^2)/(2*(TRAINING!$R$9^2)))</f>
        <v>3.202065801833482E-2</v>
      </c>
      <c r="S12">
        <f>(1/(SQRT(2*PI())*TRAINING!$S$8))*EXP(-((E12-TRAINING!$S$3)^2)/(2*(TRAINING!$S$8^2)))</f>
        <v>3.5657055057560366E-3</v>
      </c>
      <c r="T12">
        <f>(1/(SQRT(2*PI())*TRAINING!$S$9))*EXP(-((E12-TRAINING!$S$4)^2)/(2*(TRAINING!$S$9^2)))</f>
        <v>2.5951511419773543E-3</v>
      </c>
      <c r="U12">
        <f>(1/(SQRT(2*PI())*TRAINING!$T$8))*EXP(-((F12-TRAINING!$T$3)^2)/(2*(TRAINING!$T$8^2)))</f>
        <v>3.6466785979932269E-2</v>
      </c>
      <c r="V12">
        <f>(1/(SQRT(2*PI())*TRAINING!$T$9))*EXP(-((F12-TRAINING!$T$4)^2)/(2*(TRAINING!$T$9^2)))</f>
        <v>5.7102368367126274E-2</v>
      </c>
      <c r="W12">
        <f>(1/(SQRT(2*PI())*TRAINING!$U$8))*EXP(-((G12-TRAINING!$U$3)^2)/(2*(TRAINING!$U$8^2)))</f>
        <v>0.95744149559719383</v>
      </c>
      <c r="X12">
        <f>(1/(SQRT(2*PI())*TRAINING!$U$9))*EXP(-((G12-TRAINING!$U$4)^2)/(2*(TRAINING!$U$9^2)))</f>
        <v>0.67279152797836195</v>
      </c>
      <c r="Y12">
        <f>(1/(SQRT(2*PI())*TRAINING!$V$8))*EXP(-((H12-TRAINING!$V$3)^2)/(2*(TRAINING!$V$8^2)))</f>
        <v>3.3400483760251447E-2</v>
      </c>
      <c r="Z12">
        <f>(1/(SQRT(2*PI())*TRAINING!$V$9))*EXP(-((H12-TRAINING!$V$4)^2)/(2*(TRAINING!$V$9^2)))</f>
        <v>3.0379461798111088E-2</v>
      </c>
      <c r="AA12">
        <f>PRODUCT(K12,M12,O12,Q12,S12,U12,W12,Y12)*TRAINING!$L$2</f>
        <v>1.6160925243132354E-12</v>
      </c>
      <c r="AB12">
        <f>PRODUCT(L12,N12,P12,R12,T12,V12,X12,Z12)*TRAINING!$L$3</f>
        <v>2.9320626838598892E-13</v>
      </c>
      <c r="AC12">
        <f t="shared" si="0"/>
        <v>0</v>
      </c>
      <c r="AD12">
        <f t="shared" si="1"/>
        <v>1</v>
      </c>
      <c r="AF12" s="19"/>
      <c r="AG12" t="str">
        <f t="shared" si="2"/>
        <v>TN</v>
      </c>
    </row>
    <row r="13" spans="1:35" x14ac:dyDescent="0.3">
      <c r="A13">
        <v>10</v>
      </c>
      <c r="B13">
        <v>168</v>
      </c>
      <c r="C13">
        <v>74</v>
      </c>
      <c r="D13">
        <v>23</v>
      </c>
      <c r="E13">
        <v>30.5</v>
      </c>
      <c r="F13">
        <v>38</v>
      </c>
      <c r="G13">
        <v>0.53700000000000003</v>
      </c>
      <c r="H13">
        <v>34</v>
      </c>
      <c r="I13">
        <v>1</v>
      </c>
      <c r="K13">
        <f>(1/(SQRT(2*PI())*TRAINING!$O$8))*EXP(-((A13-TRAINING!$O$3)^2)/(2*(TRAINING!$O$8^2)))</f>
        <v>1.0720214418818754E-2</v>
      </c>
      <c r="L13">
        <f>(1/(SQRT(2*PI())*TRAINING!$O$9))*EXP(-((A13-TRAINING!$O$4)^2)/(2*(TRAINING!$O$9^2)))</f>
        <v>4.0698455459240418E-2</v>
      </c>
      <c r="M13">
        <f>(1/(SQRT(2*PI())*TRAINING!$P$8))*EXP(-((B13-TRAINING!$P$3)^2)/(2*(TRAINING!$P$8^2)))</f>
        <v>1.1460274864853257E-3</v>
      </c>
      <c r="N13">
        <f>(1/(SQRT(2*PI())*TRAINING!$P$9))*EXP(-((B13-TRAINING!$P$4)^2)/(2*(TRAINING!$P$9^2)))</f>
        <v>9.5762424214190164E-3</v>
      </c>
      <c r="O13">
        <f>(1/(SQRT(2*PI())*TRAINING!$Q$8))*EXP(-((C13-TRAINING!$Q$3)^2)/(2*(TRAINING!$Q$8^2)))</f>
        <v>3.3247489640615996E-2</v>
      </c>
      <c r="P13">
        <f>(1/(SQRT(2*PI())*TRAINING!$Q$9))*EXP(-((C13-TRAINING!$Q$4)^2)/(2*(TRAINING!$Q$9^2)))</f>
        <v>3.5147830490959445E-2</v>
      </c>
      <c r="Q13">
        <f>(1/(SQRT(2*PI())*TRAINING!$R$8))*EXP(-((D13-TRAINING!$R$3)^2)/(2*(TRAINING!$R$8^2)))</f>
        <v>4.2691938231656991E-2</v>
      </c>
      <c r="R13">
        <f>(1/(SQRT(2*PI())*TRAINING!$R$9))*EXP(-((D13-TRAINING!$R$4)^2)/(2*(TRAINING!$R$9^2)))</f>
        <v>3.202065801833482E-2</v>
      </c>
      <c r="S13">
        <f>(1/(SQRT(2*PI())*TRAINING!$S$8))*EXP(-((E13-TRAINING!$S$3)^2)/(2*(TRAINING!$S$8^2)))</f>
        <v>3.5657055057560366E-3</v>
      </c>
      <c r="T13">
        <f>(1/(SQRT(2*PI())*TRAINING!$S$9))*EXP(-((E13-TRAINING!$S$4)^2)/(2*(TRAINING!$S$9^2)))</f>
        <v>2.5951511419773543E-3</v>
      </c>
      <c r="U13">
        <f>(1/(SQRT(2*PI())*TRAINING!$T$8))*EXP(-((F13-TRAINING!$T$3)^2)/(2*(TRAINING!$T$8^2)))</f>
        <v>3.4201560846373602E-2</v>
      </c>
      <c r="V13">
        <f>(1/(SQRT(2*PI())*TRAINING!$T$9))*EXP(-((F13-TRAINING!$T$4)^2)/(2*(TRAINING!$T$9^2)))</f>
        <v>5.5802757601605711E-2</v>
      </c>
      <c r="W13">
        <f>(1/(SQRT(2*PI())*TRAINING!$U$8))*EXP(-((G13-TRAINING!$U$3)^2)/(2*(TRAINING!$U$8^2)))</f>
        <v>1.2487813569744068</v>
      </c>
      <c r="X13">
        <f>(1/(SQRT(2*PI())*TRAINING!$U$9))*EXP(-((G13-TRAINING!$U$4)^2)/(2*(TRAINING!$U$9^2)))</f>
        <v>1.1056397595169973</v>
      </c>
      <c r="Y13">
        <f>(1/(SQRT(2*PI())*TRAINING!$V$8))*EXP(-((H13-TRAINING!$V$3)^2)/(2*(TRAINING!$V$8^2)))</f>
        <v>3.2765783973993455E-2</v>
      </c>
      <c r="Z13">
        <f>(1/(SQRT(2*PI())*TRAINING!$V$9))*EXP(-((H13-TRAINING!$V$4)^2)/(2*(TRAINING!$V$9^2)))</f>
        <v>3.5473016900051758E-2</v>
      </c>
      <c r="AA13">
        <f>PRODUCT(K13,M13,O13,Q13,S13,U13,W13,Y13)*TRAINING!$L$2</f>
        <v>5.6737587107573325E-14</v>
      </c>
      <c r="AB13">
        <f>PRODUCT(L13,N13,P13,R13,T13,V13,X13,Z13)*TRAINING!$L$3</f>
        <v>8.4705350308214232E-13</v>
      </c>
      <c r="AC13">
        <f t="shared" si="0"/>
        <v>1</v>
      </c>
      <c r="AD13">
        <f t="shared" si="1"/>
        <v>1</v>
      </c>
      <c r="AF13" s="19"/>
      <c r="AG13" t="str">
        <f t="shared" si="2"/>
        <v>TP</v>
      </c>
    </row>
    <row r="14" spans="1:35" x14ac:dyDescent="0.3">
      <c r="A14">
        <v>10</v>
      </c>
      <c r="B14">
        <v>139</v>
      </c>
      <c r="C14">
        <v>80</v>
      </c>
      <c r="D14">
        <v>23</v>
      </c>
      <c r="E14">
        <v>30.5</v>
      </c>
      <c r="F14">
        <v>27.1</v>
      </c>
      <c r="G14">
        <v>1.4410000000000001</v>
      </c>
      <c r="H14">
        <v>57</v>
      </c>
      <c r="I14">
        <v>0</v>
      </c>
      <c r="K14">
        <f>(1/(SQRT(2*PI())*TRAINING!$O$8))*EXP(-((A14-TRAINING!$O$3)^2)/(2*(TRAINING!$O$8^2)))</f>
        <v>1.0720214418818754E-2</v>
      </c>
      <c r="L14">
        <f>(1/(SQRT(2*PI())*TRAINING!$O$9))*EXP(-((A14-TRAINING!$O$4)^2)/(2*(TRAINING!$O$9^2)))</f>
        <v>4.0698455459240418E-2</v>
      </c>
      <c r="M14">
        <f>(1/(SQRT(2*PI())*TRAINING!$P$8))*EXP(-((B14-TRAINING!$P$3)^2)/(2*(TRAINING!$P$8^2)))</f>
        <v>8.5908172969417079E-3</v>
      </c>
      <c r="N14">
        <f>(1/(SQRT(2*PI())*TRAINING!$P$9))*EXP(-((B14-TRAINING!$P$4)^2)/(2*(TRAINING!$P$9^2)))</f>
        <v>1.352223573250289E-2</v>
      </c>
      <c r="O14">
        <f>(1/(SQRT(2*PI())*TRAINING!$Q$8))*EXP(-((C14-TRAINING!$Q$3)^2)/(2*(TRAINING!$Q$8^2)))</f>
        <v>2.5539275567719948E-2</v>
      </c>
      <c r="P14">
        <f>(1/(SQRT(2*PI())*TRAINING!$Q$9))*EXP(-((C14-TRAINING!$Q$4)^2)/(2*(TRAINING!$Q$9^2)))</f>
        <v>3.2561150559118943E-2</v>
      </c>
      <c r="Q14">
        <f>(1/(SQRT(2*PI())*TRAINING!$R$8))*EXP(-((D14-TRAINING!$R$3)^2)/(2*(TRAINING!$R$8^2)))</f>
        <v>4.2691938231656991E-2</v>
      </c>
      <c r="R14">
        <f>(1/(SQRT(2*PI())*TRAINING!$R$9))*EXP(-((D14-TRAINING!$R$4)^2)/(2*(TRAINING!$R$9^2)))</f>
        <v>3.202065801833482E-2</v>
      </c>
      <c r="S14">
        <f>(1/(SQRT(2*PI())*TRAINING!$S$8))*EXP(-((E14-TRAINING!$S$3)^2)/(2*(TRAINING!$S$8^2)))</f>
        <v>3.5657055057560366E-3</v>
      </c>
      <c r="T14">
        <f>(1/(SQRT(2*PI())*TRAINING!$S$9))*EXP(-((E14-TRAINING!$S$4)^2)/(2*(TRAINING!$S$9^2)))</f>
        <v>2.5951511419773543E-3</v>
      </c>
      <c r="U14">
        <f>(1/(SQRT(2*PI())*TRAINING!$T$8))*EXP(-((F14-TRAINING!$T$3)^2)/(2*(TRAINING!$T$8^2)))</f>
        <v>5.1277841931357412E-2</v>
      </c>
      <c r="V14">
        <f>(1/(SQRT(2*PI())*TRAINING!$T$9))*EXP(-((F14-TRAINING!$T$4)^2)/(2*(TRAINING!$T$9^2)))</f>
        <v>2.7821051356572618E-2</v>
      </c>
      <c r="W14">
        <f>(1/(SQRT(2*PI())*TRAINING!$U$8))*EXP(-((G14-TRAINING!$U$3)^2)/(2*(TRAINING!$U$8^2)))</f>
        <v>4.9351169111868957E-3</v>
      </c>
      <c r="X14">
        <f>(1/(SQRT(2*PI())*TRAINING!$U$9))*EXP(-((G14-TRAINING!$U$4)^2)/(2*(TRAINING!$U$9^2)))</f>
        <v>5.2465089946371092E-2</v>
      </c>
      <c r="Y14">
        <f>(1/(SQRT(2*PI())*TRAINING!$V$8))*EXP(-((H14-TRAINING!$V$3)^2)/(2*(TRAINING!$V$8^2)))</f>
        <v>3.2393460511467623E-3</v>
      </c>
      <c r="Z14">
        <f>(1/(SQRT(2*PI())*TRAINING!$V$9))*EXP(-((H14-TRAINING!$V$4)^2)/(2*(TRAINING!$V$9^2)))</f>
        <v>6.4181613605514389E-3</v>
      </c>
      <c r="AA14">
        <f>PRODUCT(K14,M14,O14,Q14,S14,U14,W14,Y14)*TRAINING!$L$2</f>
        <v>1.9137784484698372E-16</v>
      </c>
      <c r="AB14">
        <f>PRODUCT(L14,N14,P14,R14,T14,V14,X14,Z14)*TRAINING!$L$3</f>
        <v>4.742994158798614E-15</v>
      </c>
      <c r="AC14">
        <f t="shared" si="0"/>
        <v>1</v>
      </c>
      <c r="AD14">
        <f t="shared" si="1"/>
        <v>0</v>
      </c>
      <c r="AF14" s="19"/>
      <c r="AG14" t="str">
        <f t="shared" si="2"/>
        <v>FP</v>
      </c>
    </row>
    <row r="15" spans="1:35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  <c r="K15">
        <f>(1/(SQRT(2*PI())*TRAINING!$O$8))*EXP(-((A15-TRAINING!$O$3)^2)/(2*(TRAINING!$O$8^2)))</f>
        <v>0.10069314833313707</v>
      </c>
      <c r="L15">
        <f>(1/(SQRT(2*PI())*TRAINING!$O$9))*EXP(-((A15-TRAINING!$O$4)^2)/(2*(TRAINING!$O$9^2)))</f>
        <v>6.3165200316397857E-2</v>
      </c>
      <c r="M15">
        <f>(1/(SQRT(2*PI())*TRAINING!$P$8))*EXP(-((B15-TRAINING!$P$3)^2)/(2*(TRAINING!$P$8^2)))</f>
        <v>1.1240799214497597E-4</v>
      </c>
      <c r="N15">
        <f>(1/(SQRT(2*PI())*TRAINING!$P$9))*EXP(-((B15-TRAINING!$P$4)^2)/(2*(TRAINING!$P$9^2)))</f>
        <v>4.025079575272884E-3</v>
      </c>
      <c r="O15">
        <f>(1/(SQRT(2*PI())*TRAINING!$Q$8))*EXP(-((C15-TRAINING!$Q$3)^2)/(2*(TRAINING!$Q$8^2)))</f>
        <v>2.1821879354468197E-2</v>
      </c>
      <c r="P15">
        <f>(1/(SQRT(2*PI())*TRAINING!$Q$9))*EXP(-((C15-TRAINING!$Q$4)^2)/(2*(TRAINING!$Q$9^2)))</f>
        <v>1.3939617132614638E-2</v>
      </c>
      <c r="Q15">
        <f>(1/(SQRT(2*PI())*TRAINING!$R$8))*EXP(-((D15-TRAINING!$R$3)^2)/(2*(TRAINING!$R$8^2)))</f>
        <v>4.2691938231656991E-2</v>
      </c>
      <c r="R15">
        <f>(1/(SQRT(2*PI())*TRAINING!$R$9))*EXP(-((D15-TRAINING!$R$4)^2)/(2*(TRAINING!$R$9^2)))</f>
        <v>3.202065801833482E-2</v>
      </c>
      <c r="S15">
        <f>(1/(SQRT(2*PI())*TRAINING!$S$8))*EXP(-((E15-TRAINING!$S$3)^2)/(2*(TRAINING!$S$8^2)))</f>
        <v>2.3788756785686138E-17</v>
      </c>
      <c r="T15">
        <f>(1/(SQRT(2*PI())*TRAINING!$S$9))*EXP(-((E15-TRAINING!$S$4)^2)/(2*(TRAINING!$S$9^2)))</f>
        <v>3.9135822778764903E-11</v>
      </c>
      <c r="U15">
        <f>(1/(SQRT(2*PI())*TRAINING!$T$8))*EXP(-((F15-TRAINING!$T$3)^2)/(2*(TRAINING!$T$8^2)))</f>
        <v>6.0570643258809349E-2</v>
      </c>
      <c r="V15">
        <f>(1/(SQRT(2*PI())*TRAINING!$T$9))*EXP(-((F15-TRAINING!$T$4)^2)/(2*(TRAINING!$T$9^2)))</f>
        <v>4.4318607861437306E-2</v>
      </c>
      <c r="W15">
        <f>(1/(SQRT(2*PI())*TRAINING!$U$8))*EXP(-((G15-TRAINING!$U$3)^2)/(2*(TRAINING!$U$8^2)))</f>
        <v>1.3152375033025629</v>
      </c>
      <c r="X15">
        <f>(1/(SQRT(2*PI())*TRAINING!$U$9))*EXP(-((G15-TRAINING!$U$4)^2)/(2*(TRAINING!$U$9^2)))</f>
        <v>1.0115902996468993</v>
      </c>
      <c r="Y15">
        <f>(1/(SQRT(2*PI())*TRAINING!$V$8))*EXP(-((H15-TRAINING!$V$3)^2)/(2*(TRAINING!$V$8^2)))</f>
        <v>2.2182568082867418E-3</v>
      </c>
      <c r="Z15">
        <f>(1/(SQRT(2*PI())*TRAINING!$V$9))*EXP(-((H15-TRAINING!$V$4)^2)/(2*(TRAINING!$V$9^2)))</f>
        <v>4.4864118175308746E-3</v>
      </c>
      <c r="AA15">
        <f>PRODUCT(K15,M15,O15,Q15,S15,U15,W15,Y15)*TRAINING!$L$2</f>
        <v>2.8903759121812335E-29</v>
      </c>
      <c r="AB15">
        <f>PRODUCT(L15,N15,P15,R15,T15,V15,X15,Z15)*TRAINING!$L$3</f>
        <v>3.0372233779566124E-22</v>
      </c>
      <c r="AC15">
        <f t="shared" si="0"/>
        <v>1</v>
      </c>
      <c r="AD15">
        <f t="shared" si="1"/>
        <v>1</v>
      </c>
      <c r="AF15" s="19"/>
      <c r="AG15" t="str">
        <f t="shared" si="2"/>
        <v>TP</v>
      </c>
    </row>
    <row r="16" spans="1:35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  <c r="K16">
        <f>(1/(SQRT(2*PI())*TRAINING!$O$8))*EXP(-((A16-TRAINING!$O$3)^2)/(2*(TRAINING!$O$8^2)))</f>
        <v>0.11094891947307506</v>
      </c>
      <c r="L16">
        <f>(1/(SQRT(2*PI())*TRAINING!$O$9))*EXP(-((A16-TRAINING!$O$4)^2)/(2*(TRAINING!$O$9^2)))</f>
        <v>0.1073628550745119</v>
      </c>
      <c r="M16">
        <f>(1/(SQRT(2*PI())*TRAINING!$P$8))*EXP(-((B16-TRAINING!$P$3)^2)/(2*(TRAINING!$P$8^2)))</f>
        <v>1.3766039830621993E-3</v>
      </c>
      <c r="N16">
        <f>(1/(SQRT(2*PI())*TRAINING!$P$9))*EXP(-((B16-TRAINING!$P$4)^2)/(2*(TRAINING!$P$9^2)))</f>
        <v>1.012296831512801E-2</v>
      </c>
      <c r="O16">
        <f>(1/(SQRT(2*PI())*TRAINING!$Q$8))*EXP(-((C16-TRAINING!$Q$3)^2)/(2*(TRAINING!$Q$8^2)))</f>
        <v>3.4215224205554493E-2</v>
      </c>
      <c r="P16">
        <f>(1/(SQRT(2*PI())*TRAINING!$Q$9))*EXP(-((C16-TRAINING!$Q$4)^2)/(2*(TRAINING!$Q$9^2)))</f>
        <v>3.3852206664402869E-2</v>
      </c>
      <c r="Q16">
        <f>(1/(SQRT(2*PI())*TRAINING!$R$8))*EXP(-((D16-TRAINING!$R$3)^2)/(2*(TRAINING!$R$8^2)))</f>
        <v>3.2766195706041425E-2</v>
      </c>
      <c r="R16">
        <f>(1/(SQRT(2*PI())*TRAINING!$R$9))*EXP(-((D16-TRAINING!$R$4)^2)/(2*(TRAINING!$R$9^2)))</f>
        <v>2.2363588406971651E-2</v>
      </c>
      <c r="S16">
        <f>(1/(SQRT(2*PI())*TRAINING!$S$8))*EXP(-((E16-TRAINING!$S$3)^2)/(2*(TRAINING!$S$8^2)))</f>
        <v>2.7175036547150205E-3</v>
      </c>
      <c r="T16">
        <f>(1/(SQRT(2*PI())*TRAINING!$S$9))*EXP(-((E16-TRAINING!$S$4)^2)/(2*(TRAINING!$S$9^2)))</f>
        <v>2.9022422917005276E-3</v>
      </c>
      <c r="U16">
        <f>(1/(SQRT(2*PI())*TRAINING!$T$8))*EXP(-((F16-TRAINING!$T$3)^2)/(2*(TRAINING!$T$8^2)))</f>
        <v>4.467938066989454E-2</v>
      </c>
      <c r="V16">
        <f>(1/(SQRT(2*PI())*TRAINING!$T$9))*EXP(-((F16-TRAINING!$T$4)^2)/(2*(TRAINING!$T$9^2)))</f>
        <v>2.1314564551851468E-2</v>
      </c>
      <c r="W16">
        <f>(1/(SQRT(2*PI())*TRAINING!$U$8))*EXP(-((G16-TRAINING!$U$3)^2)/(2*(TRAINING!$U$8^2)))</f>
        <v>1.1635046660373209</v>
      </c>
      <c r="X16">
        <f>(1/(SQRT(2*PI())*TRAINING!$U$9))*EXP(-((G16-TRAINING!$U$4)^2)/(2*(TRAINING!$U$9^2)))</f>
        <v>1.1008238384251623</v>
      </c>
      <c r="Y16">
        <f>(1/(SQRT(2*PI())*TRAINING!$V$8))*EXP(-((H16-TRAINING!$V$3)^2)/(2*(TRAINING!$V$8^2)))</f>
        <v>8.5078297673127894E-3</v>
      </c>
      <c r="Z16">
        <f>(1/(SQRT(2*PI())*TRAINING!$V$9))*EXP(-((H16-TRAINING!$V$4)^2)/(2*(TRAINING!$V$9^2)))</f>
        <v>1.5368647426794401E-2</v>
      </c>
      <c r="AA16">
        <f>PRODUCT(K16,M16,O16,Q16,S16,U16,W16,Y16)*TRAINING!$L$2</f>
        <v>1.341871623072878E-13</v>
      </c>
      <c r="AB16">
        <f>PRODUCT(L16,N16,P16,R16,T16,V16,X16,Z16)*TRAINING!$L$3</f>
        <v>2.9277428227990451E-13</v>
      </c>
      <c r="AC16">
        <f t="shared" si="0"/>
        <v>1</v>
      </c>
      <c r="AD16">
        <f t="shared" si="1"/>
        <v>1</v>
      </c>
      <c r="AF16" s="19"/>
      <c r="AG16" t="str">
        <f t="shared" si="2"/>
        <v>TP</v>
      </c>
    </row>
    <row r="17" spans="1:33" x14ac:dyDescent="0.3">
      <c r="A17">
        <v>7</v>
      </c>
      <c r="B17">
        <v>100</v>
      </c>
      <c r="C17">
        <v>72</v>
      </c>
      <c r="D17">
        <v>23</v>
      </c>
      <c r="E17">
        <v>30.5</v>
      </c>
      <c r="F17">
        <v>30</v>
      </c>
      <c r="G17">
        <v>0.48399999999999999</v>
      </c>
      <c r="H17">
        <v>32</v>
      </c>
      <c r="I17">
        <v>1</v>
      </c>
      <c r="K17">
        <f>(1/(SQRT(2*PI())*TRAINING!$O$8))*EXP(-((A17-TRAINING!$O$3)^2)/(2*(TRAINING!$O$8^2)))</f>
        <v>6.0464208917336747E-2</v>
      </c>
      <c r="L17">
        <f>(1/(SQRT(2*PI())*TRAINING!$O$9))*EXP(-((A17-TRAINING!$O$4)^2)/(2*(TRAINING!$O$9^2)))</f>
        <v>9.055444669307644E-2</v>
      </c>
      <c r="M17">
        <f>(1/(SQRT(2*PI())*TRAINING!$P$8))*EXP(-((B17-TRAINING!$P$3)^2)/(2*(TRAINING!$P$8^2)))</f>
        <v>1.4577030200080695E-2</v>
      </c>
      <c r="N17">
        <f>(1/(SQRT(2*PI())*TRAINING!$P$9))*EXP(-((B17-TRAINING!$P$4)^2)/(2*(TRAINING!$P$9^2)))</f>
        <v>4.5281526342230783E-3</v>
      </c>
      <c r="O17">
        <f>(1/(SQRT(2*PI())*TRAINING!$Q$8))*EXP(-((C17-TRAINING!$Q$3)^2)/(2*(TRAINING!$Q$8^2)))</f>
        <v>3.4215224205554493E-2</v>
      </c>
      <c r="P17">
        <f>(1/(SQRT(2*PI())*TRAINING!$Q$9))*EXP(-((C17-TRAINING!$Q$4)^2)/(2*(TRAINING!$Q$9^2)))</f>
        <v>3.3852206664402869E-2</v>
      </c>
      <c r="Q17">
        <f>(1/(SQRT(2*PI())*TRAINING!$R$8))*EXP(-((D17-TRAINING!$R$3)^2)/(2*(TRAINING!$R$8^2)))</f>
        <v>4.2691938231656991E-2</v>
      </c>
      <c r="R17">
        <f>(1/(SQRT(2*PI())*TRAINING!$R$9))*EXP(-((D17-TRAINING!$R$4)^2)/(2*(TRAINING!$R$9^2)))</f>
        <v>3.202065801833482E-2</v>
      </c>
      <c r="S17">
        <f>(1/(SQRT(2*PI())*TRAINING!$S$8))*EXP(-((E17-TRAINING!$S$3)^2)/(2*(TRAINING!$S$8^2)))</f>
        <v>3.5657055057560366E-3</v>
      </c>
      <c r="T17">
        <f>(1/(SQRT(2*PI())*TRAINING!$S$9))*EXP(-((E17-TRAINING!$S$4)^2)/(2*(TRAINING!$S$9^2)))</f>
        <v>2.5951511419773543E-3</v>
      </c>
      <c r="U17">
        <f>(1/(SQRT(2*PI())*TRAINING!$T$8))*EXP(-((F17-TRAINING!$T$3)^2)/(2*(TRAINING!$T$8^2)))</f>
        <v>6.0440566162777029E-2</v>
      </c>
      <c r="V17">
        <f>(1/(SQRT(2*PI())*TRAINING!$T$9))*EXP(-((F17-TRAINING!$T$4)^2)/(2*(TRAINING!$T$9^2)))</f>
        <v>4.3782645591621615E-2</v>
      </c>
      <c r="W17">
        <f>(1/(SQRT(2*PI())*TRAINING!$U$8))*EXP(-((G17-TRAINING!$U$3)^2)/(2*(TRAINING!$U$8^2)))</f>
        <v>1.306116120484591</v>
      </c>
      <c r="X17">
        <f>(1/(SQRT(2*PI())*TRAINING!$U$9))*EXP(-((G17-TRAINING!$U$4)^2)/(2*(TRAINING!$U$9^2)))</f>
        <v>1.087690348236962</v>
      </c>
      <c r="Y17">
        <f>(1/(SQRT(2*PI())*TRAINING!$V$8))*EXP(-((H17-TRAINING!$V$3)^2)/(2*(TRAINING!$V$8^2)))</f>
        <v>3.3554537230317136E-2</v>
      </c>
      <c r="Z17">
        <f>(1/(SQRT(2*PI())*TRAINING!$V$9))*EXP(-((H17-TRAINING!$V$4)^2)/(2*(TRAINING!$V$9^2)))</f>
        <v>3.3382195020896732E-2</v>
      </c>
      <c r="AA17">
        <f>PRODUCT(K17,M17,O17,Q17,S17,U17,W17,Y17)*TRAINING!$L$2</f>
        <v>7.9288278184123835E-12</v>
      </c>
      <c r="AB17">
        <f>PRODUCT(L17,N17,P17,R17,T17,V17,X17,Z17)*TRAINING!$L$3</f>
        <v>6.2346461987508578E-13</v>
      </c>
      <c r="AC17">
        <f t="shared" si="0"/>
        <v>0</v>
      </c>
      <c r="AD17">
        <f t="shared" si="1"/>
        <v>0</v>
      </c>
      <c r="AF17" s="19"/>
      <c r="AG17" t="str">
        <f t="shared" si="2"/>
        <v>FN</v>
      </c>
    </row>
    <row r="18" spans="1:33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  <c r="K18">
        <f>(1/(SQRT(2*PI())*TRAINING!$O$8))*EXP(-((A18-TRAINING!$O$3)^2)/(2*(TRAINING!$O$8^2)))</f>
        <v>7.4791087346963395E-2</v>
      </c>
      <c r="L18">
        <f>(1/(SQRT(2*PI())*TRAINING!$O$9))*EXP(-((A18-TRAINING!$O$4)^2)/(2*(TRAINING!$O$9^2)))</f>
        <v>4.6140116319387747E-2</v>
      </c>
      <c r="M18">
        <f>(1/(SQRT(2*PI())*TRAINING!$P$8))*EXP(-((B18-TRAINING!$P$3)^2)/(2*(TRAINING!$P$8^2)))</f>
        <v>1.558279999242315E-2</v>
      </c>
      <c r="N18">
        <f>(1/(SQRT(2*PI())*TRAINING!$P$9))*EXP(-((B18-TRAINING!$P$4)^2)/(2*(TRAINING!$P$9^2)))</f>
        <v>9.3682152742653318E-3</v>
      </c>
      <c r="O18">
        <f>(1/(SQRT(2*PI())*TRAINING!$Q$8))*EXP(-((C18-TRAINING!$Q$3)^2)/(2*(TRAINING!$Q$8^2)))</f>
        <v>1.8472874228340146E-2</v>
      </c>
      <c r="P18">
        <f>(1/(SQRT(2*PI())*TRAINING!$Q$9))*EXP(-((C18-TRAINING!$Q$4)^2)/(2*(TRAINING!$Q$9^2)))</f>
        <v>2.6431555486599371E-2</v>
      </c>
      <c r="Q18">
        <f>(1/(SQRT(2*PI())*TRAINING!$R$8))*EXP(-((D18-TRAINING!$R$3)^2)/(2*(TRAINING!$R$8^2)))</f>
        <v>2.6728517408816442E-3</v>
      </c>
      <c r="R18">
        <f>(1/(SQRT(2*PI())*TRAINING!$R$9))*EXP(-((D18-TRAINING!$R$4)^2)/(2*(TRAINING!$R$9^2)))</f>
        <v>8.7544728226809383E-3</v>
      </c>
      <c r="S18">
        <f>(1/(SQRT(2*PI())*TRAINING!$S$8))*EXP(-((E18-TRAINING!$S$3)^2)/(2*(TRAINING!$S$8^2)))</f>
        <v>1.3132979541829357E-3</v>
      </c>
      <c r="T18">
        <f>(1/(SQRT(2*PI())*TRAINING!$S$9))*EXP(-((E18-TRAINING!$S$4)^2)/(2*(TRAINING!$S$9^2)))</f>
        <v>2.0839405707867532E-3</v>
      </c>
      <c r="U18">
        <f>(1/(SQRT(2*PI())*TRAINING!$T$8))*EXP(-((F18-TRAINING!$T$3)^2)/(2*(TRAINING!$T$8^2)))</f>
        <v>4.6248009862168114E-3</v>
      </c>
      <c r="V18">
        <f>(1/(SQRT(2*PI())*TRAINING!$T$9))*EXP(-((F18-TRAINING!$T$4)^2)/(2*(TRAINING!$T$9^2)))</f>
        <v>1.7001767068820058E-2</v>
      </c>
      <c r="W18">
        <f>(1/(SQRT(2*PI())*TRAINING!$U$8))*EXP(-((G18-TRAINING!$U$3)^2)/(2*(TRAINING!$U$8^2)))</f>
        <v>1.2276981496614225</v>
      </c>
      <c r="X18">
        <f>(1/(SQRT(2*PI())*TRAINING!$U$9))*EXP(-((G18-TRAINING!$U$4)^2)/(2*(TRAINING!$U$9^2)))</f>
        <v>1.1064317461373934</v>
      </c>
      <c r="Y18">
        <f>(1/(SQRT(2*PI())*TRAINING!$V$8))*EXP(-((H18-TRAINING!$V$3)^2)/(2*(TRAINING!$V$8^2)))</f>
        <v>3.3596431738612473E-2</v>
      </c>
      <c r="Z18">
        <f>(1/(SQRT(2*PI())*TRAINING!$V$9))*EXP(-((H18-TRAINING!$V$4)^2)/(2*(TRAINING!$V$9^2)))</f>
        <v>3.1979114216098517E-2</v>
      </c>
      <c r="AA18">
        <f>PRODUCT(K18,M18,O18,Q18,S18,U18,W18,Y18)*TRAINING!$L$2</f>
        <v>9.3997221282576059E-15</v>
      </c>
      <c r="AB18">
        <f>PRODUCT(L18,N18,P18,R18,T18,V18,X18,Z18)*TRAINING!$L$3</f>
        <v>4.2632189210569519E-14</v>
      </c>
      <c r="AC18">
        <f t="shared" si="0"/>
        <v>1</v>
      </c>
      <c r="AD18">
        <f t="shared" si="1"/>
        <v>1</v>
      </c>
      <c r="AF18" s="19"/>
      <c r="AG18" t="str">
        <f t="shared" si="2"/>
        <v>TP</v>
      </c>
    </row>
    <row r="19" spans="1:33" x14ac:dyDescent="0.3">
      <c r="A19">
        <v>7</v>
      </c>
      <c r="B19">
        <v>107</v>
      </c>
      <c r="C19">
        <v>74</v>
      </c>
      <c r="D19">
        <v>23</v>
      </c>
      <c r="E19">
        <v>30.5</v>
      </c>
      <c r="F19">
        <v>29.6</v>
      </c>
      <c r="G19">
        <v>0.254</v>
      </c>
      <c r="H19">
        <v>31</v>
      </c>
      <c r="I19">
        <v>1</v>
      </c>
      <c r="K19">
        <f>(1/(SQRT(2*PI())*TRAINING!$O$8))*EXP(-((A19-TRAINING!$O$3)^2)/(2*(TRAINING!$O$8^2)))</f>
        <v>6.0464208917336747E-2</v>
      </c>
      <c r="L19">
        <f>(1/(SQRT(2*PI())*TRAINING!$O$9))*EXP(-((A19-TRAINING!$O$4)^2)/(2*(TRAINING!$O$9^2)))</f>
        <v>9.055444669307644E-2</v>
      </c>
      <c r="M19">
        <f>(1/(SQRT(2*PI())*TRAINING!$P$8))*EXP(-((B19-TRAINING!$P$3)^2)/(2*(TRAINING!$P$8^2)))</f>
        <v>1.5937854362536651E-2</v>
      </c>
      <c r="N19">
        <f>(1/(SQRT(2*PI())*TRAINING!$P$9))*EXP(-((B19-TRAINING!$P$4)^2)/(2*(TRAINING!$P$9^2)))</f>
        <v>6.2857000770420741E-3</v>
      </c>
      <c r="O19">
        <f>(1/(SQRT(2*PI())*TRAINING!$Q$8))*EXP(-((C19-TRAINING!$Q$3)^2)/(2*(TRAINING!$Q$8^2)))</f>
        <v>3.3247489640615996E-2</v>
      </c>
      <c r="P19">
        <f>(1/(SQRT(2*PI())*TRAINING!$Q$9))*EXP(-((C19-TRAINING!$Q$4)^2)/(2*(TRAINING!$Q$9^2)))</f>
        <v>3.5147830490959445E-2</v>
      </c>
      <c r="Q19">
        <f>(1/(SQRT(2*PI())*TRAINING!$R$8))*EXP(-((D19-TRAINING!$R$3)^2)/(2*(TRAINING!$R$8^2)))</f>
        <v>4.2691938231656991E-2</v>
      </c>
      <c r="R19">
        <f>(1/(SQRT(2*PI())*TRAINING!$R$9))*EXP(-((D19-TRAINING!$R$4)^2)/(2*(TRAINING!$R$9^2)))</f>
        <v>3.202065801833482E-2</v>
      </c>
      <c r="S19">
        <f>(1/(SQRT(2*PI())*TRAINING!$S$8))*EXP(-((E19-TRAINING!$S$3)^2)/(2*(TRAINING!$S$8^2)))</f>
        <v>3.5657055057560366E-3</v>
      </c>
      <c r="T19">
        <f>(1/(SQRT(2*PI())*TRAINING!$S$9))*EXP(-((E19-TRAINING!$S$4)^2)/(2*(TRAINING!$S$9^2)))</f>
        <v>2.5951511419773543E-3</v>
      </c>
      <c r="U19">
        <f>(1/(SQRT(2*PI())*TRAINING!$T$8))*EXP(-((F19-TRAINING!$T$3)^2)/(2*(TRAINING!$T$8^2)))</f>
        <v>5.9782622942056385E-2</v>
      </c>
      <c r="V19">
        <f>(1/(SQRT(2*PI())*TRAINING!$T$9))*EXP(-((F19-TRAINING!$T$4)^2)/(2*(TRAINING!$T$9^2)))</f>
        <v>4.1606502664339635E-2</v>
      </c>
      <c r="W19">
        <f>(1/(SQRT(2*PI())*TRAINING!$U$8))*EXP(-((G19-TRAINING!$U$3)^2)/(2*(TRAINING!$U$8^2)))</f>
        <v>1.1086462197911802</v>
      </c>
      <c r="X19">
        <f>(1/(SQRT(2*PI())*TRAINING!$U$9))*EXP(-((G19-TRAINING!$U$4)^2)/(2*(TRAINING!$U$9^2)))</f>
        <v>0.78875196161603145</v>
      </c>
      <c r="Y19">
        <f>(1/(SQRT(2*PI())*TRAINING!$V$8))*EXP(-((H19-TRAINING!$V$3)^2)/(2*(TRAINING!$V$8^2)))</f>
        <v>3.3596431738612473E-2</v>
      </c>
      <c r="Z19">
        <f>(1/(SQRT(2*PI())*TRAINING!$V$9))*EXP(-((H19-TRAINING!$V$4)^2)/(2*(TRAINING!$V$9^2)))</f>
        <v>3.1979114216098517E-2</v>
      </c>
      <c r="AA19">
        <f>PRODUCT(K19,M19,O19,Q19,S19,U19,W19,Y19)*TRAINING!$L$2</f>
        <v>7.0812314439578509E-12</v>
      </c>
      <c r="AB19">
        <f>PRODUCT(L19,N19,P19,R19,T19,V19,X19,Z19)*TRAINING!$L$3</f>
        <v>5.9320100629499856E-13</v>
      </c>
      <c r="AC19">
        <f t="shared" si="0"/>
        <v>0</v>
      </c>
      <c r="AD19">
        <f t="shared" si="1"/>
        <v>0</v>
      </c>
      <c r="AF19" s="19"/>
      <c r="AG19" t="str">
        <f t="shared" si="2"/>
        <v>FN</v>
      </c>
    </row>
    <row r="20" spans="1:33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  <c r="K20">
        <f>(1/(SQRT(2*PI())*TRAINING!$O$8))*EXP(-((A20-TRAINING!$O$3)^2)/(2*(TRAINING!$O$8^2)))</f>
        <v>0.10069314833313707</v>
      </c>
      <c r="L20">
        <f>(1/(SQRT(2*PI())*TRAINING!$O$9))*EXP(-((A20-TRAINING!$O$4)^2)/(2*(TRAINING!$O$9^2)))</f>
        <v>6.3165200316397857E-2</v>
      </c>
      <c r="M20">
        <f>(1/(SQRT(2*PI())*TRAINING!$P$8))*EXP(-((B20-TRAINING!$P$3)^2)/(2*(TRAINING!$P$8^2)))</f>
        <v>1.5295557864358449E-2</v>
      </c>
      <c r="N20">
        <f>(1/(SQRT(2*PI())*TRAINING!$P$9))*EXP(-((B20-TRAINING!$P$4)^2)/(2*(TRAINING!$P$9^2)))</f>
        <v>5.248381352753924E-3</v>
      </c>
      <c r="O20">
        <f>(1/(SQRT(2*PI())*TRAINING!$Q$8))*EXP(-((C20-TRAINING!$Q$3)^2)/(2*(TRAINING!$Q$8^2)))</f>
        <v>6.6818368249624583E-5</v>
      </c>
      <c r="P20">
        <f>(1/(SQRT(2*PI())*TRAINING!$Q$9))*EXP(-((C20-TRAINING!$Q$4)^2)/(2*(TRAINING!$Q$9^2)))</f>
        <v>1.0590311934409277E-5</v>
      </c>
      <c r="Q20">
        <f>(1/(SQRT(2*PI())*TRAINING!$R$8))*EXP(-((D20-TRAINING!$R$3)^2)/(2*(TRAINING!$R$8^2)))</f>
        <v>1.813456316620175E-2</v>
      </c>
      <c r="R20">
        <f>(1/(SQRT(2*PI())*TRAINING!$R$9))*EXP(-((D20-TRAINING!$R$4)^2)/(2*(TRAINING!$R$9^2)))</f>
        <v>2.8475714786385338E-2</v>
      </c>
      <c r="S20">
        <f>(1/(SQRT(2*PI())*TRAINING!$S$8))*EXP(-((E20-TRAINING!$S$3)^2)/(2*(TRAINING!$S$8^2)))</f>
        <v>4.2513956476793813E-3</v>
      </c>
      <c r="T20">
        <f>(1/(SQRT(2*PI())*TRAINING!$S$9))*EXP(-((E20-TRAINING!$S$4)^2)/(2*(TRAINING!$S$9^2)))</f>
        <v>3.186165156457141E-3</v>
      </c>
      <c r="U20">
        <f>(1/(SQRT(2*PI())*TRAINING!$T$8))*EXP(-((F20-TRAINING!$T$3)^2)/(2*(TRAINING!$T$8^2)))</f>
        <v>1.0259031761188992E-2</v>
      </c>
      <c r="V20">
        <f>(1/(SQRT(2*PI())*TRAINING!$T$9))*EXP(-((F20-TRAINING!$T$4)^2)/(2*(TRAINING!$T$9^2)))</f>
        <v>2.9004725606572614E-2</v>
      </c>
      <c r="W20">
        <f>(1/(SQRT(2*PI())*TRAINING!$U$8))*EXP(-((G20-TRAINING!$U$3)^2)/(2*(TRAINING!$U$8^2)))</f>
        <v>0.93684190498797382</v>
      </c>
      <c r="X20">
        <f>(1/(SQRT(2*PI())*TRAINING!$U$9))*EXP(-((G20-TRAINING!$U$4)^2)/(2*(TRAINING!$U$9^2)))</f>
        <v>0.65790364250116162</v>
      </c>
      <c r="Y20">
        <f>(1/(SQRT(2*PI())*TRAINING!$V$8))*EXP(-((H20-TRAINING!$V$3)^2)/(2*(TRAINING!$V$8^2)))</f>
        <v>3.3275689020108933E-2</v>
      </c>
      <c r="Z20">
        <f>(1/(SQRT(2*PI())*TRAINING!$V$9))*EXP(-((H20-TRAINING!$V$4)^2)/(2*(TRAINING!$V$9^2)))</f>
        <v>3.4556158331369637E-2</v>
      </c>
      <c r="AA20">
        <f>PRODUCT(K20,M20,O20,Q20,S20,U20,W20,Y20)*TRAINING!$L$2</f>
        <v>1.6545074450901301E-15</v>
      </c>
      <c r="AB20">
        <f>PRODUCT(L20,N20,P20,R20,T20,V20,X20,Z20)*TRAINING!$L$3</f>
        <v>7.141515063301624E-17</v>
      </c>
      <c r="AC20">
        <f t="shared" si="0"/>
        <v>0</v>
      </c>
      <c r="AD20">
        <f t="shared" si="1"/>
        <v>1</v>
      </c>
      <c r="AF20" s="19"/>
      <c r="AG20" t="str">
        <f t="shared" si="2"/>
        <v>TN</v>
      </c>
    </row>
    <row r="21" spans="1:33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  <c r="K21">
        <f>(1/(SQRT(2*PI())*TRAINING!$O$8))*EXP(-((A21-TRAINING!$O$3)^2)/(2*(TRAINING!$O$8^2)))</f>
        <v>0.10069314833313707</v>
      </c>
      <c r="L21">
        <f>(1/(SQRT(2*PI())*TRAINING!$O$9))*EXP(-((A21-TRAINING!$O$4)^2)/(2*(TRAINING!$O$9^2)))</f>
        <v>6.3165200316397857E-2</v>
      </c>
      <c r="M21">
        <f>(1/(SQRT(2*PI())*TRAINING!$P$8))*EXP(-((B21-TRAINING!$P$3)^2)/(2*(TRAINING!$P$8^2)))</f>
        <v>1.5991269775217587E-2</v>
      </c>
      <c r="N21">
        <f>(1/(SQRT(2*PI())*TRAINING!$P$9))*EXP(-((B21-TRAINING!$P$4)^2)/(2*(TRAINING!$P$9^2)))</f>
        <v>8.5214974827763478E-3</v>
      </c>
      <c r="O21">
        <f>(1/(SQRT(2*PI())*TRAINING!$Q$8))*EXP(-((C21-TRAINING!$Q$3)^2)/(2*(TRAINING!$Q$8^2)))</f>
        <v>3.4183653072486359E-2</v>
      </c>
      <c r="P21">
        <f>(1/(SQRT(2*PI())*TRAINING!$Q$9))*EXP(-((C21-TRAINING!$Q$4)^2)/(2*(TRAINING!$Q$9^2)))</f>
        <v>3.159268547546501E-2</v>
      </c>
      <c r="Q21">
        <f>(1/(SQRT(2*PI())*TRAINING!$R$8))*EXP(-((D21-TRAINING!$R$3)^2)/(2*(TRAINING!$R$8^2)))</f>
        <v>4.1168207127831397E-2</v>
      </c>
      <c r="R21">
        <f>(1/(SQRT(2*PI())*TRAINING!$R$9))*EXP(-((D21-TRAINING!$R$4)^2)/(2*(TRAINING!$R$9^2)))</f>
        <v>4.041370800237605E-2</v>
      </c>
      <c r="S21">
        <f>(1/(SQRT(2*PI())*TRAINING!$S$8))*EXP(-((E21-TRAINING!$S$3)^2)/(2*(TRAINING!$S$8^2)))</f>
        <v>4.2308075553620468E-3</v>
      </c>
      <c r="T21">
        <f>(1/(SQRT(2*PI())*TRAINING!$S$9))*EXP(-((E21-TRAINING!$S$4)^2)/(2*(TRAINING!$S$9^2)))</f>
        <v>3.2563778435444292E-3</v>
      </c>
      <c r="U21">
        <f>(1/(SQRT(2*PI())*TRAINING!$T$8))*EXP(-((F21-TRAINING!$T$3)^2)/(2*(TRAINING!$T$8^2)))</f>
        <v>5.233832173604748E-2</v>
      </c>
      <c r="V21">
        <f>(1/(SQRT(2*PI())*TRAINING!$T$9))*EXP(-((F21-TRAINING!$T$4)^2)/(2*(TRAINING!$T$9^2)))</f>
        <v>6.0314349131396779E-2</v>
      </c>
      <c r="W21">
        <f>(1/(SQRT(2*PI())*TRAINING!$U$8))*EXP(-((G21-TRAINING!$U$3)^2)/(2*(TRAINING!$U$8^2)))</f>
        <v>1.2597685370948948</v>
      </c>
      <c r="X21">
        <f>(1/(SQRT(2*PI())*TRAINING!$U$9))*EXP(-((G21-TRAINING!$U$4)^2)/(2*(TRAINING!$U$9^2)))</f>
        <v>1.1044396232266092</v>
      </c>
      <c r="Y21">
        <f>(1/(SQRT(2*PI())*TRAINING!$V$8))*EXP(-((H21-TRAINING!$V$3)^2)/(2*(TRAINING!$V$8^2)))</f>
        <v>3.3554537230317136E-2</v>
      </c>
      <c r="Z21">
        <f>(1/(SQRT(2*PI())*TRAINING!$V$9))*EXP(-((H21-TRAINING!$V$4)^2)/(2*(TRAINING!$V$9^2)))</f>
        <v>3.3382195020896732E-2</v>
      </c>
      <c r="AA21">
        <f>PRODUCT(K21,M21,O21,Q21,S21,U21,W21,Y21)*TRAINING!$L$2</f>
        <v>1.3829855036917285E-11</v>
      </c>
      <c r="AB21">
        <f>PRODUCT(L21,N21,P21,R21,T21,V21,X21,Z21)*TRAINING!$L$3</f>
        <v>1.6919996302734398E-12</v>
      </c>
      <c r="AC21">
        <f t="shared" si="0"/>
        <v>0</v>
      </c>
      <c r="AD21">
        <f t="shared" si="1"/>
        <v>0</v>
      </c>
      <c r="AF21" s="19"/>
      <c r="AG21" t="str">
        <f t="shared" si="2"/>
        <v>FN</v>
      </c>
    </row>
    <row r="22" spans="1:33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  <c r="K22">
        <f>(1/(SQRT(2*PI())*TRAINING!$O$8))*EXP(-((A22-TRAINING!$O$3)^2)/(2*(TRAINING!$O$8^2)))</f>
        <v>0.13150943904653345</v>
      </c>
      <c r="L22">
        <f>(1/(SQRT(2*PI())*TRAINING!$O$9))*EXP(-((A22-TRAINING!$O$4)^2)/(2*(TRAINING!$O$9^2)))</f>
        <v>9.5216033172430034E-2</v>
      </c>
      <c r="M22">
        <f>(1/(SQRT(2*PI())*TRAINING!$P$8))*EXP(-((B22-TRAINING!$P$3)^2)/(2*(TRAINING!$P$8^2)))</f>
        <v>1.3528801206188113E-2</v>
      </c>
      <c r="N22">
        <f>(1/(SQRT(2*PI())*TRAINING!$P$9))*EXP(-((B22-TRAINING!$P$4)^2)/(2*(TRAINING!$P$9^2)))</f>
        <v>1.1452833666473249E-2</v>
      </c>
      <c r="O22">
        <f>(1/(SQRT(2*PI())*TRAINING!$Q$8))*EXP(-((C22-TRAINING!$Q$3)^2)/(2*(TRAINING!$Q$8^2)))</f>
        <v>1.1869012231696199E-2</v>
      </c>
      <c r="P22">
        <f>(1/(SQRT(2*PI())*TRAINING!$Q$9))*EXP(-((C22-TRAINING!$Q$4)^2)/(2*(TRAINING!$Q$9^2)))</f>
        <v>1.8914292526298278E-2</v>
      </c>
      <c r="Q22">
        <f>(1/(SQRT(2*PI())*TRAINING!$R$8))*EXP(-((D22-TRAINING!$R$3)^2)/(2*(TRAINING!$R$8^2)))</f>
        <v>1.0765447879234714E-2</v>
      </c>
      <c r="R22">
        <f>(1/(SQRT(2*PI())*TRAINING!$R$9))*EXP(-((D22-TRAINING!$R$4)^2)/(2*(TRAINING!$R$9^2)))</f>
        <v>2.1079761582987258E-2</v>
      </c>
      <c r="S22">
        <f>(1/(SQRT(2*PI())*TRAINING!$S$8))*EXP(-((E22-TRAINING!$S$3)^2)/(2*(TRAINING!$S$8^2)))</f>
        <v>1.2085003437267287E-3</v>
      </c>
      <c r="T22">
        <f>(1/(SQRT(2*PI())*TRAINING!$S$9))*EXP(-((E22-TRAINING!$S$4)^2)/(2*(TRAINING!$S$9^2)))</f>
        <v>2.0015653693175651E-3</v>
      </c>
      <c r="U22">
        <f>(1/(SQRT(2*PI())*TRAINING!$T$8))*EXP(-((F22-TRAINING!$T$3)^2)/(2*(TRAINING!$T$8^2)))</f>
        <v>2.7056361594008881E-2</v>
      </c>
      <c r="V22">
        <f>(1/(SQRT(2*PI())*TRAINING!$T$9))*EXP(-((F22-TRAINING!$T$4)^2)/(2*(TRAINING!$T$9^2)))</f>
        <v>5.0473402270340736E-2</v>
      </c>
      <c r="W22">
        <f>(1/(SQRT(2*PI())*TRAINING!$U$8))*EXP(-((G22-TRAINING!$U$3)^2)/(2*(TRAINING!$U$8^2)))</f>
        <v>0.88536268545401375</v>
      </c>
      <c r="X22">
        <f>(1/(SQRT(2*PI())*TRAINING!$U$9))*EXP(-((G22-TRAINING!$U$4)^2)/(2*(TRAINING!$U$9^2)))</f>
        <v>1.0107561883627989</v>
      </c>
      <c r="Y22">
        <f>(1/(SQRT(2*PI())*TRAINING!$V$8))*EXP(-((H22-TRAINING!$V$3)^2)/(2*(TRAINING!$V$8^2)))</f>
        <v>3.1451241064801919E-2</v>
      </c>
      <c r="Z22">
        <f>(1/(SQRT(2*PI())*TRAINING!$V$9))*EXP(-((H22-TRAINING!$V$4)^2)/(2*(TRAINING!$V$9^2)))</f>
        <v>2.4768154290602078E-2</v>
      </c>
      <c r="AA22">
        <f>PRODUCT(K22,M22,O22,Q22,S22,U22,W22,Y22)*TRAINING!$L$2</f>
        <v>1.349607091930113E-13</v>
      </c>
      <c r="AB22">
        <f>PRODUCT(L22,N22,P22,R22,T22,V22,X22,Z22)*TRAINING!$L$3</f>
        <v>3.7387821685851804E-13</v>
      </c>
      <c r="AC22">
        <f t="shared" si="0"/>
        <v>1</v>
      </c>
      <c r="AD22">
        <f t="shared" si="1"/>
        <v>0</v>
      </c>
      <c r="AF22" s="19"/>
      <c r="AG22" t="str">
        <f t="shared" si="2"/>
        <v>FP</v>
      </c>
    </row>
    <row r="23" spans="1:33" x14ac:dyDescent="0.3">
      <c r="A23">
        <v>8</v>
      </c>
      <c r="B23">
        <v>99</v>
      </c>
      <c r="C23">
        <v>84</v>
      </c>
      <c r="D23">
        <v>23</v>
      </c>
      <c r="E23">
        <v>30.5</v>
      </c>
      <c r="F23">
        <v>35.4</v>
      </c>
      <c r="G23">
        <v>0.38800000000000001</v>
      </c>
      <c r="H23">
        <v>50</v>
      </c>
      <c r="I23">
        <v>0</v>
      </c>
      <c r="K23">
        <f>(1/(SQRT(2*PI())*TRAINING!$O$8))*EXP(-((A23-TRAINING!$O$3)^2)/(2*(TRAINING!$O$8^2)))</f>
        <v>3.7889114375245843E-2</v>
      </c>
      <c r="L23">
        <f>(1/(SQRT(2*PI())*TRAINING!$O$9))*EXP(-((A23-TRAINING!$O$4)^2)/(2*(TRAINING!$O$9^2)))</f>
        <v>7.4585525924131008E-2</v>
      </c>
      <c r="M23">
        <f>(1/(SQRT(2*PI())*TRAINING!$P$8))*EXP(-((B23-TRAINING!$P$3)^2)/(2*(TRAINING!$P$8^2)))</f>
        <v>1.4298005689557707E-2</v>
      </c>
      <c r="N23">
        <f>(1/(SQRT(2*PI())*TRAINING!$P$9))*EXP(-((B23-TRAINING!$P$4)^2)/(2*(TRAINING!$P$9^2)))</f>
        <v>4.3006327116797338E-3</v>
      </c>
      <c r="O23">
        <f>(1/(SQRT(2*PI())*TRAINING!$Q$8))*EXP(-((C23-TRAINING!$Q$3)^2)/(2*(TRAINING!$Q$8^2)))</f>
        <v>1.8472874228340146E-2</v>
      </c>
      <c r="P23">
        <f>(1/(SQRT(2*PI())*TRAINING!$Q$9))*EXP(-((C23-TRAINING!$Q$4)^2)/(2*(TRAINING!$Q$9^2)))</f>
        <v>2.6431555486599371E-2</v>
      </c>
      <c r="Q23">
        <f>(1/(SQRT(2*PI())*TRAINING!$R$8))*EXP(-((D23-TRAINING!$R$3)^2)/(2*(TRAINING!$R$8^2)))</f>
        <v>4.2691938231656991E-2</v>
      </c>
      <c r="R23">
        <f>(1/(SQRT(2*PI())*TRAINING!$R$9))*EXP(-((D23-TRAINING!$R$4)^2)/(2*(TRAINING!$R$9^2)))</f>
        <v>3.202065801833482E-2</v>
      </c>
      <c r="S23">
        <f>(1/(SQRT(2*PI())*TRAINING!$S$8))*EXP(-((E23-TRAINING!$S$3)^2)/(2*(TRAINING!$S$8^2)))</f>
        <v>3.5657055057560366E-3</v>
      </c>
      <c r="T23">
        <f>(1/(SQRT(2*PI())*TRAINING!$S$9))*EXP(-((E23-TRAINING!$S$4)^2)/(2*(TRAINING!$S$9^2)))</f>
        <v>2.5951511419773543E-3</v>
      </c>
      <c r="U23">
        <f>(1/(SQRT(2*PI())*TRAINING!$T$8))*EXP(-((F23-TRAINING!$T$3)^2)/(2*(TRAINING!$T$8^2)))</f>
        <v>4.8522174213984658E-2</v>
      </c>
      <c r="V23">
        <f>(1/(SQRT(2*PI())*TRAINING!$T$9))*EXP(-((F23-TRAINING!$T$4)^2)/(2*(TRAINING!$T$9^2)))</f>
        <v>6.0662625015258764E-2</v>
      </c>
      <c r="W23">
        <f>(1/(SQRT(2*PI())*TRAINING!$U$8))*EXP(-((G23-TRAINING!$U$3)^2)/(2*(TRAINING!$U$8^2)))</f>
        <v>1.3093564362803978</v>
      </c>
      <c r="X23">
        <f>(1/(SQRT(2*PI())*TRAINING!$U$9))*EXP(-((G23-TRAINING!$U$4)^2)/(2*(TRAINING!$U$9^2)))</f>
        <v>0.99939769802019662</v>
      </c>
      <c r="Y23">
        <f>(1/(SQRT(2*PI())*TRAINING!$V$8))*EXP(-((H23-TRAINING!$V$3)^2)/(2*(TRAINING!$V$8^2)))</f>
        <v>9.748197685035806E-3</v>
      </c>
      <c r="Z23">
        <f>(1/(SQRT(2*PI())*TRAINING!$V$9))*EXP(-((H23-TRAINING!$V$4)^2)/(2*(TRAINING!$V$9^2)))</f>
        <v>1.7262638883770522E-2</v>
      </c>
      <c r="AA23">
        <f>PRODUCT(K23,M23,O23,Q23,S23,U23,W23,Y23)*TRAINING!$L$2</f>
        <v>6.1518744242853067E-13</v>
      </c>
      <c r="AB23">
        <f>PRODUCT(L23,N23,P23,R23,T23,V23,X23,Z23)*TRAINING!$L$3</f>
        <v>2.5069645206232914E-13</v>
      </c>
      <c r="AC23">
        <f t="shared" si="0"/>
        <v>0</v>
      </c>
      <c r="AD23">
        <f t="shared" si="1"/>
        <v>1</v>
      </c>
      <c r="AF23" s="19"/>
      <c r="AG23" t="str">
        <f t="shared" si="2"/>
        <v>TN</v>
      </c>
    </row>
    <row r="24" spans="1:33" x14ac:dyDescent="0.3">
      <c r="A24">
        <v>7</v>
      </c>
      <c r="B24">
        <v>196</v>
      </c>
      <c r="C24">
        <v>90</v>
      </c>
      <c r="D24">
        <v>23</v>
      </c>
      <c r="E24">
        <v>30.5</v>
      </c>
      <c r="F24">
        <v>39.799999999999997</v>
      </c>
      <c r="G24">
        <v>0.45100000000000001</v>
      </c>
      <c r="H24">
        <v>41</v>
      </c>
      <c r="I24">
        <v>1</v>
      </c>
      <c r="K24">
        <f>(1/(SQRT(2*PI())*TRAINING!$O$8))*EXP(-((A24-TRAINING!$O$3)^2)/(2*(TRAINING!$O$8^2)))</f>
        <v>6.0464208917336747E-2</v>
      </c>
      <c r="L24">
        <f>(1/(SQRT(2*PI())*TRAINING!$O$9))*EXP(-((A24-TRAINING!$O$4)^2)/(2*(TRAINING!$O$9^2)))</f>
        <v>9.055444669307644E-2</v>
      </c>
      <c r="M24">
        <f>(1/(SQRT(2*PI())*TRAINING!$P$8))*EXP(-((B24-TRAINING!$P$3)^2)/(2*(TRAINING!$P$8^2)))</f>
        <v>4.4124974944792141E-5</v>
      </c>
      <c r="N24">
        <f>(1/(SQRT(2*PI())*TRAINING!$P$9))*EXP(-((B24-TRAINING!$P$4)^2)/(2*(TRAINING!$P$9^2)))</f>
        <v>2.6871491274213749E-3</v>
      </c>
      <c r="O24">
        <f>(1/(SQRT(2*PI())*TRAINING!$Q$8))*EXP(-((C24-TRAINING!$Q$3)^2)/(2*(TRAINING!$Q$8^2)))</f>
        <v>9.1004413738675835E-3</v>
      </c>
      <c r="P24">
        <f>(1/(SQRT(2*PI())*TRAINING!$Q$9))*EXP(-((C24-TRAINING!$Q$4)^2)/(2*(TRAINING!$Q$9^2)))</f>
        <v>1.5261261756373781E-2</v>
      </c>
      <c r="Q24">
        <f>(1/(SQRT(2*PI())*TRAINING!$R$8))*EXP(-((D24-TRAINING!$R$3)^2)/(2*(TRAINING!$R$8^2)))</f>
        <v>4.2691938231656991E-2</v>
      </c>
      <c r="R24">
        <f>(1/(SQRT(2*PI())*TRAINING!$R$9))*EXP(-((D24-TRAINING!$R$4)^2)/(2*(TRAINING!$R$9^2)))</f>
        <v>3.202065801833482E-2</v>
      </c>
      <c r="S24">
        <f>(1/(SQRT(2*PI())*TRAINING!$S$8))*EXP(-((E24-TRAINING!$S$3)^2)/(2*(TRAINING!$S$8^2)))</f>
        <v>3.5657055057560366E-3</v>
      </c>
      <c r="T24">
        <f>(1/(SQRT(2*PI())*TRAINING!$S$9))*EXP(-((E24-TRAINING!$S$4)^2)/(2*(TRAINING!$S$9^2)))</f>
        <v>2.5951511419773543E-3</v>
      </c>
      <c r="U24">
        <f>(1/(SQRT(2*PI())*TRAINING!$T$8))*EXP(-((F24-TRAINING!$T$3)^2)/(2*(TRAINING!$T$8^2)))</f>
        <v>2.4464676615300423E-2</v>
      </c>
      <c r="V24">
        <f>(1/(SQRT(2*PI())*TRAINING!$T$9))*EXP(-((F24-TRAINING!$T$4)^2)/(2*(TRAINING!$T$9^2)))</f>
        <v>4.8059188012520827E-2</v>
      </c>
      <c r="W24">
        <f>(1/(SQRT(2*PI())*TRAINING!$U$8))*EXP(-((G24-TRAINING!$U$3)^2)/(2*(TRAINING!$U$8^2)))</f>
        <v>1.3222931157129096</v>
      </c>
      <c r="X24">
        <f>(1/(SQRT(2*PI())*TRAINING!$U$9))*EXP(-((G24-TRAINING!$U$4)^2)/(2*(TRAINING!$U$9^2)))</f>
        <v>1.0649742602758938</v>
      </c>
      <c r="Y24">
        <f>(1/(SQRT(2*PI())*TRAINING!$V$8))*EXP(-((H24-TRAINING!$V$3)^2)/(2*(TRAINING!$V$8^2)))</f>
        <v>2.4108534115824809E-2</v>
      </c>
      <c r="Z24">
        <f>(1/(SQRT(2*PI())*TRAINING!$V$9))*EXP(-((H24-TRAINING!$V$4)^2)/(2*(TRAINING!$V$9^2)))</f>
        <v>3.3701231447308966E-2</v>
      </c>
      <c r="AA24">
        <f>PRODUCT(K24,M24,O24,Q24,S24,U24,W24,Y24)*TRAINING!$L$2</f>
        <v>1.879506902033174E-15</v>
      </c>
      <c r="AB24">
        <f>PRODUCT(L24,N24,P24,R24,T24,V24,X24,Z24)*TRAINING!$L$3</f>
        <v>1.8097772630629101E-13</v>
      </c>
      <c r="AC24">
        <f t="shared" si="0"/>
        <v>1</v>
      </c>
      <c r="AD24">
        <f t="shared" si="1"/>
        <v>1</v>
      </c>
      <c r="AF24" s="19"/>
      <c r="AG24" t="str">
        <f t="shared" si="2"/>
        <v>TP</v>
      </c>
    </row>
    <row r="25" spans="1:33" x14ac:dyDescent="0.3">
      <c r="A25">
        <v>9</v>
      </c>
      <c r="B25">
        <v>119</v>
      </c>
      <c r="C25">
        <v>80</v>
      </c>
      <c r="D25">
        <v>35</v>
      </c>
      <c r="E25">
        <v>30.5</v>
      </c>
      <c r="F25">
        <v>29</v>
      </c>
      <c r="G25">
        <v>0.26300000000000001</v>
      </c>
      <c r="H25">
        <v>29</v>
      </c>
      <c r="I25">
        <v>1</v>
      </c>
      <c r="K25">
        <f>(1/(SQRT(2*PI())*TRAINING!$O$8))*EXP(-((A25-TRAINING!$O$3)^2)/(2*(TRAINING!$O$8^2)))</f>
        <v>2.1285449196772267E-2</v>
      </c>
      <c r="L25">
        <f>(1/(SQRT(2*PI())*TRAINING!$O$9))*EXP(-((A25-TRAINING!$O$4)^2)/(2*(TRAINING!$O$9^2)))</f>
        <v>5.7131716423373204E-2</v>
      </c>
      <c r="M25">
        <f>(1/(SQRT(2*PI())*TRAINING!$P$8))*EXP(-((B25-TRAINING!$P$3)^2)/(2*(TRAINING!$P$8^2)))</f>
        <v>1.5398255207157072E-2</v>
      </c>
      <c r="N25">
        <f>(1/(SQRT(2*PI())*TRAINING!$P$9))*EXP(-((B25-TRAINING!$P$4)^2)/(2*(TRAINING!$P$9^2)))</f>
        <v>9.6460590091048421E-3</v>
      </c>
      <c r="O25">
        <f>(1/(SQRT(2*PI())*TRAINING!$Q$8))*EXP(-((C25-TRAINING!$Q$3)^2)/(2*(TRAINING!$Q$8^2)))</f>
        <v>2.5539275567719948E-2</v>
      </c>
      <c r="P25">
        <f>(1/(SQRT(2*PI())*TRAINING!$Q$9))*EXP(-((C25-TRAINING!$Q$4)^2)/(2*(TRAINING!$Q$9^2)))</f>
        <v>3.2561150559118943E-2</v>
      </c>
      <c r="Q25">
        <f>(1/(SQRT(2*PI())*TRAINING!$R$8))*EXP(-((D25-TRAINING!$R$3)^2)/(2*(TRAINING!$R$8^2)))</f>
        <v>2.718189188440388E-2</v>
      </c>
      <c r="R25">
        <f>(1/(SQRT(2*PI())*TRAINING!$R$9))*EXP(-((D25-TRAINING!$R$4)^2)/(2*(TRAINING!$R$9^2)))</f>
        <v>3.507068932058819E-2</v>
      </c>
      <c r="S25">
        <f>(1/(SQRT(2*PI())*TRAINING!$S$8))*EXP(-((E25-TRAINING!$S$3)^2)/(2*(TRAINING!$S$8^2)))</f>
        <v>3.5657055057560366E-3</v>
      </c>
      <c r="T25">
        <f>(1/(SQRT(2*PI())*TRAINING!$S$9))*EXP(-((E25-TRAINING!$S$4)^2)/(2*(TRAINING!$S$9^2)))</f>
        <v>2.5951511419773543E-3</v>
      </c>
      <c r="U25">
        <f>(1/(SQRT(2*PI())*TRAINING!$T$8))*EXP(-((F25-TRAINING!$T$3)^2)/(2*(TRAINING!$T$8^2)))</f>
        <v>5.8396645210392194E-2</v>
      </c>
      <c r="V25">
        <f>(1/(SQRT(2*PI())*TRAINING!$T$9))*EXP(-((F25-TRAINING!$T$4)^2)/(2*(TRAINING!$T$9^2)))</f>
        <v>3.8276919053765797E-2</v>
      </c>
      <c r="W25">
        <f>(1/(SQRT(2*PI())*TRAINING!$U$8))*EXP(-((G25-TRAINING!$U$3)^2)/(2*(TRAINING!$U$8^2)))</f>
        <v>1.1280783262916596</v>
      </c>
      <c r="X25">
        <f>(1/(SQRT(2*PI())*TRAINING!$U$9))*EXP(-((G25-TRAINING!$U$4)^2)/(2*(TRAINING!$U$9^2)))</f>
        <v>0.80486645970401616</v>
      </c>
      <c r="Y25">
        <f>(1/(SQRT(2*PI())*TRAINING!$V$8))*EXP(-((H25-TRAINING!$V$3)^2)/(2*(TRAINING!$V$8^2)))</f>
        <v>3.2970843943366711E-2</v>
      </c>
      <c r="Z25">
        <f>(1/(SQRT(2*PI())*TRAINING!$V$9))*EXP(-((H25-TRAINING!$V$4)^2)/(2*(TRAINING!$V$9^2)))</f>
        <v>2.8619090403733831E-2</v>
      </c>
      <c r="AA25">
        <f>PRODUCT(K25,M25,O25,Q25,S25,U25,W25,Y25)*TRAINING!$L$2</f>
        <v>1.1489854621038057E-12</v>
      </c>
      <c r="AB25">
        <f>PRODUCT(L25,N25,P25,R25,T25,V25,X25,Z25)*TRAINING!$L$3</f>
        <v>4.8958650036592709E-13</v>
      </c>
      <c r="AC25">
        <f t="shared" si="0"/>
        <v>0</v>
      </c>
      <c r="AD25">
        <f t="shared" si="1"/>
        <v>0</v>
      </c>
      <c r="AF25" s="19"/>
      <c r="AG25" t="str">
        <f t="shared" si="2"/>
        <v>FN</v>
      </c>
    </row>
    <row r="26" spans="1:33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K26">
        <f>(1/(SQRT(2*PI())*TRAINING!$O$8))*EXP(-((A26-TRAINING!$O$3)^2)/(2*(TRAINING!$O$8^2)))</f>
        <v>4.8403460391629903E-3</v>
      </c>
      <c r="L26">
        <f>(1/(SQRT(2*PI())*TRAINING!$O$9))*EXP(-((A26-TRAINING!$O$4)^2)/(2*(TRAINING!$O$9^2)))</f>
        <v>2.696227437375506E-2</v>
      </c>
      <c r="M26">
        <f>(1/(SQRT(2*PI())*TRAINING!$P$8))*EXP(-((B26-TRAINING!$P$3)^2)/(2*(TRAINING!$P$8^2)))</f>
        <v>7.0643320976713879E-3</v>
      </c>
      <c r="N26">
        <f>(1/(SQRT(2*PI())*TRAINING!$P$9))*EXP(-((B26-TRAINING!$P$4)^2)/(2*(TRAINING!$P$9^2)))</f>
        <v>1.3673948620617445E-2</v>
      </c>
      <c r="O26">
        <f>(1/(SQRT(2*PI())*TRAINING!$Q$8))*EXP(-((C26-TRAINING!$Q$3)^2)/(2*(TRAINING!$Q$8^2)))</f>
        <v>4.8952386314498886E-3</v>
      </c>
      <c r="P26">
        <f>(1/(SQRT(2*PI())*TRAINING!$Q$9))*EXP(-((C26-TRAINING!$Q$4)^2)/(2*(TRAINING!$Q$9^2)))</f>
        <v>9.0390839713520264E-3</v>
      </c>
      <c r="Q26">
        <f>(1/(SQRT(2*PI())*TRAINING!$R$8))*EXP(-((D26-TRAINING!$R$3)^2)/(2*(TRAINING!$R$8^2)))</f>
        <v>3.336517404102942E-2</v>
      </c>
      <c r="R26">
        <f>(1/(SQRT(2*PI())*TRAINING!$R$9))*EXP(-((D26-TRAINING!$R$4)^2)/(2*(TRAINING!$R$9^2)))</f>
        <v>3.8278756254114484E-2</v>
      </c>
      <c r="S26">
        <f>(1/(SQRT(2*PI())*TRAINING!$S$8))*EXP(-((E26-TRAINING!$S$3)^2)/(2*(TRAINING!$S$8^2)))</f>
        <v>3.4717103195185382E-3</v>
      </c>
      <c r="T26">
        <f>(1/(SQRT(2*PI())*TRAINING!$S$9))*EXP(-((E26-TRAINING!$S$4)^2)/(2*(TRAINING!$S$9^2)))</f>
        <v>3.180833382905084E-3</v>
      </c>
      <c r="U26">
        <f>(1/(SQRT(2*PI())*TRAINING!$T$8))*EXP(-((F26-TRAINING!$T$3)^2)/(2*(TRAINING!$T$8^2)))</f>
        <v>4.2110851491673797E-2</v>
      </c>
      <c r="V26">
        <f>(1/(SQRT(2*PI())*TRAINING!$T$9))*EXP(-((F26-TRAINING!$T$4)^2)/(2*(TRAINING!$T$9^2)))</f>
        <v>5.9514091927754045E-2</v>
      </c>
      <c r="W26">
        <f>(1/(SQRT(2*PI())*TRAINING!$U$8))*EXP(-((G26-TRAINING!$U$3)^2)/(2*(TRAINING!$U$8^2)))</f>
        <v>1.1086462197911802</v>
      </c>
      <c r="X26">
        <f>(1/(SQRT(2*PI())*TRAINING!$U$9))*EXP(-((G26-TRAINING!$U$4)^2)/(2*(TRAINING!$U$9^2)))</f>
        <v>0.78875196161603145</v>
      </c>
      <c r="Y26">
        <f>(1/(SQRT(2*PI())*TRAINING!$V$8))*EXP(-((H26-TRAINING!$V$3)^2)/(2*(TRAINING!$V$8^2)))</f>
        <v>8.5078297673127894E-3</v>
      </c>
      <c r="Z26">
        <f>(1/(SQRT(2*PI())*TRAINING!$V$9))*EXP(-((H26-TRAINING!$V$4)^2)/(2*(TRAINING!$V$9^2)))</f>
        <v>1.5368647426794401E-2</v>
      </c>
      <c r="AA26">
        <f>PRODUCT(K26,M26,O26,Q26,S26,U26,W26,Y26)*TRAINING!$L$2</f>
        <v>5.0214982137580383E-15</v>
      </c>
      <c r="AB26">
        <f>PRODUCT(L26,N26,P26,R26,T26,V26,X26,Z26)*TRAINING!$L$3</f>
        <v>9.9528728493688057E-14</v>
      </c>
      <c r="AC26">
        <f t="shared" si="0"/>
        <v>1</v>
      </c>
      <c r="AD26">
        <f t="shared" si="1"/>
        <v>1</v>
      </c>
      <c r="AF26" s="19"/>
      <c r="AG26" t="str">
        <f t="shared" si="2"/>
        <v>TP</v>
      </c>
    </row>
    <row r="27" spans="1:33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  <c r="K27">
        <f>(1/(SQRT(2*PI())*TRAINING!$O$8))*EXP(-((A27-TRAINING!$O$3)^2)/(2*(TRAINING!$O$8^2)))</f>
        <v>1.0720214418818754E-2</v>
      </c>
      <c r="L27">
        <f>(1/(SQRT(2*PI())*TRAINING!$O$9))*EXP(-((A27-TRAINING!$O$4)^2)/(2*(TRAINING!$O$9^2)))</f>
        <v>4.0698455459240418E-2</v>
      </c>
      <c r="M27">
        <f>(1/(SQRT(2*PI())*TRAINING!$P$8))*EXP(-((B27-TRAINING!$P$3)^2)/(2*(TRAINING!$P$8^2)))</f>
        <v>1.3849429291927092E-2</v>
      </c>
      <c r="N27">
        <f>(1/(SQRT(2*PI())*TRAINING!$P$9))*EXP(-((B27-TRAINING!$P$4)^2)/(2*(TRAINING!$P$9^2)))</f>
        <v>1.1214811619511168E-2</v>
      </c>
      <c r="O27">
        <f>(1/(SQRT(2*PI())*TRAINING!$Q$8))*EXP(-((C27-TRAINING!$Q$3)^2)/(2*(TRAINING!$Q$8^2)))</f>
        <v>3.4183653072486359E-2</v>
      </c>
      <c r="P27">
        <f>(1/(SQRT(2*PI())*TRAINING!$Q$9))*EXP(-((C27-TRAINING!$Q$4)^2)/(2*(TRAINING!$Q$9^2)))</f>
        <v>3.159268547546501E-2</v>
      </c>
      <c r="Q27">
        <f>(1/(SQRT(2*PI())*TRAINING!$R$8))*EXP(-((D27-TRAINING!$R$3)^2)/(2*(TRAINING!$R$8^2)))</f>
        <v>4.5434206234788249E-2</v>
      </c>
      <c r="R27">
        <f>(1/(SQRT(2*PI())*TRAINING!$R$9))*EXP(-((D27-TRAINING!$R$4)^2)/(2*(TRAINING!$R$9^2)))</f>
        <v>3.762856642633168E-2</v>
      </c>
      <c r="S27">
        <f>(1/(SQRT(2*PI())*TRAINING!$S$8))*EXP(-((E27-TRAINING!$S$3)^2)/(2*(TRAINING!$S$8^2)))</f>
        <v>4.0581763649023593E-3</v>
      </c>
      <c r="T27">
        <f>(1/(SQRT(2*PI())*TRAINING!$S$9))*EXP(-((E27-TRAINING!$S$4)^2)/(2*(TRAINING!$S$9^2)))</f>
        <v>3.2928749452518433E-3</v>
      </c>
      <c r="U27">
        <f>(1/(SQRT(2*PI())*TRAINING!$T$8))*EXP(-((F27-TRAINING!$T$3)^2)/(2*(TRAINING!$T$8^2)))</f>
        <v>6.1093471175138997E-2</v>
      </c>
      <c r="V27">
        <f>(1/(SQRT(2*PI())*TRAINING!$T$9))*EXP(-((F27-TRAINING!$T$4)^2)/(2*(TRAINING!$T$9^2)))</f>
        <v>4.9420060157462031E-2</v>
      </c>
      <c r="W27">
        <f>(1/(SQRT(2*PI())*TRAINING!$U$8))*EXP(-((G27-TRAINING!$U$3)^2)/(2*(TRAINING!$U$8^2)))</f>
        <v>0.99289985085831434</v>
      </c>
      <c r="X27">
        <f>(1/(SQRT(2*PI())*TRAINING!$U$9))*EXP(-((G27-TRAINING!$U$4)^2)/(2*(TRAINING!$U$9^2)))</f>
        <v>0.6988322917940597</v>
      </c>
      <c r="Y27">
        <f>(1/(SQRT(2*PI())*TRAINING!$V$8))*EXP(-((H27-TRAINING!$V$3)^2)/(2*(TRAINING!$V$8^2)))</f>
        <v>2.4108534115824809E-2</v>
      </c>
      <c r="Z27">
        <f>(1/(SQRT(2*PI())*TRAINING!$V$9))*EXP(-((H27-TRAINING!$V$4)^2)/(2*(TRAINING!$V$9^2)))</f>
        <v>3.3701231447308966E-2</v>
      </c>
      <c r="AA27">
        <f>PRODUCT(K27,M27,O27,Q27,S27,U27,W27,Y27)*TRAINING!$L$2</f>
        <v>8.9229403940252312E-13</v>
      </c>
      <c r="AB27">
        <f>PRODUCT(L27,N27,P27,R27,T27,V27,X27,Z27)*TRAINING!$L$3</f>
        <v>7.0705026088759209E-13</v>
      </c>
      <c r="AC27">
        <f t="shared" si="0"/>
        <v>0</v>
      </c>
      <c r="AD27">
        <f t="shared" si="1"/>
        <v>0</v>
      </c>
      <c r="AF27" s="19"/>
      <c r="AG27" t="str">
        <f t="shared" si="2"/>
        <v>FN</v>
      </c>
    </row>
    <row r="28" spans="1:33" x14ac:dyDescent="0.3">
      <c r="A28">
        <v>7</v>
      </c>
      <c r="B28">
        <v>147</v>
      </c>
      <c r="C28">
        <v>76</v>
      </c>
      <c r="D28">
        <v>23</v>
      </c>
      <c r="E28">
        <v>30.5</v>
      </c>
      <c r="F28">
        <v>39.4</v>
      </c>
      <c r="G28">
        <v>0.25700000000000001</v>
      </c>
      <c r="H28">
        <v>43</v>
      </c>
      <c r="I28">
        <v>1</v>
      </c>
      <c r="K28">
        <f>(1/(SQRT(2*PI())*TRAINING!$O$8))*EXP(-((A28-TRAINING!$O$3)^2)/(2*(TRAINING!$O$8^2)))</f>
        <v>6.0464208917336747E-2</v>
      </c>
      <c r="L28">
        <f>(1/(SQRT(2*PI())*TRAINING!$O$9))*EXP(-((A28-TRAINING!$O$4)^2)/(2*(TRAINING!$O$9^2)))</f>
        <v>9.055444669307644E-2</v>
      </c>
      <c r="M28">
        <f>(1/(SQRT(2*PI())*TRAINING!$P$8))*EXP(-((B28-TRAINING!$P$3)^2)/(2*(TRAINING!$P$8^2)))</f>
        <v>5.6582536060978249E-3</v>
      </c>
      <c r="N28">
        <f>(1/(SQRT(2*PI())*TRAINING!$P$9))*EXP(-((B28-TRAINING!$P$4)^2)/(2*(TRAINING!$P$9^2)))</f>
        <v>1.356983684012157E-2</v>
      </c>
      <c r="O28">
        <f>(1/(SQRT(2*PI())*TRAINING!$Q$8))*EXP(-((C28-TRAINING!$Q$3)^2)/(2*(TRAINING!$Q$8^2)))</f>
        <v>3.13643924782957E-2</v>
      </c>
      <c r="P28">
        <f>(1/(SQRT(2*PI())*TRAINING!$Q$9))*EXP(-((C28-TRAINING!$Q$4)^2)/(2*(TRAINING!$Q$9^2)))</f>
        <v>3.5360725179086838E-2</v>
      </c>
      <c r="Q28">
        <f>(1/(SQRT(2*PI())*TRAINING!$R$8))*EXP(-((D28-TRAINING!$R$3)^2)/(2*(TRAINING!$R$8^2)))</f>
        <v>4.2691938231656991E-2</v>
      </c>
      <c r="R28">
        <f>(1/(SQRT(2*PI())*TRAINING!$R$9))*EXP(-((D28-TRAINING!$R$4)^2)/(2*(TRAINING!$R$9^2)))</f>
        <v>3.202065801833482E-2</v>
      </c>
      <c r="S28">
        <f>(1/(SQRT(2*PI())*TRAINING!$S$8))*EXP(-((E28-TRAINING!$S$3)^2)/(2*(TRAINING!$S$8^2)))</f>
        <v>3.5657055057560366E-3</v>
      </c>
      <c r="T28">
        <f>(1/(SQRT(2*PI())*TRAINING!$S$9))*EXP(-((E28-TRAINING!$S$4)^2)/(2*(TRAINING!$S$9^2)))</f>
        <v>2.5951511419773543E-3</v>
      </c>
      <c r="U28">
        <f>(1/(SQRT(2*PI())*TRAINING!$T$8))*EXP(-((F28-TRAINING!$T$3)^2)/(2*(TRAINING!$T$8^2)))</f>
        <v>2.6529385675818012E-2</v>
      </c>
      <c r="V28">
        <f>(1/(SQRT(2*PI())*TRAINING!$T$9))*EXP(-((F28-TRAINING!$T$4)^2)/(2*(TRAINING!$T$9^2)))</f>
        <v>5.0004169692706588E-2</v>
      </c>
      <c r="W28">
        <f>(1/(SQRT(2*PI())*TRAINING!$U$8))*EXP(-((G28-TRAINING!$U$3)^2)/(2*(TRAINING!$U$8^2)))</f>
        <v>1.1151967317593605</v>
      </c>
      <c r="X28">
        <f>(1/(SQRT(2*PI())*TRAINING!$U$9))*EXP(-((G28-TRAINING!$U$4)^2)/(2*(TRAINING!$U$9^2)))</f>
        <v>0.79414226376750718</v>
      </c>
      <c r="Y28">
        <f>(1/(SQRT(2*PI())*TRAINING!$V$8))*EXP(-((H28-TRAINING!$V$3)^2)/(2*(TRAINING!$V$8^2)))</f>
        <v>2.0718522200304627E-2</v>
      </c>
      <c r="Z28">
        <f>(1/(SQRT(2*PI())*TRAINING!$V$9))*EXP(-((H28-TRAINING!$V$4)^2)/(2*(TRAINING!$V$9^2)))</f>
        <v>3.0799729536203371E-2</v>
      </c>
      <c r="AA28">
        <f>PRODUCT(K28,M28,O28,Q28,S28,U28,W28,Y28)*TRAINING!$L$2</f>
        <v>6.5285347653020858E-13</v>
      </c>
      <c r="AB28">
        <f>PRODUCT(L28,N28,P28,R28,T28,V28,X28,Z28)*TRAINING!$L$3</f>
        <v>1.5015120727202397E-12</v>
      </c>
      <c r="AC28">
        <f t="shared" si="0"/>
        <v>1</v>
      </c>
      <c r="AD28">
        <f t="shared" si="1"/>
        <v>1</v>
      </c>
      <c r="AF28" s="19"/>
      <c r="AG28" t="str">
        <f t="shared" si="2"/>
        <v>TP</v>
      </c>
    </row>
    <row r="29" spans="1:33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  <c r="K29">
        <f>(1/(SQRT(2*PI())*TRAINING!$O$8))*EXP(-((A29-TRAINING!$O$3)^2)/(2*(TRAINING!$O$8^2)))</f>
        <v>0.10069314833313707</v>
      </c>
      <c r="L29">
        <f>(1/(SQRT(2*PI())*TRAINING!$O$9))*EXP(-((A29-TRAINING!$O$4)^2)/(2*(TRAINING!$O$9^2)))</f>
        <v>6.3165200316397857E-2</v>
      </c>
      <c r="M29">
        <f>(1/(SQRT(2*PI())*TRAINING!$P$8))*EXP(-((B29-TRAINING!$P$3)^2)/(2*(TRAINING!$P$8^2)))</f>
        <v>1.3688190524773774E-2</v>
      </c>
      <c r="N29">
        <f>(1/(SQRT(2*PI())*TRAINING!$P$9))*EXP(-((B29-TRAINING!$P$4)^2)/(2*(TRAINING!$P$9^2)))</f>
        <v>3.8656635690959232E-3</v>
      </c>
      <c r="O29">
        <f>(1/(SQRT(2*PI())*TRAINING!$Q$8))*EXP(-((C29-TRAINING!$Q$3)^2)/(2*(TRAINING!$Q$8^2)))</f>
        <v>3.1219956230797655E-2</v>
      </c>
      <c r="P29">
        <f>(1/(SQRT(2*PI())*TRAINING!$Q$9))*EXP(-((C29-TRAINING!$Q$4)^2)/(2*(TRAINING!$Q$9^2)))</f>
        <v>2.5033349599780073E-2</v>
      </c>
      <c r="Q29">
        <f>(1/(SQRT(2*PI())*TRAINING!$R$8))*EXP(-((D29-TRAINING!$R$3)^2)/(2*(TRAINING!$R$8^2)))</f>
        <v>2.0434713115401574E-2</v>
      </c>
      <c r="R29">
        <f>(1/(SQRT(2*PI())*TRAINING!$R$9))*EXP(-((D29-TRAINING!$R$4)^2)/(2*(TRAINING!$R$9^2)))</f>
        <v>1.3252384353220969E-2</v>
      </c>
      <c r="S29">
        <f>(1/(SQRT(2*PI())*TRAINING!$S$8))*EXP(-((E29-TRAINING!$S$3)^2)/(2*(TRAINING!$S$8^2)))</f>
        <v>3.6088349201393584E-3</v>
      </c>
      <c r="T29">
        <f>(1/(SQRT(2*PI())*TRAINING!$S$9))*EXP(-((E29-TRAINING!$S$4)^2)/(2*(TRAINING!$S$9^2)))</f>
        <v>3.2186222071415426E-3</v>
      </c>
      <c r="U29">
        <f>(1/(SQRT(2*PI())*TRAINING!$T$8))*EXP(-((F29-TRAINING!$T$3)^2)/(2*(TRAINING!$T$8^2)))</f>
        <v>3.0116411155062833E-2</v>
      </c>
      <c r="V29">
        <f>(1/(SQRT(2*PI())*TRAINING!$T$9))*EXP(-((F29-TRAINING!$T$4)^2)/(2*(TRAINING!$T$9^2)))</f>
        <v>1.1126580002408419E-2</v>
      </c>
      <c r="W29">
        <f>(1/(SQRT(2*PI())*TRAINING!$U$8))*EXP(-((G29-TRAINING!$U$3)^2)/(2*(TRAINING!$U$8^2)))</f>
        <v>1.3038790247538601</v>
      </c>
      <c r="X29">
        <f>(1/(SQRT(2*PI())*TRAINING!$U$9))*EXP(-((G29-TRAINING!$U$4)^2)/(2*(TRAINING!$U$9^2)))</f>
        <v>1.0893267647765292</v>
      </c>
      <c r="Y29">
        <f>(1/(SQRT(2*PI())*TRAINING!$V$8))*EXP(-((H29-TRAINING!$V$3)^2)/(2*(TRAINING!$V$8^2)))</f>
        <v>2.4686919742992346E-2</v>
      </c>
      <c r="Z29">
        <f>(1/(SQRT(2*PI())*TRAINING!$V$9))*EXP(-((H29-TRAINING!$V$4)^2)/(2*(TRAINING!$V$9^2)))</f>
        <v>1.4904761570265752E-2</v>
      </c>
      <c r="AA29">
        <f>PRODUCT(K29,M29,O29,Q29,S29,U29,W29,Y29)*TRAINING!$L$2</f>
        <v>2.0058132292353442E-12</v>
      </c>
      <c r="AB29">
        <f>PRODUCT(L29,N29,P29,R29,T29,V29,X29,Z29)*TRAINING!$L$3</f>
        <v>1.6014328857226705E-14</v>
      </c>
      <c r="AC29">
        <f t="shared" si="0"/>
        <v>0</v>
      </c>
      <c r="AD29">
        <f t="shared" si="1"/>
        <v>1</v>
      </c>
      <c r="AF29" s="19"/>
      <c r="AG29" t="str">
        <f t="shared" si="2"/>
        <v>TN</v>
      </c>
    </row>
    <row r="30" spans="1:33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  <c r="K30">
        <f>(1/(SQRT(2*PI())*TRAINING!$O$8))*EXP(-((A30-TRAINING!$O$3)^2)/(2*(TRAINING!$O$8^2)))</f>
        <v>7.1101563058902962E-4</v>
      </c>
      <c r="L30">
        <f>(1/(SQRT(2*PI())*TRAINING!$O$9))*EXP(-((A30-TRAINING!$O$4)^2)/(2*(TRAINING!$O$9^2)))</f>
        <v>9.5180402541082624E-3</v>
      </c>
      <c r="M30">
        <f>(1/(SQRT(2*PI())*TRAINING!$P$8))*EXP(-((B30-TRAINING!$P$3)^2)/(2*(TRAINING!$P$8^2)))</f>
        <v>6.343149153300298E-3</v>
      </c>
      <c r="N30">
        <f>(1/(SQRT(2*PI())*TRAINING!$P$9))*EXP(-((B30-TRAINING!$P$4)^2)/(2*(TRAINING!$P$9^2)))</f>
        <v>1.3653842210280175E-2</v>
      </c>
      <c r="O30">
        <f>(1/(SQRT(2*PI())*TRAINING!$Q$8))*EXP(-((C30-TRAINING!$Q$3)^2)/(2*(TRAINING!$Q$8^2)))</f>
        <v>2.2044601279935228E-2</v>
      </c>
      <c r="P30">
        <f>(1/(SQRT(2*PI())*TRAINING!$Q$9))*EXP(-((C30-TRAINING!$Q$4)^2)/(2*(TRAINING!$Q$9^2)))</f>
        <v>2.9802704876182827E-2</v>
      </c>
      <c r="Q30">
        <f>(1/(SQRT(2*PI())*TRAINING!$R$8))*EXP(-((D30-TRAINING!$R$3)^2)/(2*(TRAINING!$R$8^2)))</f>
        <v>3.2766195706041425E-2</v>
      </c>
      <c r="R30">
        <f>(1/(SQRT(2*PI())*TRAINING!$R$9))*EXP(-((D30-TRAINING!$R$4)^2)/(2*(TRAINING!$R$9^2)))</f>
        <v>2.2363588406971651E-2</v>
      </c>
      <c r="S30">
        <f>(1/(SQRT(2*PI())*TRAINING!$S$8))*EXP(-((E30-TRAINING!$S$3)^2)/(2*(TRAINING!$S$8^2)))</f>
        <v>4.1192704865141158E-3</v>
      </c>
      <c r="T30">
        <f>(1/(SQRT(2*PI())*TRAINING!$S$9))*EXP(-((E30-TRAINING!$S$4)^2)/(2*(TRAINING!$S$9^2)))</f>
        <v>3.2910696202043902E-3</v>
      </c>
      <c r="U30">
        <f>(1/(SQRT(2*PI())*TRAINING!$T$8))*EXP(-((F30-TRAINING!$T$3)^2)/(2*(TRAINING!$T$8^2)))</f>
        <v>2.4807140809575776E-2</v>
      </c>
      <c r="V30">
        <f>(1/(SQRT(2*PI())*TRAINING!$T$9))*EXP(-((F30-TRAINING!$T$4)^2)/(2*(TRAINING!$T$9^2)))</f>
        <v>8.3119086875919762E-3</v>
      </c>
      <c r="W30">
        <f>(1/(SQRT(2*PI())*TRAINING!$U$8))*EXP(-((G30-TRAINING!$U$3)^2)/(2*(TRAINING!$U$8^2)))</f>
        <v>1.088576519791892</v>
      </c>
      <c r="X30">
        <f>(1/(SQRT(2*PI())*TRAINING!$U$9))*EXP(-((G30-TRAINING!$U$4)^2)/(2*(TRAINING!$U$9^2)))</f>
        <v>0.77247866369190132</v>
      </c>
      <c r="Y30">
        <f>(1/(SQRT(2*PI())*TRAINING!$V$8))*EXP(-((H30-TRAINING!$V$3)^2)/(2*(TRAINING!$V$8^2)))</f>
        <v>3.2393460511467623E-3</v>
      </c>
      <c r="Z30">
        <f>(1/(SQRT(2*PI())*TRAINING!$V$9))*EXP(-((H30-TRAINING!$V$4)^2)/(2*(TRAINING!$V$9^2)))</f>
        <v>6.4181613605514389E-3</v>
      </c>
      <c r="AA30">
        <f>PRODUCT(K30,M30,O30,Q30,S30,U30,W30,Y30)*TRAINING!$L$2</f>
        <v>7.6541140160252724E-16</v>
      </c>
      <c r="AB30">
        <f>PRODUCT(L30,N30,P30,R30,T30,V30,X30,Z30)*TRAINING!$L$3</f>
        <v>3.99404969547273E-15</v>
      </c>
      <c r="AC30">
        <f t="shared" si="0"/>
        <v>1</v>
      </c>
      <c r="AD30">
        <f t="shared" si="1"/>
        <v>0</v>
      </c>
      <c r="AF30" s="19"/>
      <c r="AG30" t="str">
        <f t="shared" si="2"/>
        <v>FP</v>
      </c>
    </row>
    <row r="31" spans="1:33" x14ac:dyDescent="0.3">
      <c r="A31">
        <v>5</v>
      </c>
      <c r="B31">
        <v>117</v>
      </c>
      <c r="C31">
        <v>92</v>
      </c>
      <c r="D31">
        <v>23</v>
      </c>
      <c r="E31">
        <v>30.5</v>
      </c>
      <c r="F31">
        <v>34.1</v>
      </c>
      <c r="G31">
        <v>0.33700000000000002</v>
      </c>
      <c r="H31">
        <v>38</v>
      </c>
      <c r="I31">
        <v>0</v>
      </c>
      <c r="K31">
        <f>(1/(SQRT(2*PI())*TRAINING!$O$8))*EXP(-((A31-TRAINING!$O$3)^2)/(2*(TRAINING!$O$8^2)))</f>
        <v>0.11094891947307506</v>
      </c>
      <c r="L31">
        <f>(1/(SQRT(2*PI())*TRAINING!$O$9))*EXP(-((A31-TRAINING!$O$4)^2)/(2*(TRAINING!$O$9^2)))</f>
        <v>0.1073628550745119</v>
      </c>
      <c r="M31">
        <f>(1/(SQRT(2*PI())*TRAINING!$P$8))*EXP(-((B31-TRAINING!$P$3)^2)/(2*(TRAINING!$P$8^2)))</f>
        <v>1.5743648937089565E-2</v>
      </c>
      <c r="N31">
        <f>(1/(SQRT(2*PI())*TRAINING!$P$9))*EXP(-((B31-TRAINING!$P$4)^2)/(2*(TRAINING!$P$9^2)))</f>
        <v>9.0876901701360917E-3</v>
      </c>
      <c r="O31">
        <f>(1/(SQRT(2*PI())*TRAINING!$Q$8))*EXP(-((C31-TRAINING!$Q$3)^2)/(2*(TRAINING!$Q$8^2)))</f>
        <v>6.7740576174603632E-3</v>
      </c>
      <c r="P31">
        <f>(1/(SQRT(2*PI())*TRAINING!$Q$9))*EXP(-((C31-TRAINING!$Q$4)^2)/(2*(TRAINING!$Q$9^2)))</f>
        <v>1.1931687795893526E-2</v>
      </c>
      <c r="Q31">
        <f>(1/(SQRT(2*PI())*TRAINING!$R$8))*EXP(-((D31-TRAINING!$R$3)^2)/(2*(TRAINING!$R$8^2)))</f>
        <v>4.2691938231656991E-2</v>
      </c>
      <c r="R31">
        <f>(1/(SQRT(2*PI())*TRAINING!$R$9))*EXP(-((D31-TRAINING!$R$4)^2)/(2*(TRAINING!$R$9^2)))</f>
        <v>3.202065801833482E-2</v>
      </c>
      <c r="S31">
        <f>(1/(SQRT(2*PI())*TRAINING!$S$8))*EXP(-((E31-TRAINING!$S$3)^2)/(2*(TRAINING!$S$8^2)))</f>
        <v>3.5657055057560366E-3</v>
      </c>
      <c r="T31">
        <f>(1/(SQRT(2*PI())*TRAINING!$S$9))*EXP(-((E31-TRAINING!$S$4)^2)/(2*(TRAINING!$S$9^2)))</f>
        <v>2.5951511419773543E-3</v>
      </c>
      <c r="U31">
        <f>(1/(SQRT(2*PI())*TRAINING!$T$8))*EXP(-((F31-TRAINING!$T$3)^2)/(2*(TRAINING!$T$8^2)))</f>
        <v>5.4457543547127348E-2</v>
      </c>
      <c r="V31">
        <f>(1/(SQRT(2*PI())*TRAINING!$T$9))*EXP(-((F31-TRAINING!$T$4)^2)/(2*(TRAINING!$T$9^2)))</f>
        <v>5.9647693814333928E-2</v>
      </c>
      <c r="W31">
        <f>(1/(SQRT(2*PI())*TRAINING!$U$8))*EXP(-((G31-TRAINING!$U$3)^2)/(2*(TRAINING!$U$8^2)))</f>
        <v>1.2580145598038635</v>
      </c>
      <c r="X31">
        <f>(1/(SQRT(2*PI())*TRAINING!$U$9))*EXP(-((G31-TRAINING!$U$4)^2)/(2*(TRAINING!$U$9^2)))</f>
        <v>0.92829065954435563</v>
      </c>
      <c r="Y31">
        <f>(1/(SQRT(2*PI())*TRAINING!$V$8))*EXP(-((H31-TRAINING!$V$3)^2)/(2*(TRAINING!$V$8^2)))</f>
        <v>2.8692713638906624E-2</v>
      </c>
      <c r="Z31">
        <f>(1/(SQRT(2*PI())*TRAINING!$V$9))*EXP(-((H31-TRAINING!$V$4)^2)/(2*(TRAINING!$V$9^2)))</f>
        <v>3.6225122426769528E-2</v>
      </c>
      <c r="AA31">
        <f>PRODUCT(K31,M31,O31,Q31,S31,U31,W31,Y31)*TRAINING!$L$2</f>
        <v>2.3086244989412477E-12</v>
      </c>
      <c r="AB31">
        <f>PRODUCT(L31,N31,P31,R31,T31,V31,X31,Z31)*TRAINING!$L$3</f>
        <v>6.5973385416081315E-13</v>
      </c>
      <c r="AC31">
        <f t="shared" si="0"/>
        <v>0</v>
      </c>
      <c r="AD31">
        <f t="shared" si="1"/>
        <v>1</v>
      </c>
      <c r="AF31" s="19"/>
      <c r="AG31" t="str">
        <f t="shared" si="2"/>
        <v>TN</v>
      </c>
    </row>
    <row r="32" spans="1:33" x14ac:dyDescent="0.3">
      <c r="A32">
        <v>5</v>
      </c>
      <c r="B32">
        <v>109</v>
      </c>
      <c r="C32">
        <v>75</v>
      </c>
      <c r="D32">
        <v>26</v>
      </c>
      <c r="E32">
        <v>30.5</v>
      </c>
      <c r="F32">
        <v>36</v>
      </c>
      <c r="G32">
        <v>0.54600000000000004</v>
      </c>
      <c r="H32">
        <v>60</v>
      </c>
      <c r="I32">
        <v>0</v>
      </c>
      <c r="K32">
        <f>(1/(SQRT(2*PI())*TRAINING!$O$8))*EXP(-((A32-TRAINING!$O$3)^2)/(2*(TRAINING!$O$8^2)))</f>
        <v>0.11094891947307506</v>
      </c>
      <c r="L32">
        <f>(1/(SQRT(2*PI())*TRAINING!$O$9))*EXP(-((A32-TRAINING!$O$4)^2)/(2*(TRAINING!$O$9^2)))</f>
        <v>0.1073628550745119</v>
      </c>
      <c r="M32">
        <f>(1/(SQRT(2*PI())*TRAINING!$P$8))*EXP(-((B32-TRAINING!$P$3)^2)/(2*(TRAINING!$P$8^2)))</f>
        <v>1.6109335416312955E-2</v>
      </c>
      <c r="N32">
        <f>(1/(SQRT(2*PI())*TRAINING!$P$9))*EXP(-((B32-TRAINING!$P$4)^2)/(2*(TRAINING!$P$9^2)))</f>
        <v>6.830555204685747E-3</v>
      </c>
      <c r="O32">
        <f>(1/(SQRT(2*PI())*TRAINING!$Q$8))*EXP(-((C32-TRAINING!$Q$3)^2)/(2*(TRAINING!$Q$8^2)))</f>
        <v>3.2411979135393697E-2</v>
      </c>
      <c r="P32">
        <f>(1/(SQRT(2*PI())*TRAINING!$Q$9))*EXP(-((C32-TRAINING!$Q$4)^2)/(2*(TRAINING!$Q$9^2)))</f>
        <v>3.5393291714439612E-2</v>
      </c>
      <c r="Q32">
        <f>(1/(SQRT(2*PI())*TRAINING!$R$8))*EXP(-((D32-TRAINING!$R$3)^2)/(2*(TRAINING!$R$8^2)))</f>
        <v>4.5434206234788249E-2</v>
      </c>
      <c r="R32">
        <f>(1/(SQRT(2*PI())*TRAINING!$R$9))*EXP(-((D32-TRAINING!$R$4)^2)/(2*(TRAINING!$R$9^2)))</f>
        <v>3.762856642633168E-2</v>
      </c>
      <c r="S32">
        <f>(1/(SQRT(2*PI())*TRAINING!$S$8))*EXP(-((E32-TRAINING!$S$3)^2)/(2*(TRAINING!$S$8^2)))</f>
        <v>3.5657055057560366E-3</v>
      </c>
      <c r="T32">
        <f>(1/(SQRT(2*PI())*TRAINING!$S$9))*EXP(-((E32-TRAINING!$S$4)^2)/(2*(TRAINING!$S$9^2)))</f>
        <v>2.5951511419773543E-3</v>
      </c>
      <c r="U32">
        <f>(1/(SQRT(2*PI())*TRAINING!$T$8))*EXP(-((F32-TRAINING!$T$3)^2)/(2*(TRAINING!$T$8^2)))</f>
        <v>4.539428457761191E-2</v>
      </c>
      <c r="V32">
        <f>(1/(SQRT(2*PI())*TRAINING!$T$9))*EXP(-((F32-TRAINING!$T$4)^2)/(2*(TRAINING!$T$9^2)))</f>
        <v>6.0336253282977405E-2</v>
      </c>
      <c r="W32">
        <f>(1/(SQRT(2*PI())*TRAINING!$U$8))*EXP(-((G32-TRAINING!$U$3)^2)/(2*(TRAINING!$U$8^2)))</f>
        <v>1.2354930582818193</v>
      </c>
      <c r="X32">
        <f>(1/(SQRT(2*PI())*TRAINING!$U$9))*EXP(-((G32-TRAINING!$U$4)^2)/(2*(TRAINING!$U$9^2)))</f>
        <v>1.1063402821196542</v>
      </c>
      <c r="Y32">
        <f>(1/(SQRT(2*PI())*TRAINING!$V$8))*EXP(-((H32-TRAINING!$V$3)^2)/(2*(TRAINING!$V$8^2)))</f>
        <v>1.8162081375363486E-3</v>
      </c>
      <c r="Z32">
        <f>(1/(SQRT(2*PI())*TRAINING!$V$9))*EXP(-((H32-TRAINING!$V$4)^2)/(2*(TRAINING!$V$9^2)))</f>
        <v>3.7041327793533815E-3</v>
      </c>
      <c r="AA32">
        <f>PRODUCT(K32,M32,O32,Q32,S32,U32,W32,Y32)*TRAINING!$L$2</f>
        <v>6.2331995135714801E-13</v>
      </c>
      <c r="AB32">
        <f>PRODUCT(L32,N32,P32,R32,T32,V32,X32,Z32)*TRAINING!$L$3</f>
        <v>2.1308057952747525E-13</v>
      </c>
      <c r="AC32">
        <f t="shared" si="0"/>
        <v>0</v>
      </c>
      <c r="AD32">
        <f t="shared" si="1"/>
        <v>1</v>
      </c>
      <c r="AF32" s="19"/>
      <c r="AG32" t="str">
        <f t="shared" si="2"/>
        <v>TN</v>
      </c>
    </row>
    <row r="33" spans="1:33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  <c r="K33">
        <f>(1/(SQRT(2*PI())*TRAINING!$O$8))*EXP(-((A33-TRAINING!$O$3)^2)/(2*(TRAINING!$O$8^2)))</f>
        <v>0.13150943904653345</v>
      </c>
      <c r="L33">
        <f>(1/(SQRT(2*PI())*TRAINING!$O$9))*EXP(-((A33-TRAINING!$O$4)^2)/(2*(TRAINING!$O$9^2)))</f>
        <v>9.5216033172430034E-2</v>
      </c>
      <c r="M33">
        <f>(1/(SQRT(2*PI())*TRAINING!$P$8))*EXP(-((B33-TRAINING!$P$3)^2)/(2*(TRAINING!$P$8^2)))</f>
        <v>2.6835004069104221E-3</v>
      </c>
      <c r="N33">
        <f>(1/(SQRT(2*PI())*TRAINING!$P$9))*EXP(-((B33-TRAINING!$P$4)^2)/(2*(TRAINING!$P$9^2)))</f>
        <v>1.2059990445682045E-2</v>
      </c>
      <c r="O33">
        <f>(1/(SQRT(2*PI())*TRAINING!$Q$8))*EXP(-((C33-TRAINING!$Q$3)^2)/(2*(TRAINING!$Q$8^2)))</f>
        <v>3.13643924782957E-2</v>
      </c>
      <c r="P33">
        <f>(1/(SQRT(2*PI())*TRAINING!$Q$9))*EXP(-((C33-TRAINING!$Q$4)^2)/(2*(TRAINING!$Q$9^2)))</f>
        <v>3.5360725179086838E-2</v>
      </c>
      <c r="Q33">
        <f>(1/(SQRT(2*PI())*TRAINING!$R$8))*EXP(-((D33-TRAINING!$R$3)^2)/(2*(TRAINING!$R$8^2)))</f>
        <v>2.4061484689686021E-2</v>
      </c>
      <c r="R33">
        <f>(1/(SQRT(2*PI())*TRAINING!$R$9))*EXP(-((D33-TRAINING!$R$4)^2)/(2*(TRAINING!$R$9^2)))</f>
        <v>3.3055799475486237E-2</v>
      </c>
      <c r="S33">
        <f>(1/(SQRT(2*PI())*TRAINING!$S$8))*EXP(-((E33-TRAINING!$S$3)^2)/(2*(TRAINING!$S$8^2)))</f>
        <v>1.0146363386726498E-3</v>
      </c>
      <c r="T33">
        <f>(1/(SQRT(2*PI())*TRAINING!$S$9))*EXP(-((E33-TRAINING!$S$4)^2)/(2*(TRAINING!$S$9^2)))</f>
        <v>1.837043586302414E-3</v>
      </c>
      <c r="U33">
        <f>(1/(SQRT(2*PI())*TRAINING!$T$8))*EXP(-((F33-TRAINING!$T$3)^2)/(2*(TRAINING!$T$8^2)))</f>
        <v>6.0819129040875899E-2</v>
      </c>
      <c r="V33">
        <f>(1/(SQRT(2*PI())*TRAINING!$T$9))*EXP(-((F33-TRAINING!$T$4)^2)/(2*(TRAINING!$T$9^2)))</f>
        <v>5.173631967040012E-2</v>
      </c>
      <c r="W33">
        <f>(1/(SQRT(2*PI())*TRAINING!$U$8))*EXP(-((G33-TRAINING!$U$3)^2)/(2*(TRAINING!$U$8^2)))</f>
        <v>0.50718448451293696</v>
      </c>
      <c r="X33">
        <f>(1/(SQRT(2*PI())*TRAINING!$U$9))*EXP(-((G33-TRAINING!$U$4)^2)/(2*(TRAINING!$U$9^2)))</f>
        <v>0.78207802843671503</v>
      </c>
      <c r="Y33">
        <f>(1/(SQRT(2*PI())*TRAINING!$V$8))*EXP(-((H33-TRAINING!$V$3)^2)/(2*(TRAINING!$V$8^2)))</f>
        <v>3.2316556179530061E-2</v>
      </c>
      <c r="Z33">
        <f>(1/(SQRT(2*PI())*TRAINING!$V$9))*EXP(-((H33-TRAINING!$V$4)^2)/(2*(TRAINING!$V$9^2)))</f>
        <v>2.6735830719458106E-2</v>
      </c>
      <c r="AA33">
        <f>PRODUCT(K33,M33,O33,Q33,S33,U33,W33,Y33)*TRAINING!$L$2</f>
        <v>1.7564216878684757E-13</v>
      </c>
      <c r="AB33">
        <f>PRODUCT(L33,N33,P33,R33,T33,V33,X33,Z33)*TRAINING!$L$3</f>
        <v>9.0690866875179659E-13</v>
      </c>
      <c r="AC33">
        <f t="shared" si="0"/>
        <v>1</v>
      </c>
      <c r="AD33">
        <f t="shared" si="1"/>
        <v>1</v>
      </c>
      <c r="AF33" s="19"/>
      <c r="AG33" t="str">
        <f t="shared" si="2"/>
        <v>TP</v>
      </c>
    </row>
    <row r="34" spans="1:33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  <c r="K34">
        <f>(1/(SQRT(2*PI())*TRAINING!$O$8))*EXP(-((A34-TRAINING!$O$3)^2)/(2*(TRAINING!$O$8^2)))</f>
        <v>0.13150943904653345</v>
      </c>
      <c r="L34">
        <f>(1/(SQRT(2*PI())*TRAINING!$O$9))*EXP(-((A34-TRAINING!$O$4)^2)/(2*(TRAINING!$O$9^2)))</f>
        <v>9.5216033172430034E-2</v>
      </c>
      <c r="M34">
        <f>(1/(SQRT(2*PI())*TRAINING!$P$8))*EXP(-((B34-TRAINING!$P$3)^2)/(2*(TRAINING!$P$8^2)))</f>
        <v>1.0370902223891957E-2</v>
      </c>
      <c r="N34">
        <f>(1/(SQRT(2*PI())*TRAINING!$P$9))*EXP(-((B34-TRAINING!$P$4)^2)/(2*(TRAINING!$P$9^2)))</f>
        <v>2.257236082029275E-3</v>
      </c>
      <c r="O34">
        <f>(1/(SQRT(2*PI())*TRAINING!$Q$8))*EXP(-((C34-TRAINING!$Q$3)^2)/(2*(TRAINING!$Q$8^2)))</f>
        <v>1.8252507670949096E-2</v>
      </c>
      <c r="P34">
        <f>(1/(SQRT(2*PI())*TRAINING!$Q$9))*EXP(-((C34-TRAINING!$Q$4)^2)/(2*(TRAINING!$Q$9^2)))</f>
        <v>1.0767552697175626E-2</v>
      </c>
      <c r="Q34">
        <f>(1/(SQRT(2*PI())*TRAINING!$R$8))*EXP(-((D34-TRAINING!$R$3)^2)/(2*(TRAINING!$R$8^2)))</f>
        <v>1.0355556552814152E-2</v>
      </c>
      <c r="R34">
        <f>(1/(SQRT(2*PI())*TRAINING!$R$9))*EXP(-((D34-TRAINING!$R$4)^2)/(2*(TRAINING!$R$9^2)))</f>
        <v>6.6632767208721268E-3</v>
      </c>
      <c r="S34">
        <f>(1/(SQRT(2*PI())*TRAINING!$S$8))*EXP(-((E34-TRAINING!$S$3)^2)/(2*(TRAINING!$S$8^2)))</f>
        <v>4.0101724151369667E-3</v>
      </c>
      <c r="T34">
        <f>(1/(SQRT(2*PI())*TRAINING!$S$9))*EXP(-((E34-TRAINING!$S$4)^2)/(2*(TRAINING!$S$9^2)))</f>
        <v>2.9115929937119853E-3</v>
      </c>
      <c r="U34">
        <f>(1/(SQRT(2*PI())*TRAINING!$T$8))*EXP(-((F34-TRAINING!$T$3)^2)/(2*(TRAINING!$T$8^2)))</f>
        <v>3.911760876381002E-2</v>
      </c>
      <c r="V34">
        <f>(1/(SQRT(2*PI())*TRAINING!$T$9))*EXP(-((F34-TRAINING!$T$4)^2)/(2*(TRAINING!$T$9^2)))</f>
        <v>1.6909418513608672E-2</v>
      </c>
      <c r="W34">
        <f>(1/(SQRT(2*PI())*TRAINING!$U$8))*EXP(-((G34-TRAINING!$U$3)^2)/(2*(TRAINING!$U$8^2)))</f>
        <v>1.1364980484430303</v>
      </c>
      <c r="X34">
        <f>(1/(SQRT(2*PI())*TRAINING!$U$9))*EXP(-((G34-TRAINING!$U$4)^2)/(2*(TRAINING!$U$9^2)))</f>
        <v>0.81197133904545837</v>
      </c>
      <c r="Y34">
        <f>(1/(SQRT(2*PI())*TRAINING!$V$8))*EXP(-((H34-TRAINING!$V$3)^2)/(2*(TRAINING!$V$8^2)))</f>
        <v>2.4686919742992346E-2</v>
      </c>
      <c r="Z34">
        <f>(1/(SQRT(2*PI())*TRAINING!$V$9))*EXP(-((H34-TRAINING!$V$4)^2)/(2*(TRAINING!$V$9^2)))</f>
        <v>1.4904761570265752E-2</v>
      </c>
      <c r="AA34">
        <f>PRODUCT(K34,M34,O34,Q34,S34,U34,W34,Y34)*TRAINING!$L$2</f>
        <v>7.3979203266669905E-13</v>
      </c>
      <c r="AB34">
        <f>PRODUCT(L34,N34,P34,R34,T34,V34,X34,Z34)*TRAINING!$L$3</f>
        <v>3.1238912907226547E-15</v>
      </c>
      <c r="AC34">
        <f t="shared" si="0"/>
        <v>0</v>
      </c>
      <c r="AD34">
        <f t="shared" si="1"/>
        <v>1</v>
      </c>
      <c r="AF34" s="19"/>
      <c r="AG34" t="str">
        <f t="shared" si="2"/>
        <v>TN</v>
      </c>
    </row>
    <row r="35" spans="1:33" x14ac:dyDescent="0.3">
      <c r="A35">
        <v>6</v>
      </c>
      <c r="B35">
        <v>92</v>
      </c>
      <c r="C35">
        <v>92</v>
      </c>
      <c r="D35">
        <v>23</v>
      </c>
      <c r="E35">
        <v>30.5</v>
      </c>
      <c r="F35">
        <v>19.899999999999999</v>
      </c>
      <c r="G35">
        <v>0.188</v>
      </c>
      <c r="H35">
        <v>28</v>
      </c>
      <c r="I35">
        <v>0</v>
      </c>
      <c r="K35">
        <f>(1/(SQRT(2*PI())*TRAINING!$O$8))*EXP(-((A35-TRAINING!$O$3)^2)/(2*(TRAINING!$O$8^2)))</f>
        <v>8.6503679874208927E-2</v>
      </c>
      <c r="L35">
        <f>(1/(SQRT(2*PI())*TRAINING!$O$9))*EXP(-((A35-TRAINING!$O$4)^2)/(2*(TRAINING!$O$9^2)))</f>
        <v>0.10224520417214994</v>
      </c>
      <c r="M35">
        <f>(1/(SQRT(2*PI())*TRAINING!$P$8))*EXP(-((B35-TRAINING!$P$3)^2)/(2*(TRAINING!$P$8^2)))</f>
        <v>1.1926857602917434E-2</v>
      </c>
      <c r="N35">
        <f>(1/(SQRT(2*PI())*TRAINING!$P$9))*EXP(-((B35-TRAINING!$P$4)^2)/(2*(TRAINING!$P$9^2)))</f>
        <v>2.9008354935389298E-3</v>
      </c>
      <c r="O35">
        <f>(1/(SQRT(2*PI())*TRAINING!$Q$8))*EXP(-((C35-TRAINING!$Q$3)^2)/(2*(TRAINING!$Q$8^2)))</f>
        <v>6.7740576174603632E-3</v>
      </c>
      <c r="P35">
        <f>(1/(SQRT(2*PI())*TRAINING!$Q$9))*EXP(-((C35-TRAINING!$Q$4)^2)/(2*(TRAINING!$Q$9^2)))</f>
        <v>1.1931687795893526E-2</v>
      </c>
      <c r="Q35">
        <f>(1/(SQRT(2*PI())*TRAINING!$R$8))*EXP(-((D35-TRAINING!$R$3)^2)/(2*(TRAINING!$R$8^2)))</f>
        <v>4.2691938231656991E-2</v>
      </c>
      <c r="R35">
        <f>(1/(SQRT(2*PI())*TRAINING!$R$9))*EXP(-((D35-TRAINING!$R$4)^2)/(2*(TRAINING!$R$9^2)))</f>
        <v>3.202065801833482E-2</v>
      </c>
      <c r="S35">
        <f>(1/(SQRT(2*PI())*TRAINING!$S$8))*EXP(-((E35-TRAINING!$S$3)^2)/(2*(TRAINING!$S$8^2)))</f>
        <v>3.5657055057560366E-3</v>
      </c>
      <c r="T35">
        <f>(1/(SQRT(2*PI())*TRAINING!$S$9))*EXP(-((E35-TRAINING!$S$4)^2)/(2*(TRAINING!$S$9^2)))</f>
        <v>2.5951511419773543E-3</v>
      </c>
      <c r="U35">
        <f>(1/(SQRT(2*PI())*TRAINING!$T$8))*EXP(-((F35-TRAINING!$T$3)^2)/(2*(TRAINING!$T$8^2)))</f>
        <v>1.4527407330920328E-2</v>
      </c>
      <c r="V35">
        <f>(1/(SQRT(2*PI())*TRAINING!$T$9))*EXP(-((F35-TRAINING!$T$4)^2)/(2*(TRAINING!$T$9^2)))</f>
        <v>3.8928303757501466E-3</v>
      </c>
      <c r="W35">
        <f>(1/(SQRT(2*PI())*TRAINING!$U$8))*EXP(-((G35-TRAINING!$U$3)^2)/(2*(TRAINING!$U$8^2)))</f>
        <v>0.94974260687953826</v>
      </c>
      <c r="X35">
        <f>(1/(SQRT(2*PI())*TRAINING!$U$9))*EXP(-((G35-TRAINING!$U$4)^2)/(2*(TRAINING!$U$9^2)))</f>
        <v>0.66720798352698329</v>
      </c>
      <c r="Y35">
        <f>(1/(SQRT(2*PI())*TRAINING!$V$8))*EXP(-((H35-TRAINING!$V$3)^2)/(2*(TRAINING!$V$8^2)))</f>
        <v>3.2316556179530061E-2</v>
      </c>
      <c r="Z35">
        <f>(1/(SQRT(2*PI())*TRAINING!$V$9))*EXP(-((H35-TRAINING!$V$4)^2)/(2*(TRAINING!$V$9^2)))</f>
        <v>2.6735830719458106E-2</v>
      </c>
      <c r="AA35">
        <f>PRODUCT(K35,M35,O35,Q35,S35,U35,W35,Y35)*TRAINING!$L$2</f>
        <v>3.0930661865391819E-13</v>
      </c>
      <c r="AB35">
        <f>PRODUCT(L35,N35,P35,R35,T35,V35,X35,Z35)*TRAINING!$L$3</f>
        <v>6.9432076099761897E-15</v>
      </c>
      <c r="AC35">
        <f t="shared" si="0"/>
        <v>0</v>
      </c>
      <c r="AD35">
        <f t="shared" si="1"/>
        <v>1</v>
      </c>
      <c r="AF35" s="19"/>
      <c r="AG35" t="str">
        <f t="shared" si="2"/>
        <v>TN</v>
      </c>
    </row>
    <row r="36" spans="1:33" x14ac:dyDescent="0.3">
      <c r="A36">
        <v>10</v>
      </c>
      <c r="B36">
        <v>122</v>
      </c>
      <c r="C36">
        <v>78</v>
      </c>
      <c r="D36">
        <v>31</v>
      </c>
      <c r="E36">
        <v>30.5</v>
      </c>
      <c r="F36">
        <v>27.6</v>
      </c>
      <c r="G36">
        <v>0.51200000000000001</v>
      </c>
      <c r="H36">
        <v>45</v>
      </c>
      <c r="I36">
        <v>0</v>
      </c>
      <c r="K36">
        <f>(1/(SQRT(2*PI())*TRAINING!$O$8))*EXP(-((A36-TRAINING!$O$3)^2)/(2*(TRAINING!$O$8^2)))</f>
        <v>1.0720214418818754E-2</v>
      </c>
      <c r="L36">
        <f>(1/(SQRT(2*PI())*TRAINING!$O$9))*EXP(-((A36-TRAINING!$O$4)^2)/(2*(TRAINING!$O$9^2)))</f>
        <v>4.0698455459240418E-2</v>
      </c>
      <c r="M36">
        <f>(1/(SQRT(2*PI())*TRAINING!$P$8))*EXP(-((B36-TRAINING!$P$3)^2)/(2*(TRAINING!$P$8^2)))</f>
        <v>1.4711774769147989E-2</v>
      </c>
      <c r="N36">
        <f>(1/(SQRT(2*PI())*TRAINING!$P$9))*EXP(-((B36-TRAINING!$P$4)^2)/(2*(TRAINING!$P$9^2)))</f>
        <v>1.0456041230157254E-2</v>
      </c>
      <c r="O36">
        <f>(1/(SQRT(2*PI())*TRAINING!$Q$8))*EXP(-((C36-TRAINING!$Q$3)^2)/(2*(TRAINING!$Q$8^2)))</f>
        <v>2.8724564393455325E-2</v>
      </c>
      <c r="P36">
        <f>(1/(SQRT(2*PI())*TRAINING!$Q$9))*EXP(-((C36-TRAINING!$Q$4)^2)/(2*(TRAINING!$Q$9^2)))</f>
        <v>3.447108098073768E-2</v>
      </c>
      <c r="Q36">
        <f>(1/(SQRT(2*PI())*TRAINING!$R$8))*EXP(-((D36-TRAINING!$R$3)^2)/(2*(TRAINING!$R$8^2)))</f>
        <v>3.8884158284381701E-2</v>
      </c>
      <c r="R36">
        <f>(1/(SQRT(2*PI())*TRAINING!$R$9))*EXP(-((D36-TRAINING!$R$4)^2)/(2*(TRAINING!$R$9^2)))</f>
        <v>4.009882603638542E-2</v>
      </c>
      <c r="S36">
        <f>(1/(SQRT(2*PI())*TRAINING!$S$8))*EXP(-((E36-TRAINING!$S$3)^2)/(2*(TRAINING!$S$8^2)))</f>
        <v>3.5657055057560366E-3</v>
      </c>
      <c r="T36">
        <f>(1/(SQRT(2*PI())*TRAINING!$S$9))*EXP(-((E36-TRAINING!$S$4)^2)/(2*(TRAINING!$S$9^2)))</f>
        <v>2.5951511419773543E-3</v>
      </c>
      <c r="U36">
        <f>(1/(SQRT(2*PI())*TRAINING!$T$8))*EXP(-((F36-TRAINING!$T$3)^2)/(2*(TRAINING!$T$8^2)))</f>
        <v>5.3499944878576344E-2</v>
      </c>
      <c r="V36">
        <f>(1/(SQRT(2*PI())*TRAINING!$T$9))*EXP(-((F36-TRAINING!$T$4)^2)/(2*(TRAINING!$T$9^2)))</f>
        <v>3.0503721725724926E-2</v>
      </c>
      <c r="W36">
        <f>(1/(SQRT(2*PI())*TRAINING!$U$8))*EXP(-((G36-TRAINING!$U$3)^2)/(2*(TRAINING!$U$8^2)))</f>
        <v>1.2804357046831429</v>
      </c>
      <c r="X36">
        <f>(1/(SQRT(2*PI())*TRAINING!$U$9))*EXP(-((G36-TRAINING!$U$4)^2)/(2*(TRAINING!$U$9^2)))</f>
        <v>1.1000940684948874</v>
      </c>
      <c r="Y36">
        <f>(1/(SQRT(2*PI())*TRAINING!$V$8))*EXP(-((H36-TRAINING!$V$3)^2)/(2*(TRAINING!$V$8^2)))</f>
        <v>1.7306831245760355E-2</v>
      </c>
      <c r="Z36">
        <f>(1/(SQRT(2*PI())*TRAINING!$V$9))*EXP(-((H36-TRAINING!$V$4)^2)/(2*(TRAINING!$V$9^2)))</f>
        <v>2.7220522469493365E-2</v>
      </c>
      <c r="AA36">
        <f>PRODUCT(K36,M36,O36,Q36,S36,U36,W36,Y36)*TRAINING!$L$2</f>
        <v>4.8555462019832775E-13</v>
      </c>
      <c r="AB36">
        <f>PRODUCT(L36,N36,P36,R36,T36,V36,X36,Z36)*TRAINING!$L$3</f>
        <v>4.7408090051266381E-13</v>
      </c>
      <c r="AC36">
        <f t="shared" si="0"/>
        <v>0</v>
      </c>
      <c r="AD36">
        <f t="shared" si="1"/>
        <v>1</v>
      </c>
      <c r="AF36" s="19"/>
      <c r="AG36" t="str">
        <f t="shared" si="2"/>
        <v>TN</v>
      </c>
    </row>
    <row r="37" spans="1:33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  <c r="K37">
        <f>(1/(SQRT(2*PI())*TRAINING!$O$8))*EXP(-((A37-TRAINING!$O$3)^2)/(2*(TRAINING!$O$8^2)))</f>
        <v>0.12757449499469867</v>
      </c>
      <c r="L37">
        <f>(1/(SQRT(2*PI())*TRAINING!$O$9))*EXP(-((A37-TRAINING!$O$4)^2)/(2*(TRAINING!$O$9^2)))</f>
        <v>0.10484388320832955</v>
      </c>
      <c r="M37">
        <f>(1/(SQRT(2*PI())*TRAINING!$P$8))*EXP(-((B37-TRAINING!$P$3)^2)/(2*(TRAINING!$P$8^2)))</f>
        <v>1.5295557864358449E-2</v>
      </c>
      <c r="N37">
        <f>(1/(SQRT(2*PI())*TRAINING!$P$9))*EXP(-((B37-TRAINING!$P$4)^2)/(2*(TRAINING!$P$9^2)))</f>
        <v>5.248381352753924E-3</v>
      </c>
      <c r="O37">
        <f>(1/(SQRT(2*PI())*TRAINING!$Q$8))*EXP(-((C37-TRAINING!$Q$3)^2)/(2*(TRAINING!$Q$8^2)))</f>
        <v>2.1821879354468197E-2</v>
      </c>
      <c r="P37">
        <f>(1/(SQRT(2*PI())*TRAINING!$Q$9))*EXP(-((C37-TRAINING!$Q$4)^2)/(2*(TRAINING!$Q$9^2)))</f>
        <v>1.3939617132614638E-2</v>
      </c>
      <c r="Q37">
        <f>(1/(SQRT(2*PI())*TRAINING!$R$8))*EXP(-((D37-TRAINING!$R$3)^2)/(2*(TRAINING!$R$8^2)))</f>
        <v>3.336517404102942E-2</v>
      </c>
      <c r="R37">
        <f>(1/(SQRT(2*PI())*TRAINING!$R$9))*EXP(-((D37-TRAINING!$R$4)^2)/(2*(TRAINING!$R$9^2)))</f>
        <v>3.8278756254114484E-2</v>
      </c>
      <c r="S37">
        <f>(1/(SQRT(2*PI())*TRAINING!$S$8))*EXP(-((E37-TRAINING!$S$3)^2)/(2*(TRAINING!$S$8^2)))</f>
        <v>2.2516783812819062E-3</v>
      </c>
      <c r="T37">
        <f>(1/(SQRT(2*PI())*TRAINING!$S$9))*EXP(-((E37-TRAINING!$S$4)^2)/(2*(TRAINING!$S$9^2)))</f>
        <v>2.6781128432516715E-3</v>
      </c>
      <c r="U37">
        <f>(1/(SQRT(2*PI())*TRAINING!$T$8))*EXP(-((F37-TRAINING!$T$3)^2)/(2*(TRAINING!$T$8^2)))</f>
        <v>3.4581853781653717E-2</v>
      </c>
      <c r="V37">
        <f>(1/(SQRT(2*PI())*TRAINING!$T$9))*EXP(-((F37-TRAINING!$T$4)^2)/(2*(TRAINING!$T$9^2)))</f>
        <v>1.3818442922001888E-2</v>
      </c>
      <c r="W37">
        <f>(1/(SQRT(2*PI())*TRAINING!$U$8))*EXP(-((G37-TRAINING!$U$3)^2)/(2*(TRAINING!$U$8^2)))</f>
        <v>0.27782145114325979</v>
      </c>
      <c r="X37">
        <f>(1/(SQRT(2*PI())*TRAINING!$U$9))*EXP(-((G37-TRAINING!$U$4)^2)/(2*(TRAINING!$U$9^2)))</f>
        <v>0.56987341051775631</v>
      </c>
      <c r="Y37">
        <f>(1/(SQRT(2*PI())*TRAINING!$V$8))*EXP(-((H37-TRAINING!$V$3)^2)/(2*(TRAINING!$V$8^2)))</f>
        <v>3.3275689020108933E-2</v>
      </c>
      <c r="Z37">
        <f>(1/(SQRT(2*PI())*TRAINING!$V$9))*EXP(-((H37-TRAINING!$V$4)^2)/(2*(TRAINING!$V$9^2)))</f>
        <v>3.4556158331369637E-2</v>
      </c>
      <c r="AA37">
        <f>PRODUCT(K37,M37,O37,Q37,S37,U37,W37,Y37)*TRAINING!$L$2</f>
        <v>6.6685504580147579E-13</v>
      </c>
      <c r="AB37">
        <f>PRODUCT(L37,N37,P37,R37,T37,V37,X37,Z37)*TRAINING!$L$3</f>
        <v>7.2752495203323248E-14</v>
      </c>
      <c r="AC37">
        <f t="shared" si="0"/>
        <v>0</v>
      </c>
      <c r="AD37">
        <f t="shared" si="1"/>
        <v>1</v>
      </c>
      <c r="AF37" s="19"/>
      <c r="AG37" t="str">
        <f t="shared" si="2"/>
        <v>TN</v>
      </c>
    </row>
    <row r="38" spans="1:33" x14ac:dyDescent="0.3">
      <c r="A38">
        <v>11</v>
      </c>
      <c r="B38">
        <v>138</v>
      </c>
      <c r="C38">
        <v>76</v>
      </c>
      <c r="D38">
        <v>23</v>
      </c>
      <c r="E38">
        <v>30.5</v>
      </c>
      <c r="F38">
        <v>33.200000000000003</v>
      </c>
      <c r="G38">
        <v>0.42</v>
      </c>
      <c r="H38">
        <v>35</v>
      </c>
      <c r="I38">
        <v>0</v>
      </c>
      <c r="K38">
        <f>(1/(SQRT(2*PI())*TRAINING!$O$8))*EXP(-((A38-TRAINING!$O$3)^2)/(2*(TRAINING!$O$8^2)))</f>
        <v>4.8403460391629903E-3</v>
      </c>
      <c r="L38">
        <f>(1/(SQRT(2*PI())*TRAINING!$O$9))*EXP(-((A38-TRAINING!$O$4)^2)/(2*(TRAINING!$O$9^2)))</f>
        <v>2.696227437375506E-2</v>
      </c>
      <c r="M38">
        <f>(1/(SQRT(2*PI())*TRAINING!$P$8))*EXP(-((B38-TRAINING!$P$3)^2)/(2*(TRAINING!$P$8^2)))</f>
        <v>8.9844215320600759E-3</v>
      </c>
      <c r="N38">
        <f>(1/(SQRT(2*PI())*TRAINING!$P$9))*EXP(-((B38-TRAINING!$P$4)^2)/(2*(TRAINING!$P$9^2)))</f>
        <v>1.3445018336955264E-2</v>
      </c>
      <c r="O38">
        <f>(1/(SQRT(2*PI())*TRAINING!$Q$8))*EXP(-((C38-TRAINING!$Q$3)^2)/(2*(TRAINING!$Q$8^2)))</f>
        <v>3.13643924782957E-2</v>
      </c>
      <c r="P38">
        <f>(1/(SQRT(2*PI())*TRAINING!$Q$9))*EXP(-((C38-TRAINING!$Q$4)^2)/(2*(TRAINING!$Q$9^2)))</f>
        <v>3.5360725179086838E-2</v>
      </c>
      <c r="Q38">
        <f>(1/(SQRT(2*PI())*TRAINING!$R$8))*EXP(-((D38-TRAINING!$R$3)^2)/(2*(TRAINING!$R$8^2)))</f>
        <v>4.2691938231656991E-2</v>
      </c>
      <c r="R38">
        <f>(1/(SQRT(2*PI())*TRAINING!$R$9))*EXP(-((D38-TRAINING!$R$4)^2)/(2*(TRAINING!$R$9^2)))</f>
        <v>3.202065801833482E-2</v>
      </c>
      <c r="S38">
        <f>(1/(SQRT(2*PI())*TRAINING!$S$8))*EXP(-((E38-TRAINING!$S$3)^2)/(2*(TRAINING!$S$8^2)))</f>
        <v>3.5657055057560366E-3</v>
      </c>
      <c r="T38">
        <f>(1/(SQRT(2*PI())*TRAINING!$S$9))*EXP(-((E38-TRAINING!$S$4)^2)/(2*(TRAINING!$S$9^2)))</f>
        <v>2.5951511419773543E-3</v>
      </c>
      <c r="U38">
        <f>(1/(SQRT(2*PI())*TRAINING!$T$8))*EXP(-((F38-TRAINING!$T$3)^2)/(2*(TRAINING!$T$8^2)))</f>
        <v>5.7632541695349405E-2</v>
      </c>
      <c r="V38">
        <f>(1/(SQRT(2*PI())*TRAINING!$T$9))*EXP(-((F38-TRAINING!$T$4)^2)/(2*(TRAINING!$T$9^2)))</f>
        <v>5.7620584955679496E-2</v>
      </c>
      <c r="W38">
        <f>(1/(SQRT(2*PI())*TRAINING!$U$8))*EXP(-((G38-TRAINING!$U$3)^2)/(2*(TRAINING!$U$8^2)))</f>
        <v>1.3231254679411888</v>
      </c>
      <c r="X38">
        <f>(1/(SQRT(2*PI())*TRAINING!$U$9))*EXP(-((G38-TRAINING!$U$4)^2)/(2*(TRAINING!$U$9^2)))</f>
        <v>1.0361310267746591</v>
      </c>
      <c r="Y38">
        <f>(1/(SQRT(2*PI())*TRAINING!$V$8))*EXP(-((H38-TRAINING!$V$3)^2)/(2*(TRAINING!$V$8^2)))</f>
        <v>3.2035519691215007E-2</v>
      </c>
      <c r="Z38">
        <f>(1/(SQRT(2*PI())*TRAINING!$V$9))*EXP(-((H38-TRAINING!$V$4)^2)/(2*(TRAINING!$V$9^2)))</f>
        <v>3.6110450102889172E-2</v>
      </c>
      <c r="AA38">
        <f>PRODUCT(K38,M38,O38,Q38,S38,U38,W38,Y38)*TRAINING!$L$2</f>
        <v>3.3072314340522788E-13</v>
      </c>
      <c r="AB38">
        <f>PRODUCT(L38,N38,P38,R38,T38,V38,X38,Z38)*TRAINING!$L$3</f>
        <v>7.8079343805237915E-13</v>
      </c>
      <c r="AC38">
        <f t="shared" si="0"/>
        <v>1</v>
      </c>
      <c r="AD38">
        <f t="shared" si="1"/>
        <v>0</v>
      </c>
      <c r="AF38" s="19"/>
      <c r="AG38" t="str">
        <f t="shared" si="2"/>
        <v>FP</v>
      </c>
    </row>
    <row r="39" spans="1:33" x14ac:dyDescent="0.3">
      <c r="A39">
        <v>9</v>
      </c>
      <c r="B39">
        <v>102</v>
      </c>
      <c r="C39">
        <v>76</v>
      </c>
      <c r="D39">
        <v>37</v>
      </c>
      <c r="E39">
        <v>30.5</v>
      </c>
      <c r="F39">
        <v>32.9</v>
      </c>
      <c r="G39">
        <v>0.66500000000000004</v>
      </c>
      <c r="H39">
        <v>46</v>
      </c>
      <c r="I39">
        <v>1</v>
      </c>
      <c r="K39">
        <f>(1/(SQRT(2*PI())*TRAINING!$O$8))*EXP(-((A39-TRAINING!$O$3)^2)/(2*(TRAINING!$O$8^2)))</f>
        <v>2.1285449196772267E-2</v>
      </c>
      <c r="L39">
        <f>(1/(SQRT(2*PI())*TRAINING!$O$9))*EXP(-((A39-TRAINING!$O$4)^2)/(2*(TRAINING!$O$9^2)))</f>
        <v>5.7131716423373204E-2</v>
      </c>
      <c r="M39">
        <f>(1/(SQRT(2*PI())*TRAINING!$P$8))*EXP(-((B39-TRAINING!$P$3)^2)/(2*(TRAINING!$P$8^2)))</f>
        <v>1.5076966901643755E-2</v>
      </c>
      <c r="N39">
        <f>(1/(SQRT(2*PI())*TRAINING!$P$9))*EXP(-((B39-TRAINING!$P$4)^2)/(2*(TRAINING!$P$9^2)))</f>
        <v>5.0022751047482175E-3</v>
      </c>
      <c r="O39">
        <f>(1/(SQRT(2*PI())*TRAINING!$Q$8))*EXP(-((C39-TRAINING!$Q$3)^2)/(2*(TRAINING!$Q$8^2)))</f>
        <v>3.13643924782957E-2</v>
      </c>
      <c r="P39">
        <f>(1/(SQRT(2*PI())*TRAINING!$Q$9))*EXP(-((C39-TRAINING!$Q$4)^2)/(2*(TRAINING!$Q$9^2)))</f>
        <v>3.5360725179086838E-2</v>
      </c>
      <c r="Q39">
        <f>(1/(SQRT(2*PI())*TRAINING!$R$8))*EXP(-((D39-TRAINING!$R$3)^2)/(2*(TRAINING!$R$8^2)))</f>
        <v>2.1024784875107342E-2</v>
      </c>
      <c r="R39">
        <f>(1/(SQRT(2*PI())*TRAINING!$R$9))*EXP(-((D39-TRAINING!$R$4)^2)/(2*(TRAINING!$R$9^2)))</f>
        <v>3.0838348313376427E-2</v>
      </c>
      <c r="S39">
        <f>(1/(SQRT(2*PI())*TRAINING!$S$8))*EXP(-((E39-TRAINING!$S$3)^2)/(2*(TRAINING!$S$8^2)))</f>
        <v>3.5657055057560366E-3</v>
      </c>
      <c r="T39">
        <f>(1/(SQRT(2*PI())*TRAINING!$S$9))*EXP(-((E39-TRAINING!$S$4)^2)/(2*(TRAINING!$S$9^2)))</f>
        <v>2.5951511419773543E-3</v>
      </c>
      <c r="U39">
        <f>(1/(SQRT(2*PI())*TRAINING!$T$8))*EXP(-((F39-TRAINING!$T$3)^2)/(2*(TRAINING!$T$8^2)))</f>
        <v>5.8483987692113056E-2</v>
      </c>
      <c r="V39">
        <f>(1/(SQRT(2*PI())*TRAINING!$T$9))*EXP(-((F39-TRAINING!$T$4)^2)/(2*(TRAINING!$T$9^2)))</f>
        <v>5.6723693109763509E-2</v>
      </c>
      <c r="W39">
        <f>(1/(SQRT(2*PI())*TRAINING!$U$8))*EXP(-((G39-TRAINING!$U$3)^2)/(2*(TRAINING!$U$8^2)))</f>
        <v>0.98616853760282253</v>
      </c>
      <c r="X39">
        <f>(1/(SQRT(2*PI())*TRAINING!$U$9))*EXP(-((G39-TRAINING!$U$4)^2)/(2*(TRAINING!$U$9^2)))</f>
        <v>1.052166514444512</v>
      </c>
      <c r="Y39">
        <f>(1/(SQRT(2*PI())*TRAINING!$V$8))*EXP(-((H39-TRAINING!$V$3)^2)/(2*(TRAINING!$V$8^2)))</f>
        <v>1.5650330237733365E-2</v>
      </c>
      <c r="Z39">
        <f>(1/(SQRT(2*PI())*TRAINING!$V$9))*EXP(-((H39-TRAINING!$V$4)^2)/(2*(TRAINING!$V$9^2)))</f>
        <v>2.5270532404125211E-2</v>
      </c>
      <c r="AA39">
        <f>PRODUCT(K39,M39,O39,Q39,S39,U39,W39,Y39)*TRAINING!$L$2</f>
        <v>4.4411106741516291E-13</v>
      </c>
      <c r="AB39">
        <f>PRODUCT(L39,N39,P39,R39,T39,V39,X39,Z39)*TRAINING!$L$3</f>
        <v>4.1472675792641403E-13</v>
      </c>
      <c r="AC39">
        <f t="shared" si="0"/>
        <v>0</v>
      </c>
      <c r="AD39">
        <f t="shared" si="1"/>
        <v>0</v>
      </c>
      <c r="AF39" s="19"/>
      <c r="AG39" t="str">
        <f t="shared" si="2"/>
        <v>FN</v>
      </c>
    </row>
    <row r="40" spans="1:33" x14ac:dyDescent="0.3">
      <c r="A40">
        <v>2</v>
      </c>
      <c r="B40">
        <v>90</v>
      </c>
      <c r="C40">
        <v>68</v>
      </c>
      <c r="D40">
        <v>42</v>
      </c>
      <c r="E40">
        <v>30.5</v>
      </c>
      <c r="F40">
        <v>38.200000000000003</v>
      </c>
      <c r="G40">
        <v>0.503</v>
      </c>
      <c r="H40">
        <v>27</v>
      </c>
      <c r="I40">
        <v>1</v>
      </c>
      <c r="K40">
        <f>(1/(SQRT(2*PI())*TRAINING!$O$8))*EXP(-((A40-TRAINING!$O$3)^2)/(2*(TRAINING!$O$8^2)))</f>
        <v>0.12153525578060927</v>
      </c>
      <c r="L40">
        <f>(1/(SQRT(2*PI())*TRAINING!$O$9))*EXP(-((A40-TRAINING!$O$4)^2)/(2*(TRAINING!$O$9^2)))</f>
        <v>8.041832272231407E-2</v>
      </c>
      <c r="M40">
        <f>(1/(SQRT(2*PI())*TRAINING!$P$8))*EXP(-((B40-TRAINING!$P$3)^2)/(2*(TRAINING!$P$8^2)))</f>
        <v>1.1158336452398216E-2</v>
      </c>
      <c r="N40">
        <f>(1/(SQRT(2*PI())*TRAINING!$P$9))*EXP(-((B40-TRAINING!$P$4)^2)/(2*(TRAINING!$P$9^2)))</f>
        <v>2.5649011785925046E-3</v>
      </c>
      <c r="O40">
        <f>(1/(SQRT(2*PI())*TRAINING!$Q$8))*EXP(-((C40-TRAINING!$Q$3)^2)/(2*(TRAINING!$Q$8^2)))</f>
        <v>3.3155539986898921E-2</v>
      </c>
      <c r="P40">
        <f>(1/(SQRT(2*PI())*TRAINING!$Q$9))*EXP(-((C40-TRAINING!$Q$4)^2)/(2*(TRAINING!$Q$9^2)))</f>
        <v>2.8569142426681692E-2</v>
      </c>
      <c r="Q40">
        <f>(1/(SQRT(2*PI())*TRAINING!$R$8))*EXP(-((D40-TRAINING!$R$3)^2)/(2*(TRAINING!$R$8^2)))</f>
        <v>8.8160335514515607E-3</v>
      </c>
      <c r="R40">
        <f>(1/(SQRT(2*PI())*TRAINING!$R$9))*EXP(-((D40-TRAINING!$R$4)^2)/(2*(TRAINING!$R$9^2)))</f>
        <v>1.8681405316183501E-2</v>
      </c>
      <c r="S40">
        <f>(1/(SQRT(2*PI())*TRAINING!$S$8))*EXP(-((E40-TRAINING!$S$3)^2)/(2*(TRAINING!$S$8^2)))</f>
        <v>3.5657055057560366E-3</v>
      </c>
      <c r="T40">
        <f>(1/(SQRT(2*PI())*TRAINING!$S$9))*EXP(-((E40-TRAINING!$S$4)^2)/(2*(TRAINING!$S$9^2)))</f>
        <v>2.5951511419773543E-3</v>
      </c>
      <c r="U40">
        <f>(1/(SQRT(2*PI())*TRAINING!$T$8))*EXP(-((F40-TRAINING!$T$3)^2)/(2*(TRAINING!$T$8^2)))</f>
        <v>3.3075681350106738E-2</v>
      </c>
      <c r="V40">
        <f>(1/(SQRT(2*PI())*TRAINING!$T$9))*EXP(-((F40-TRAINING!$T$4)^2)/(2*(TRAINING!$T$9^2)))</f>
        <v>5.5087595938313416E-2</v>
      </c>
      <c r="W40">
        <f>(1/(SQRT(2*PI())*TRAINING!$U$8))*EXP(-((G40-TRAINING!$U$3)^2)/(2*(TRAINING!$U$8^2)))</f>
        <v>1.289849574856031</v>
      </c>
      <c r="X40">
        <f>(1/(SQRT(2*PI())*TRAINING!$U$9))*EXP(-((G40-TRAINING!$U$4)^2)/(2*(TRAINING!$U$9^2)))</f>
        <v>1.0968128927854521</v>
      </c>
      <c r="Y40">
        <f>(1/(SQRT(2*PI())*TRAINING!$V$8))*EXP(-((H40-TRAINING!$V$3)^2)/(2*(TRAINING!$V$8^2)))</f>
        <v>3.1451241064801919E-2</v>
      </c>
      <c r="Z40">
        <f>(1/(SQRT(2*PI())*TRAINING!$V$9))*EXP(-((H40-TRAINING!$V$4)^2)/(2*(TRAINING!$V$9^2)))</f>
        <v>2.4768154290602078E-2</v>
      </c>
      <c r="AA40">
        <f>PRODUCT(K40,M40,O40,Q40,S40,U40,W40,Y40)*TRAINING!$L$2</f>
        <v>1.2366062906380062E-12</v>
      </c>
      <c r="AB40">
        <f>PRODUCT(L40,N40,P40,R40,T40,V40,X40,Z40)*TRAINING!$L$3</f>
        <v>1.4536303423845571E-13</v>
      </c>
      <c r="AC40">
        <f t="shared" si="0"/>
        <v>0</v>
      </c>
      <c r="AD40">
        <f t="shared" si="1"/>
        <v>0</v>
      </c>
      <c r="AF40" s="19"/>
      <c r="AG40" t="str">
        <f t="shared" si="2"/>
        <v>FN</v>
      </c>
    </row>
    <row r="41" spans="1:33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  <c r="K41">
        <f>(1/(SQRT(2*PI())*TRAINING!$O$8))*EXP(-((A41-TRAINING!$O$3)^2)/(2*(TRAINING!$O$8^2)))</f>
        <v>0.12757449499469867</v>
      </c>
      <c r="L41">
        <f>(1/(SQRT(2*PI())*TRAINING!$O$9))*EXP(-((A41-TRAINING!$O$4)^2)/(2*(TRAINING!$O$9^2)))</f>
        <v>0.10484388320832955</v>
      </c>
      <c r="M41">
        <f>(1/(SQRT(2*PI())*TRAINING!$P$8))*EXP(-((B41-TRAINING!$P$3)^2)/(2*(TRAINING!$P$8^2)))</f>
        <v>1.6175922724262558E-2</v>
      </c>
      <c r="N41">
        <f>(1/(SQRT(2*PI())*TRAINING!$P$9))*EXP(-((B41-TRAINING!$P$4)^2)/(2*(TRAINING!$P$9^2)))</f>
        <v>7.3878346513692704E-3</v>
      </c>
      <c r="O41">
        <f>(1/(SQRT(2*PI())*TRAINING!$Q$8))*EXP(-((C41-TRAINING!$Q$3)^2)/(2*(TRAINING!$Q$8^2)))</f>
        <v>3.4215224205554493E-2</v>
      </c>
      <c r="P41">
        <f>(1/(SQRT(2*PI())*TRAINING!$Q$9))*EXP(-((C41-TRAINING!$Q$4)^2)/(2*(TRAINING!$Q$9^2)))</f>
        <v>3.3852206664402869E-2</v>
      </c>
      <c r="Q41">
        <f>(1/(SQRT(2*PI())*TRAINING!$R$8))*EXP(-((D41-TRAINING!$R$3)^2)/(2*(TRAINING!$R$8^2)))</f>
        <v>2.6728517408816442E-3</v>
      </c>
      <c r="R41">
        <f>(1/(SQRT(2*PI())*TRAINING!$R$9))*EXP(-((D41-TRAINING!$R$4)^2)/(2*(TRAINING!$R$9^2)))</f>
        <v>8.7544728226809383E-3</v>
      </c>
      <c r="S41">
        <f>(1/(SQRT(2*PI())*TRAINING!$S$8))*EXP(-((E41-TRAINING!$S$3)^2)/(2*(TRAINING!$S$8^2)))</f>
        <v>1.8560909116459915E-3</v>
      </c>
      <c r="T41">
        <f>(1/(SQRT(2*PI())*TRAINING!$S$9))*EXP(-((E41-TRAINING!$S$4)^2)/(2*(TRAINING!$S$9^2)))</f>
        <v>2.4543078509815025E-3</v>
      </c>
      <c r="U41">
        <f>(1/(SQRT(2*PI())*TRAINING!$T$8))*EXP(-((F41-TRAINING!$T$3)^2)/(2*(TRAINING!$T$8^2)))</f>
        <v>3.9302429119606783E-2</v>
      </c>
      <c r="V41">
        <f>(1/(SQRT(2*PI())*TRAINING!$T$9))*EXP(-((F41-TRAINING!$T$4)^2)/(2*(TRAINING!$T$9^2)))</f>
        <v>5.8464522342419632E-2</v>
      </c>
      <c r="W41">
        <f>(1/(SQRT(2*PI())*TRAINING!$U$8))*EXP(-((G41-TRAINING!$U$3)^2)/(2*(TRAINING!$U$8^2)))</f>
        <v>8.5703589528801274E-3</v>
      </c>
      <c r="X41">
        <f>(1/(SQRT(2*PI())*TRAINING!$U$9))*EXP(-((G41-TRAINING!$U$4)^2)/(2*(TRAINING!$U$9^2)))</f>
        <v>7.3656640758556893E-2</v>
      </c>
      <c r="Y41">
        <f>(1/(SQRT(2*PI())*TRAINING!$V$8))*EXP(-((H41-TRAINING!$V$3)^2)/(2*(TRAINING!$V$8^2)))</f>
        <v>3.8730817254440837E-3</v>
      </c>
      <c r="Z41">
        <f>(1/(SQRT(2*PI())*TRAINING!$V$9))*EXP(-((H41-TRAINING!$V$4)^2)/(2*(TRAINING!$V$9^2)))</f>
        <v>7.5807039687206049E-3</v>
      </c>
      <c r="AA41">
        <f>PRODUCT(K41,M41,O41,Q41,S41,U41,W41,Y41)*TRAINING!$L$2</f>
        <v>2.9796877019588364E-16</v>
      </c>
      <c r="AB41">
        <f>PRODUCT(L41,N41,P41,R41,T41,V41,X41,Z41)*TRAINING!$L$3</f>
        <v>6.2531529627370078E-15</v>
      </c>
      <c r="AC41">
        <f t="shared" si="0"/>
        <v>1</v>
      </c>
      <c r="AD41">
        <f t="shared" si="1"/>
        <v>1</v>
      </c>
      <c r="AF41" s="19"/>
      <c r="AG41" t="str">
        <f t="shared" si="2"/>
        <v>TP</v>
      </c>
    </row>
    <row r="42" spans="1:33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  <c r="K42">
        <f>(1/(SQRT(2*PI())*TRAINING!$O$8))*EXP(-((A42-TRAINING!$O$3)^2)/(2*(TRAINING!$O$8^2)))</f>
        <v>0.13150943904653345</v>
      </c>
      <c r="L42">
        <f>(1/(SQRT(2*PI())*TRAINING!$O$9))*EXP(-((A42-TRAINING!$O$4)^2)/(2*(TRAINING!$O$9^2)))</f>
        <v>9.5216033172430034E-2</v>
      </c>
      <c r="M42">
        <f>(1/(SQRT(2*PI())*TRAINING!$P$8))*EXP(-((B42-TRAINING!$P$3)^2)/(2*(TRAINING!$P$8^2)))</f>
        <v>3.322983312501223E-4</v>
      </c>
      <c r="N42">
        <f>(1/(SQRT(2*PI())*TRAINING!$P$9))*EXP(-((B42-TRAINING!$P$4)^2)/(2*(TRAINING!$P$9^2)))</f>
        <v>6.2180423032359529E-3</v>
      </c>
      <c r="O42">
        <f>(1/(SQRT(2*PI())*TRAINING!$Q$8))*EXP(-((C42-TRAINING!$Q$3)^2)/(2*(TRAINING!$Q$8^2)))</f>
        <v>2.8539543720520966E-2</v>
      </c>
      <c r="P42">
        <f>(1/(SQRT(2*PI())*TRAINING!$Q$9))*EXP(-((C42-TRAINING!$Q$4)^2)/(2*(TRAINING!$Q$9^2)))</f>
        <v>2.125454560902645E-2</v>
      </c>
      <c r="Q42">
        <f>(1/(SQRT(2*PI())*TRAINING!$R$8))*EXP(-((D42-TRAINING!$R$3)^2)/(2*(TRAINING!$R$8^2)))</f>
        <v>4.5082105295013108E-2</v>
      </c>
      <c r="R42">
        <f>(1/(SQRT(2*PI())*TRAINING!$R$9))*EXP(-((D42-TRAINING!$R$4)^2)/(2*(TRAINING!$R$9^2)))</f>
        <v>3.6025923169209731E-2</v>
      </c>
      <c r="S42">
        <f>(1/(SQRT(2*PI())*TRAINING!$S$8))*EXP(-((E42-TRAINING!$S$3)^2)/(2*(TRAINING!$S$8^2)))</f>
        <v>4.1907794968102461E-3</v>
      </c>
      <c r="T42">
        <f>(1/(SQRT(2*PI())*TRAINING!$S$9))*EXP(-((E42-TRAINING!$S$4)^2)/(2*(TRAINING!$S$9^2)))</f>
        <v>3.0817765467133652E-3</v>
      </c>
      <c r="U42">
        <f>(1/(SQRT(2*PI())*TRAINING!$T$8))*EXP(-((F42-TRAINING!$T$3)^2)/(2*(TRAINING!$T$8^2)))</f>
        <v>5.4852954602683239E-2</v>
      </c>
      <c r="V42">
        <f>(1/(SQRT(2*PI())*TRAINING!$T$9))*EXP(-((F42-TRAINING!$T$4)^2)/(2*(TRAINING!$T$9^2)))</f>
        <v>5.9473973339221858E-2</v>
      </c>
      <c r="W42">
        <f>(1/(SQRT(2*PI())*TRAINING!$U$8))*EXP(-((G42-TRAINING!$U$3)^2)/(2*(TRAINING!$U$8^2)))</f>
        <v>1.1447787049295119</v>
      </c>
      <c r="X42">
        <f>(1/(SQRT(2*PI())*TRAINING!$U$9))*EXP(-((G42-TRAINING!$U$4)^2)/(2*(TRAINING!$U$9^2)))</f>
        <v>0.81903813140600046</v>
      </c>
      <c r="Y42">
        <f>(1/(SQRT(2*PI())*TRAINING!$V$8))*EXP(-((H42-TRAINING!$V$3)^2)/(2*(TRAINING!$V$8^2)))</f>
        <v>3.039262448519801E-2</v>
      </c>
      <c r="Z42">
        <f>(1/(SQRT(2*PI())*TRAINING!$V$9))*EXP(-((H42-TRAINING!$V$4)^2)/(2*(TRAINING!$V$9^2)))</f>
        <v>2.2753892995124533E-2</v>
      </c>
      <c r="AA42">
        <f>PRODUCT(K42,M42,O42,Q42,S42,U42,W42,Y42)*TRAINING!$L$2</f>
        <v>2.9321767053668463E-13</v>
      </c>
      <c r="AB42">
        <f>PRODUCT(L42,N42,P42,R42,T42,V42,X42,Z42)*TRAINING!$L$3</f>
        <v>5.2649899832094277E-13</v>
      </c>
      <c r="AC42">
        <f t="shared" si="0"/>
        <v>1</v>
      </c>
      <c r="AD42">
        <f t="shared" si="1"/>
        <v>0</v>
      </c>
      <c r="AF42" s="19"/>
      <c r="AG42" t="str">
        <f t="shared" si="2"/>
        <v>FP</v>
      </c>
    </row>
    <row r="43" spans="1:33" x14ac:dyDescent="0.3">
      <c r="A43">
        <v>7</v>
      </c>
      <c r="B43">
        <v>133</v>
      </c>
      <c r="C43">
        <v>84</v>
      </c>
      <c r="D43">
        <v>23</v>
      </c>
      <c r="E43">
        <v>30.5</v>
      </c>
      <c r="F43">
        <v>40.200000000000003</v>
      </c>
      <c r="G43">
        <v>0.69599999999999995</v>
      </c>
      <c r="H43">
        <v>37</v>
      </c>
      <c r="I43">
        <v>0</v>
      </c>
      <c r="K43">
        <f>(1/(SQRT(2*PI())*TRAINING!$O$8))*EXP(-((A43-TRAINING!$O$3)^2)/(2*(TRAINING!$O$8^2)))</f>
        <v>6.0464208917336747E-2</v>
      </c>
      <c r="L43">
        <f>(1/(SQRT(2*PI())*TRAINING!$O$9))*EXP(-((A43-TRAINING!$O$4)^2)/(2*(TRAINING!$O$9^2)))</f>
        <v>9.055444669307644E-2</v>
      </c>
      <c r="M43">
        <f>(1/(SQRT(2*PI())*TRAINING!$P$8))*EXP(-((B43-TRAINING!$P$3)^2)/(2*(TRAINING!$P$8^2)))</f>
        <v>1.0966222800575199E-2</v>
      </c>
      <c r="N43">
        <f>(1/(SQRT(2*PI())*TRAINING!$P$9))*EXP(-((B43-TRAINING!$P$4)^2)/(2*(TRAINING!$P$9^2)))</f>
        <v>1.283723283459472E-2</v>
      </c>
      <c r="O43">
        <f>(1/(SQRT(2*PI())*TRAINING!$Q$8))*EXP(-((C43-TRAINING!$Q$3)^2)/(2*(TRAINING!$Q$8^2)))</f>
        <v>1.8472874228340146E-2</v>
      </c>
      <c r="P43">
        <f>(1/(SQRT(2*PI())*TRAINING!$Q$9))*EXP(-((C43-TRAINING!$Q$4)^2)/(2*(TRAINING!$Q$9^2)))</f>
        <v>2.6431555486599371E-2</v>
      </c>
      <c r="Q43">
        <f>(1/(SQRT(2*PI())*TRAINING!$R$8))*EXP(-((D43-TRAINING!$R$3)^2)/(2*(TRAINING!$R$8^2)))</f>
        <v>4.2691938231656991E-2</v>
      </c>
      <c r="R43">
        <f>(1/(SQRT(2*PI())*TRAINING!$R$9))*EXP(-((D43-TRAINING!$R$4)^2)/(2*(TRAINING!$R$9^2)))</f>
        <v>3.202065801833482E-2</v>
      </c>
      <c r="S43">
        <f>(1/(SQRT(2*PI())*TRAINING!$S$8))*EXP(-((E43-TRAINING!$S$3)^2)/(2*(TRAINING!$S$8^2)))</f>
        <v>3.5657055057560366E-3</v>
      </c>
      <c r="T43">
        <f>(1/(SQRT(2*PI())*TRAINING!$S$9))*EXP(-((E43-TRAINING!$S$4)^2)/(2*(TRAINING!$S$9^2)))</f>
        <v>2.5951511419773543E-3</v>
      </c>
      <c r="U43">
        <f>(1/(SQRT(2*PI())*TRAINING!$T$8))*EXP(-((F43-TRAINING!$T$3)^2)/(2*(TRAINING!$T$8^2)))</f>
        <v>2.2476128659951095E-2</v>
      </c>
      <c r="V43">
        <f>(1/(SQRT(2*PI())*TRAINING!$T$9))*EXP(-((F43-TRAINING!$T$4)^2)/(2*(TRAINING!$T$9^2)))</f>
        <v>4.6019264676967951E-2</v>
      </c>
      <c r="W43">
        <f>(1/(SQRT(2*PI())*TRAINING!$U$8))*EXP(-((G43-TRAINING!$U$3)^2)/(2*(TRAINING!$U$8^2)))</f>
        <v>0.90640216816717822</v>
      </c>
      <c r="X43">
        <f>(1/(SQRT(2*PI())*TRAINING!$U$9))*EXP(-((G43-TRAINING!$U$4)^2)/(2*(TRAINING!$U$9^2)))</f>
        <v>1.0200880797840108</v>
      </c>
      <c r="Y43">
        <f>(1/(SQRT(2*PI())*TRAINING!$V$8))*EXP(-((H43-TRAINING!$V$3)^2)/(2*(TRAINING!$V$8^2)))</f>
        <v>2.9978320878549729E-2</v>
      </c>
      <c r="Z43">
        <f>(1/(SQRT(2*PI())*TRAINING!$V$9))*EXP(-((H43-TRAINING!$V$4)^2)/(2*(TRAINING!$V$9^2)))</f>
        <v>3.6491252481358191E-2</v>
      </c>
      <c r="AA43">
        <f>PRODUCT(K43,M43,O43,Q43,S43,U43,W43,Y43)*TRAINING!$L$2</f>
        <v>7.4250650637061846E-13</v>
      </c>
      <c r="AB43">
        <f>PRODUCT(L43,N43,P43,R43,T43,V43,X43,Z43)*TRAINING!$L$3</f>
        <v>1.4871057902768719E-12</v>
      </c>
      <c r="AC43">
        <f t="shared" si="0"/>
        <v>1</v>
      </c>
      <c r="AD43">
        <f t="shared" si="1"/>
        <v>0</v>
      </c>
      <c r="AF43" s="19"/>
      <c r="AG43" t="str">
        <f t="shared" si="2"/>
        <v>FP</v>
      </c>
    </row>
    <row r="44" spans="1:33" x14ac:dyDescent="0.3">
      <c r="A44">
        <v>7</v>
      </c>
      <c r="B44">
        <v>106</v>
      </c>
      <c r="C44">
        <v>92</v>
      </c>
      <c r="D44">
        <v>18</v>
      </c>
      <c r="E44">
        <v>30.5</v>
      </c>
      <c r="F44">
        <v>22.7</v>
      </c>
      <c r="G44">
        <v>0.23499999999999999</v>
      </c>
      <c r="H44">
        <v>48</v>
      </c>
      <c r="I44">
        <v>0</v>
      </c>
      <c r="K44">
        <f>(1/(SQRT(2*PI())*TRAINING!$O$8))*EXP(-((A44-TRAINING!$O$3)^2)/(2*(TRAINING!$O$8^2)))</f>
        <v>6.0464208917336747E-2</v>
      </c>
      <c r="L44">
        <f>(1/(SQRT(2*PI())*TRAINING!$O$9))*EXP(-((A44-TRAINING!$O$4)^2)/(2*(TRAINING!$O$9^2)))</f>
        <v>9.055444669307644E-2</v>
      </c>
      <c r="M44">
        <f>(1/(SQRT(2*PI())*TRAINING!$P$8))*EXP(-((B44-TRAINING!$P$3)^2)/(2*(TRAINING!$P$8^2)))</f>
        <v>1.5813749130868766E-2</v>
      </c>
      <c r="N44">
        <f>(1/(SQRT(2*PI())*TRAINING!$P$9))*EXP(-((B44-TRAINING!$P$4)^2)/(2*(TRAINING!$P$9^2)))</f>
        <v>6.0191758743566E-3</v>
      </c>
      <c r="O44">
        <f>(1/(SQRT(2*PI())*TRAINING!$Q$8))*EXP(-((C44-TRAINING!$Q$3)^2)/(2*(TRAINING!$Q$8^2)))</f>
        <v>6.7740576174603632E-3</v>
      </c>
      <c r="P44">
        <f>(1/(SQRT(2*PI())*TRAINING!$Q$9))*EXP(-((C44-TRAINING!$Q$4)^2)/(2*(TRAINING!$Q$9^2)))</f>
        <v>1.1931687795893526E-2</v>
      </c>
      <c r="Q44">
        <f>(1/(SQRT(2*PI())*TRAINING!$R$8))*EXP(-((D44-TRAINING!$R$3)^2)/(2*(TRAINING!$R$8^2)))</f>
        <v>2.9690126924352758E-2</v>
      </c>
      <c r="R44">
        <f>(1/(SQRT(2*PI())*TRAINING!$R$9))*EXP(-((D44-TRAINING!$R$4)^2)/(2*(TRAINING!$R$9^2)))</f>
        <v>1.9925971390208779E-2</v>
      </c>
      <c r="S44">
        <f>(1/(SQRT(2*PI())*TRAINING!$S$8))*EXP(-((E44-TRAINING!$S$3)^2)/(2*(TRAINING!$S$8^2)))</f>
        <v>3.5657055057560366E-3</v>
      </c>
      <c r="T44">
        <f>(1/(SQRT(2*PI())*TRAINING!$S$9))*EXP(-((E44-TRAINING!$S$4)^2)/(2*(TRAINING!$S$9^2)))</f>
        <v>2.5951511419773543E-3</v>
      </c>
      <c r="U44">
        <f>(1/(SQRT(2*PI())*TRAINING!$T$8))*EXP(-((F44-TRAINING!$T$3)^2)/(2*(TRAINING!$T$8^2)))</f>
        <v>2.7413444128105452E-2</v>
      </c>
      <c r="V44">
        <f>(1/(SQRT(2*PI())*TRAINING!$T$9))*EXP(-((F44-TRAINING!$T$4)^2)/(2*(TRAINING!$T$9^2)))</f>
        <v>9.644654369262531E-3</v>
      </c>
      <c r="W44">
        <f>(1/(SQRT(2*PI())*TRAINING!$U$8))*EXP(-((G44-TRAINING!$U$3)^2)/(2*(TRAINING!$U$8^2)))</f>
        <v>1.0655862953251243</v>
      </c>
      <c r="X44">
        <f>(1/(SQRT(2*PI())*TRAINING!$U$9))*EXP(-((G44-TRAINING!$U$4)^2)/(2*(TRAINING!$U$9^2)))</f>
        <v>0.75423935338390702</v>
      </c>
      <c r="Y44">
        <f>(1/(SQRT(2*PI())*TRAINING!$V$8))*EXP(-((H44-TRAINING!$V$3)^2)/(2*(TRAINING!$V$8^2)))</f>
        <v>1.2528195162693457E-2</v>
      </c>
      <c r="Z44">
        <f>(1/(SQRT(2*PI())*TRAINING!$V$9))*EXP(-((H44-TRAINING!$V$4)^2)/(2*(TRAINING!$V$9^2)))</f>
        <v>2.1239122901070721E-2</v>
      </c>
      <c r="AA44">
        <f>PRODUCT(K44,M44,O44,Q44,S44,U44,W44,Y44)*TRAINING!$L$2</f>
        <v>1.6362498796982828E-13</v>
      </c>
      <c r="AB44">
        <f>PRODUCT(L44,N44,P44,R44,T44,V44,X44,Z44)*TRAINING!$L$3</f>
        <v>1.7666161912595208E-14</v>
      </c>
      <c r="AC44">
        <f t="shared" si="0"/>
        <v>0</v>
      </c>
      <c r="AD44">
        <f t="shared" si="1"/>
        <v>1</v>
      </c>
      <c r="AF44" s="19"/>
      <c r="AG44" t="str">
        <f t="shared" si="2"/>
        <v>TN</v>
      </c>
    </row>
    <row r="45" spans="1:33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  <c r="K45">
        <f>(1/(SQRT(2*PI())*TRAINING!$O$8))*EXP(-((A45-TRAINING!$O$3)^2)/(2*(TRAINING!$O$8^2)))</f>
        <v>2.1285449196772267E-2</v>
      </c>
      <c r="L45">
        <f>(1/(SQRT(2*PI())*TRAINING!$O$9))*EXP(-((A45-TRAINING!$O$4)^2)/(2*(TRAINING!$O$9^2)))</f>
        <v>5.7131716423373204E-2</v>
      </c>
      <c r="M45">
        <f>(1/(SQRT(2*PI())*TRAINING!$P$8))*EXP(-((B45-TRAINING!$P$3)^2)/(2*(TRAINING!$P$8^2)))</f>
        <v>8.5984155847490789E-4</v>
      </c>
      <c r="N45">
        <f>(1/(SQRT(2*PI())*TRAINING!$P$9))*EXP(-((B45-TRAINING!$P$4)^2)/(2*(TRAINING!$P$9^2)))</f>
        <v>8.7337102999594709E-3</v>
      </c>
      <c r="O45">
        <f>(1/(SQRT(2*PI())*TRAINING!$Q$8))*EXP(-((C45-TRAINING!$Q$3)^2)/(2*(TRAINING!$Q$8^2)))</f>
        <v>1.2536074394443606E-4</v>
      </c>
      <c r="P45">
        <f>(1/(SQRT(2*PI())*TRAINING!$Q$9))*EXP(-((C45-TRAINING!$Q$4)^2)/(2*(TRAINING!$Q$9^2)))</f>
        <v>3.1528574821228873E-4</v>
      </c>
      <c r="Q45">
        <f>(1/(SQRT(2*PI())*TRAINING!$R$8))*EXP(-((D45-TRAINING!$R$3)^2)/(2*(TRAINING!$R$8^2)))</f>
        <v>4.4156214205229256E-2</v>
      </c>
      <c r="R45">
        <f>(1/(SQRT(2*PI())*TRAINING!$R$9))*EXP(-((D45-TRAINING!$R$4)^2)/(2*(TRAINING!$R$9^2)))</f>
        <v>3.4139145375236837E-2</v>
      </c>
      <c r="S45">
        <f>(1/(SQRT(2*PI())*TRAINING!$S$8))*EXP(-((E45-TRAINING!$S$3)^2)/(2*(TRAINING!$S$8^2)))</f>
        <v>1.1089087911197383E-3</v>
      </c>
      <c r="T45">
        <f>(1/(SQRT(2*PI())*TRAINING!$S$9))*EXP(-((E45-TRAINING!$S$4)^2)/(2*(TRAINING!$S$9^2)))</f>
        <v>1.9191746065094855E-3</v>
      </c>
      <c r="U45">
        <f>(1/(SQRT(2*PI())*TRAINING!$T$8))*EXP(-((F45-TRAINING!$T$3)^2)/(2*(TRAINING!$T$8^2)))</f>
        <v>5.3056012036231713E-3</v>
      </c>
      <c r="V45">
        <f>(1/(SQRT(2*PI())*TRAINING!$T$9))*EXP(-((F45-TRAINING!$T$4)^2)/(2*(TRAINING!$T$9^2)))</f>
        <v>1.8699426630940839E-2</v>
      </c>
      <c r="W45">
        <f>(1/(SQRT(2*PI())*TRAINING!$U$8))*EXP(-((G45-TRAINING!$U$3)^2)/(2*(TRAINING!$U$8^2)))</f>
        <v>0.84029074138712889</v>
      </c>
      <c r="X45">
        <f>(1/(SQRT(2*PI())*TRAINING!$U$9))*EXP(-((G45-TRAINING!$U$4)^2)/(2*(TRAINING!$U$9^2)))</f>
        <v>0.98958957970149719</v>
      </c>
      <c r="Y45">
        <f>(1/(SQRT(2*PI())*TRAINING!$V$8))*EXP(-((H45-TRAINING!$V$3)^2)/(2*(TRAINING!$V$8^2)))</f>
        <v>5.4201137770171952E-3</v>
      </c>
      <c r="Z45">
        <f>(1/(SQRT(2*PI())*TRAINING!$V$9))*EXP(-((H45-TRAINING!$V$4)^2)/(2*(TRAINING!$V$9^2)))</f>
        <v>1.0313205354008743E-2</v>
      </c>
      <c r="AA45">
        <f>PRODUCT(K45,M45,O45,Q45,S45,U45,W45,Y45)*TRAINING!$L$2</f>
        <v>1.7700776227455652E-18</v>
      </c>
      <c r="AB45">
        <f>PRODUCT(L45,N45,P45,R45,T45,V45,X45,Z45)*TRAINING!$L$3</f>
        <v>6.6881116381992404E-16</v>
      </c>
      <c r="AC45">
        <f t="shared" si="0"/>
        <v>1</v>
      </c>
      <c r="AD45">
        <f t="shared" si="1"/>
        <v>1</v>
      </c>
      <c r="AF45" s="19"/>
      <c r="AG45" t="str">
        <f t="shared" si="2"/>
        <v>TP</v>
      </c>
    </row>
    <row r="46" spans="1:33" x14ac:dyDescent="0.3">
      <c r="A46">
        <v>7</v>
      </c>
      <c r="B46">
        <v>159</v>
      </c>
      <c r="C46">
        <v>64</v>
      </c>
      <c r="D46">
        <v>23</v>
      </c>
      <c r="E46">
        <v>30.5</v>
      </c>
      <c r="F46">
        <v>27.4</v>
      </c>
      <c r="G46">
        <v>0.29399999999999998</v>
      </c>
      <c r="H46">
        <v>40</v>
      </c>
      <c r="I46">
        <v>0</v>
      </c>
      <c r="K46">
        <f>(1/(SQRT(2*PI())*TRAINING!$O$8))*EXP(-((A46-TRAINING!$O$3)^2)/(2*(TRAINING!$O$8^2)))</f>
        <v>6.0464208917336747E-2</v>
      </c>
      <c r="L46">
        <f>(1/(SQRT(2*PI())*TRAINING!$O$9))*EXP(-((A46-TRAINING!$O$4)^2)/(2*(TRAINING!$O$9^2)))</f>
        <v>9.055444669307644E-2</v>
      </c>
      <c r="M46">
        <f>(1/(SQRT(2*PI())*TRAINING!$P$8))*EXP(-((B46-TRAINING!$P$3)^2)/(2*(TRAINING!$P$8^2)))</f>
        <v>2.4829294201116361E-3</v>
      </c>
      <c r="N46">
        <f>(1/(SQRT(2*PI())*TRAINING!$P$9))*EXP(-((B46-TRAINING!$P$4)^2)/(2*(TRAINING!$P$9^2)))</f>
        <v>1.1847538235460182E-2</v>
      </c>
      <c r="O46">
        <f>(1/(SQRT(2*PI())*TRAINING!$Q$8))*EXP(-((C46-TRAINING!$Q$3)^2)/(2*(TRAINING!$Q$8^2)))</f>
        <v>2.8539543720520966E-2</v>
      </c>
      <c r="P46">
        <f>(1/(SQRT(2*PI())*TRAINING!$Q$9))*EXP(-((C46-TRAINING!$Q$4)^2)/(2*(TRAINING!$Q$9^2)))</f>
        <v>2.125454560902645E-2</v>
      </c>
      <c r="Q46">
        <f>(1/(SQRT(2*PI())*TRAINING!$R$8))*EXP(-((D46-TRAINING!$R$3)^2)/(2*(TRAINING!$R$8^2)))</f>
        <v>4.2691938231656991E-2</v>
      </c>
      <c r="R46">
        <f>(1/(SQRT(2*PI())*TRAINING!$R$9))*EXP(-((D46-TRAINING!$R$4)^2)/(2*(TRAINING!$R$9^2)))</f>
        <v>3.202065801833482E-2</v>
      </c>
      <c r="S46">
        <f>(1/(SQRT(2*PI())*TRAINING!$S$8))*EXP(-((E46-TRAINING!$S$3)^2)/(2*(TRAINING!$S$8^2)))</f>
        <v>3.5657055057560366E-3</v>
      </c>
      <c r="T46">
        <f>(1/(SQRT(2*PI())*TRAINING!$S$9))*EXP(-((E46-TRAINING!$S$4)^2)/(2*(TRAINING!$S$9^2)))</f>
        <v>2.5951511419773543E-3</v>
      </c>
      <c r="U46">
        <f>(1/(SQRT(2*PI())*TRAINING!$T$8))*EXP(-((F46-TRAINING!$T$3)^2)/(2*(TRAINING!$T$8^2)))</f>
        <v>5.2636810971567319E-2</v>
      </c>
      <c r="V46">
        <f>(1/(SQRT(2*PI())*TRAINING!$T$9))*EXP(-((F46-TRAINING!$T$4)^2)/(2*(TRAINING!$T$9^2)))</f>
        <v>2.9421337967849626E-2</v>
      </c>
      <c r="W46">
        <f>(1/(SQRT(2*PI())*TRAINING!$U$8))*EXP(-((G46-TRAINING!$U$3)^2)/(2*(TRAINING!$U$8^2)))</f>
        <v>1.1894989632846538</v>
      </c>
      <c r="X46">
        <f>(1/(SQRT(2*PI())*TRAINING!$U$9))*EXP(-((G46-TRAINING!$U$4)^2)/(2*(TRAINING!$U$9^2)))</f>
        <v>0.85882873077826727</v>
      </c>
      <c r="Y46">
        <f>(1/(SQRT(2*PI())*TRAINING!$V$8))*EXP(-((H46-TRAINING!$V$3)^2)/(2*(TRAINING!$V$8^2)))</f>
        <v>2.573080504735293E-2</v>
      </c>
      <c r="Z46">
        <f>(1/(SQRT(2*PI())*TRAINING!$V$9))*EXP(-((H46-TRAINING!$V$4)^2)/(2*(TRAINING!$V$9^2)))</f>
        <v>3.4812752471643706E-2</v>
      </c>
      <c r="AA46">
        <f>PRODUCT(K46,M46,O46,Q46,S46,U46,W46,Y46)*TRAINING!$L$2</f>
        <v>6.8513694620618065E-13</v>
      </c>
      <c r="AB46">
        <f>PRODUCT(L46,N46,P46,R46,T46,V46,X46,Z46)*TRAINING!$L$3</f>
        <v>5.6672046574590519E-13</v>
      </c>
      <c r="AC46">
        <f t="shared" si="0"/>
        <v>0</v>
      </c>
      <c r="AD46">
        <f t="shared" si="1"/>
        <v>1</v>
      </c>
      <c r="AF46" s="19"/>
      <c r="AG46" t="str">
        <f t="shared" si="2"/>
        <v>TN</v>
      </c>
    </row>
    <row r="47" spans="1:33" x14ac:dyDescent="0.3">
      <c r="A47">
        <v>0</v>
      </c>
      <c r="B47">
        <v>180</v>
      </c>
      <c r="C47">
        <v>66</v>
      </c>
      <c r="D47">
        <v>39</v>
      </c>
      <c r="E47">
        <v>30.5</v>
      </c>
      <c r="F47">
        <v>42</v>
      </c>
      <c r="G47">
        <v>1.893</v>
      </c>
      <c r="H47">
        <v>25</v>
      </c>
      <c r="I47">
        <v>1</v>
      </c>
      <c r="K47">
        <f>(1/(SQRT(2*PI())*TRAINING!$O$8))*EXP(-((A47-TRAINING!$O$3)^2)/(2*(TRAINING!$O$8^2)))</f>
        <v>7.4791087346963395E-2</v>
      </c>
      <c r="L47">
        <f>(1/(SQRT(2*PI())*TRAINING!$O$9))*EXP(-((A47-TRAINING!$O$4)^2)/(2*(TRAINING!$O$9^2)))</f>
        <v>4.6140116319387747E-2</v>
      </c>
      <c r="M47">
        <f>(1/(SQRT(2*PI())*TRAINING!$P$8))*EXP(-((B47-TRAINING!$P$3)^2)/(2*(TRAINING!$P$8^2)))</f>
        <v>3.322983312501223E-4</v>
      </c>
      <c r="N47">
        <f>(1/(SQRT(2*PI())*TRAINING!$P$9))*EXP(-((B47-TRAINING!$P$4)^2)/(2*(TRAINING!$P$9^2)))</f>
        <v>6.2180423032359529E-3</v>
      </c>
      <c r="O47">
        <f>(1/(SQRT(2*PI())*TRAINING!$Q$8))*EXP(-((C47-TRAINING!$Q$3)^2)/(2*(TRAINING!$Q$8^2)))</f>
        <v>3.1219956230797655E-2</v>
      </c>
      <c r="P47">
        <f>(1/(SQRT(2*PI())*TRAINING!$Q$9))*EXP(-((C47-TRAINING!$Q$4)^2)/(2*(TRAINING!$Q$9^2)))</f>
        <v>2.5033349599780073E-2</v>
      </c>
      <c r="Q47">
        <f>(1/(SQRT(2*PI())*TRAINING!$R$8))*EXP(-((D47-TRAINING!$R$3)^2)/(2*(TRAINING!$R$8^2)))</f>
        <v>1.5440061817106381E-2</v>
      </c>
      <c r="R47">
        <f>(1/(SQRT(2*PI())*TRAINING!$R$9))*EXP(-((D47-TRAINING!$R$4)^2)/(2*(TRAINING!$R$9^2)))</f>
        <v>2.6025449562831079E-2</v>
      </c>
      <c r="S47">
        <f>(1/(SQRT(2*PI())*TRAINING!$S$8))*EXP(-((E47-TRAINING!$S$3)^2)/(2*(TRAINING!$S$8^2)))</f>
        <v>3.5657055057560366E-3</v>
      </c>
      <c r="T47">
        <f>(1/(SQRT(2*PI())*TRAINING!$S$9))*EXP(-((E47-TRAINING!$S$4)^2)/(2*(TRAINING!$S$9^2)))</f>
        <v>2.5951511419773543E-3</v>
      </c>
      <c r="U47">
        <f>(1/(SQRT(2*PI())*TRAINING!$T$8))*EXP(-((F47-TRAINING!$T$3)^2)/(2*(TRAINING!$T$8^2)))</f>
        <v>1.4650964851361692E-2</v>
      </c>
      <c r="V47">
        <f>(1/(SQRT(2*PI())*TRAINING!$T$9))*EXP(-((F47-TRAINING!$T$4)^2)/(2*(TRAINING!$T$9^2)))</f>
        <v>3.6164971064152222E-2</v>
      </c>
      <c r="W47">
        <f>(1/(SQRT(2*PI())*TRAINING!$U$8))*EXP(-((G47-TRAINING!$U$3)^2)/(2*(TRAINING!$U$8^2)))</f>
        <v>1.0585520424766454E-5</v>
      </c>
      <c r="X47">
        <f>(1/(SQRT(2*PI())*TRAINING!$U$9))*EXP(-((G47-TRAINING!$U$4)^2)/(2*(TRAINING!$U$9^2)))</f>
        <v>1.0821238112673332E-3</v>
      </c>
      <c r="Y47">
        <f>(1/(SQRT(2*PI())*TRAINING!$V$8))*EXP(-((H47-TRAINING!$V$3)^2)/(2*(TRAINING!$V$8^2)))</f>
        <v>2.9161934112625271E-2</v>
      </c>
      <c r="Z47">
        <f>(1/(SQRT(2*PI())*TRAINING!$V$9))*EXP(-((H47-TRAINING!$V$4)^2)/(2*(TRAINING!$V$9^2)))</f>
        <v>2.0729073133302325E-2</v>
      </c>
      <c r="AA47">
        <f>PRODUCT(K47,M47,O47,Q47,S47,U47,W47,Y47)*TRAINING!$L$2</f>
        <v>1.259704921195067E-19</v>
      </c>
      <c r="AB47">
        <f>PRODUCT(L47,N47,P47,R47,T47,V47,X47,Z47)*TRAINING!$L$3</f>
        <v>1.3379383262669649E-16</v>
      </c>
      <c r="AC47">
        <f t="shared" si="0"/>
        <v>1</v>
      </c>
      <c r="AD47">
        <f t="shared" si="1"/>
        <v>1</v>
      </c>
      <c r="AF47" s="19"/>
      <c r="AG47" t="str">
        <f t="shared" si="2"/>
        <v>TP</v>
      </c>
    </row>
    <row r="48" spans="1:33" x14ac:dyDescent="0.3">
      <c r="A48">
        <v>1</v>
      </c>
      <c r="B48">
        <v>146</v>
      </c>
      <c r="C48">
        <v>56</v>
      </c>
      <c r="D48">
        <v>23</v>
      </c>
      <c r="E48">
        <v>30.5</v>
      </c>
      <c r="F48">
        <v>29.7</v>
      </c>
      <c r="G48">
        <v>0.56399999999999995</v>
      </c>
      <c r="H48">
        <v>29</v>
      </c>
      <c r="I48">
        <v>0</v>
      </c>
      <c r="K48">
        <f>(1/(SQRT(2*PI())*TRAINING!$O$8))*EXP(-((A48-TRAINING!$O$3)^2)/(2*(TRAINING!$O$8^2)))</f>
        <v>0.10069314833313707</v>
      </c>
      <c r="L48">
        <f>(1/(SQRT(2*PI())*TRAINING!$O$9))*EXP(-((A48-TRAINING!$O$4)^2)/(2*(TRAINING!$O$9^2)))</f>
        <v>6.3165200316397857E-2</v>
      </c>
      <c r="M48">
        <f>(1/(SQRT(2*PI())*TRAINING!$P$8))*EXP(-((B48-TRAINING!$P$3)^2)/(2*(TRAINING!$P$8^2)))</f>
        <v>5.9958492838548825E-3</v>
      </c>
      <c r="N48">
        <f>(1/(SQRT(2*PI())*TRAINING!$P$9))*EXP(-((B48-TRAINING!$P$4)^2)/(2*(TRAINING!$P$9^2)))</f>
        <v>1.3619774009603037E-2</v>
      </c>
      <c r="O48">
        <f>(1/(SQRT(2*PI())*TRAINING!$Q$8))*EXP(-((C48-TRAINING!$Q$3)^2)/(2*(TRAINING!$Q$8^2)))</f>
        <v>1.4821476852450924E-2</v>
      </c>
      <c r="P48">
        <f>(1/(SQRT(2*PI())*TRAINING!$Q$9))*EXP(-((C48-TRAINING!$Q$4)^2)/(2*(TRAINING!$Q$9^2)))</f>
        <v>8.059243289471477E-3</v>
      </c>
      <c r="Q48">
        <f>(1/(SQRT(2*PI())*TRAINING!$R$8))*EXP(-((D48-TRAINING!$R$3)^2)/(2*(TRAINING!$R$8^2)))</f>
        <v>4.2691938231656991E-2</v>
      </c>
      <c r="R48">
        <f>(1/(SQRT(2*PI())*TRAINING!$R$9))*EXP(-((D48-TRAINING!$R$4)^2)/(2*(TRAINING!$R$9^2)))</f>
        <v>3.202065801833482E-2</v>
      </c>
      <c r="S48">
        <f>(1/(SQRT(2*PI())*TRAINING!$S$8))*EXP(-((E48-TRAINING!$S$3)^2)/(2*(TRAINING!$S$8^2)))</f>
        <v>3.5657055057560366E-3</v>
      </c>
      <c r="T48">
        <f>(1/(SQRT(2*PI())*TRAINING!$S$9))*EXP(-((E48-TRAINING!$S$4)^2)/(2*(TRAINING!$S$9^2)))</f>
        <v>2.5951511419773543E-3</v>
      </c>
      <c r="U48">
        <f>(1/(SQRT(2*PI())*TRAINING!$T$8))*EXP(-((F48-TRAINING!$T$3)^2)/(2*(TRAINING!$T$8^2)))</f>
        <v>5.9967534228350015E-2</v>
      </c>
      <c r="V48">
        <f>(1/(SQRT(2*PI())*TRAINING!$T$9))*EXP(-((F48-TRAINING!$T$4)^2)/(2*(TRAINING!$T$9^2)))</f>
        <v>4.215480275955099E-2</v>
      </c>
      <c r="W48">
        <f>(1/(SQRT(2*PI())*TRAINING!$U$8))*EXP(-((G48-TRAINING!$U$3)^2)/(2*(TRAINING!$U$8^2)))</f>
        <v>1.2061043561057394</v>
      </c>
      <c r="X48">
        <f>(1/(SQRT(2*PI())*TRAINING!$U$9))*EXP(-((G48-TRAINING!$U$4)^2)/(2*(TRAINING!$U$9^2)))</f>
        <v>1.105674095532434</v>
      </c>
      <c r="Y48">
        <f>(1/(SQRT(2*PI())*TRAINING!$V$8))*EXP(-((H48-TRAINING!$V$3)^2)/(2*(TRAINING!$V$8^2)))</f>
        <v>3.2970843943366711E-2</v>
      </c>
      <c r="Z48">
        <f>(1/(SQRT(2*PI())*TRAINING!$V$9))*EXP(-((H48-TRAINING!$V$4)^2)/(2*(TRAINING!$V$9^2)))</f>
        <v>2.8619090403733831E-2</v>
      </c>
      <c r="AA48">
        <f>PRODUCT(K48,M48,O48,Q48,S48,U48,W48,Y48)*TRAINING!$L$2</f>
        <v>2.1180384994074213E-12</v>
      </c>
      <c r="AB48">
        <f>PRODUCT(L48,N48,P48,R48,T48,V48,X48,Z48)*TRAINING!$L$3</f>
        <v>2.6130269810401217E-13</v>
      </c>
      <c r="AC48">
        <f t="shared" si="0"/>
        <v>0</v>
      </c>
      <c r="AD48">
        <f t="shared" si="1"/>
        <v>1</v>
      </c>
      <c r="AF48" s="19"/>
      <c r="AG48" t="str">
        <f t="shared" si="2"/>
        <v>TN</v>
      </c>
    </row>
    <row r="49" spans="1:33" x14ac:dyDescent="0.3">
      <c r="A49">
        <v>2</v>
      </c>
      <c r="B49">
        <v>71</v>
      </c>
      <c r="C49">
        <v>70</v>
      </c>
      <c r="D49">
        <v>27</v>
      </c>
      <c r="E49">
        <v>30.5</v>
      </c>
      <c r="F49">
        <v>28</v>
      </c>
      <c r="G49">
        <v>0.58599999999999997</v>
      </c>
      <c r="H49">
        <v>22</v>
      </c>
      <c r="I49">
        <v>0</v>
      </c>
      <c r="K49">
        <f>(1/(SQRT(2*PI())*TRAINING!$O$8))*EXP(-((A49-TRAINING!$O$3)^2)/(2*(TRAINING!$O$8^2)))</f>
        <v>0.12153525578060927</v>
      </c>
      <c r="L49">
        <f>(1/(SQRT(2*PI())*TRAINING!$O$9))*EXP(-((A49-TRAINING!$O$4)^2)/(2*(TRAINING!$O$9^2)))</f>
        <v>8.041832272231407E-2</v>
      </c>
      <c r="M49">
        <f>(1/(SQRT(2*PI())*TRAINING!$P$8))*EXP(-((B49-TRAINING!$P$3)^2)/(2*(TRAINING!$P$8^2)))</f>
        <v>4.2691108101441883E-3</v>
      </c>
      <c r="N49">
        <f>(1/(SQRT(2*PI())*TRAINING!$P$9))*EXP(-((B49-TRAINING!$P$4)^2)/(2*(TRAINING!$P$9^2)))</f>
        <v>6.301847600402523E-4</v>
      </c>
      <c r="O49">
        <f>(1/(SQRT(2*PI())*TRAINING!$Q$8))*EXP(-((C49-TRAINING!$Q$3)^2)/(2*(TRAINING!$Q$8^2)))</f>
        <v>3.4183653072486359E-2</v>
      </c>
      <c r="P49">
        <f>(1/(SQRT(2*PI())*TRAINING!$Q$9))*EXP(-((C49-TRAINING!$Q$4)^2)/(2*(TRAINING!$Q$9^2)))</f>
        <v>3.159268547546501E-2</v>
      </c>
      <c r="Q49">
        <f>(1/(SQRT(2*PI())*TRAINING!$R$8))*EXP(-((D49-TRAINING!$R$3)^2)/(2*(TRAINING!$R$8^2)))</f>
        <v>4.5198924351348924E-2</v>
      </c>
      <c r="R49">
        <f>(1/(SQRT(2*PI())*TRAINING!$R$9))*EXP(-((D49-TRAINING!$R$4)^2)/(2*(TRAINING!$R$9^2)))</f>
        <v>3.8900959028324751E-2</v>
      </c>
      <c r="S49">
        <f>(1/(SQRT(2*PI())*TRAINING!$S$8))*EXP(-((E49-TRAINING!$S$3)^2)/(2*(TRAINING!$S$8^2)))</f>
        <v>3.5657055057560366E-3</v>
      </c>
      <c r="T49">
        <f>(1/(SQRT(2*PI())*TRAINING!$S$9))*EXP(-((E49-TRAINING!$S$4)^2)/(2*(TRAINING!$S$9^2)))</f>
        <v>2.5951511419773543E-3</v>
      </c>
      <c r="U49">
        <f>(1/(SQRT(2*PI())*TRAINING!$T$8))*EXP(-((F49-TRAINING!$T$3)^2)/(2*(TRAINING!$T$8^2)))</f>
        <v>5.5113522955097229E-2</v>
      </c>
      <c r="V49">
        <f>(1/(SQRT(2*PI())*TRAINING!$T$9))*EXP(-((F49-TRAINING!$T$4)^2)/(2*(TRAINING!$T$9^2)))</f>
        <v>3.2698545258589354E-2</v>
      </c>
      <c r="W49">
        <f>(1/(SQRT(2*PI())*TRAINING!$U$8))*EXP(-((G49-TRAINING!$U$3)^2)/(2*(TRAINING!$U$8^2)))</f>
        <v>1.165466447583493</v>
      </c>
      <c r="X49">
        <f>(1/(SQRT(2*PI())*TRAINING!$U$9))*EXP(-((G49-TRAINING!$U$4)^2)/(2*(TRAINING!$U$9^2)))</f>
        <v>1.1011274386315972</v>
      </c>
      <c r="Y49">
        <f>(1/(SQRT(2*PI())*TRAINING!$V$8))*EXP(-((H49-TRAINING!$V$3)^2)/(2*(TRAINING!$V$8^2)))</f>
        <v>2.4686919742992346E-2</v>
      </c>
      <c r="Z49">
        <f>(1/(SQRT(2*PI())*TRAINING!$V$9))*EXP(-((H49-TRAINING!$V$4)^2)/(2*(TRAINING!$V$9^2)))</f>
        <v>1.4904761570265752E-2</v>
      </c>
      <c r="AA49">
        <f>PRODUCT(K49,M49,O49,Q49,S49,U49,W49,Y49)*TRAINING!$L$2</f>
        <v>2.9554652703364113E-12</v>
      </c>
      <c r="AB49">
        <f>PRODUCT(L49,N49,P49,R49,T49,V49,X49,Z49)*TRAINING!$L$3</f>
        <v>2.949187482132628E-14</v>
      </c>
      <c r="AC49">
        <f t="shared" si="0"/>
        <v>0</v>
      </c>
      <c r="AD49">
        <f t="shared" si="1"/>
        <v>1</v>
      </c>
      <c r="AF49" s="19"/>
      <c r="AG49" t="str">
        <f t="shared" si="2"/>
        <v>TN</v>
      </c>
    </row>
    <row r="50" spans="1:33" x14ac:dyDescent="0.3">
      <c r="A50">
        <v>7</v>
      </c>
      <c r="B50">
        <v>103</v>
      </c>
      <c r="C50">
        <v>66</v>
      </c>
      <c r="D50">
        <v>32</v>
      </c>
      <c r="E50">
        <v>30.5</v>
      </c>
      <c r="F50">
        <v>39.1</v>
      </c>
      <c r="G50">
        <v>0.34399999999999997</v>
      </c>
      <c r="H50">
        <v>31</v>
      </c>
      <c r="I50">
        <v>1</v>
      </c>
      <c r="K50">
        <f>(1/(SQRT(2*PI())*TRAINING!$O$8))*EXP(-((A50-TRAINING!$O$3)^2)/(2*(TRAINING!$O$8^2)))</f>
        <v>6.0464208917336747E-2</v>
      </c>
      <c r="L50">
        <f>(1/(SQRT(2*PI())*TRAINING!$O$9))*EXP(-((A50-TRAINING!$O$4)^2)/(2*(TRAINING!$O$9^2)))</f>
        <v>9.055444669307644E-2</v>
      </c>
      <c r="M50">
        <f>(1/(SQRT(2*PI())*TRAINING!$P$8))*EXP(-((B50-TRAINING!$P$3)^2)/(2*(TRAINING!$P$8^2)))</f>
        <v>1.5295557864358449E-2</v>
      </c>
      <c r="N50">
        <f>(1/(SQRT(2*PI())*TRAINING!$P$9))*EXP(-((B50-TRAINING!$P$4)^2)/(2*(TRAINING!$P$9^2)))</f>
        <v>5.248381352753924E-3</v>
      </c>
      <c r="O50">
        <f>(1/(SQRT(2*PI())*TRAINING!$Q$8))*EXP(-((C50-TRAINING!$Q$3)^2)/(2*(TRAINING!$Q$8^2)))</f>
        <v>3.1219956230797655E-2</v>
      </c>
      <c r="P50">
        <f>(1/(SQRT(2*PI())*TRAINING!$Q$9))*EXP(-((C50-TRAINING!$Q$4)^2)/(2*(TRAINING!$Q$9^2)))</f>
        <v>2.5033349599780073E-2</v>
      </c>
      <c r="Q50">
        <f>(1/(SQRT(2*PI())*TRAINING!$R$8))*EXP(-((D50-TRAINING!$R$3)^2)/(2*(TRAINING!$R$8^2)))</f>
        <v>3.6253492357915126E-2</v>
      </c>
      <c r="R50">
        <f>(1/(SQRT(2*PI())*TRAINING!$R$9))*EXP(-((D50-TRAINING!$R$4)^2)/(2*(TRAINING!$R$9^2)))</f>
        <v>3.937990805069122E-2</v>
      </c>
      <c r="S50">
        <f>(1/(SQRT(2*PI())*TRAINING!$S$8))*EXP(-((E50-TRAINING!$S$3)^2)/(2*(TRAINING!$S$8^2)))</f>
        <v>3.5657055057560366E-3</v>
      </c>
      <c r="T50">
        <f>(1/(SQRT(2*PI())*TRAINING!$S$9))*EXP(-((E50-TRAINING!$S$4)^2)/(2*(TRAINING!$S$9^2)))</f>
        <v>2.5951511419773543E-3</v>
      </c>
      <c r="U50">
        <f>(1/(SQRT(2*PI())*TRAINING!$T$8))*EXP(-((F50-TRAINING!$T$3)^2)/(2*(TRAINING!$T$8^2)))</f>
        <v>2.8122124293555137E-2</v>
      </c>
      <c r="V50">
        <f>(1/(SQRT(2*PI())*TRAINING!$T$9))*EXP(-((F50-TRAINING!$T$4)^2)/(2*(TRAINING!$T$9^2)))</f>
        <v>5.1389452975427553E-2</v>
      </c>
      <c r="W50">
        <f>(1/(SQRT(2*PI())*TRAINING!$U$8))*EXP(-((G50-TRAINING!$U$3)^2)/(2*(TRAINING!$U$8^2)))</f>
        <v>1.2670894669821298</v>
      </c>
      <c r="X50">
        <f>(1/(SQRT(2*PI())*TRAINING!$U$9))*EXP(-((G50-TRAINING!$U$4)^2)/(2*(TRAINING!$U$9^2)))</f>
        <v>0.93885395264447569</v>
      </c>
      <c r="Y50">
        <f>(1/(SQRT(2*PI())*TRAINING!$V$8))*EXP(-((H50-TRAINING!$V$3)^2)/(2*(TRAINING!$V$8^2)))</f>
        <v>3.3596431738612473E-2</v>
      </c>
      <c r="Z50">
        <f>(1/(SQRT(2*PI())*TRAINING!$V$9))*EXP(-((H50-TRAINING!$V$4)^2)/(2*(TRAINING!$V$9^2)))</f>
        <v>3.1979114216098517E-2</v>
      </c>
      <c r="AA50">
        <f>PRODUCT(K50,M50,O50,Q50,S50,U50,W50,Y50)*TRAINING!$L$2</f>
        <v>2.9134604154194433E-12</v>
      </c>
      <c r="AB50">
        <f>PRODUCT(L50,N50,P50,R50,T50,V50,X50,Z50)*TRAINING!$L$3</f>
        <v>6.3783576068090292E-13</v>
      </c>
      <c r="AC50">
        <f t="shared" si="0"/>
        <v>0</v>
      </c>
      <c r="AD50">
        <f t="shared" si="1"/>
        <v>0</v>
      </c>
      <c r="AF50" s="19"/>
      <c r="AG50" t="str">
        <f t="shared" si="2"/>
        <v>FN</v>
      </c>
    </row>
    <row r="51" spans="1:33" x14ac:dyDescent="0.3">
      <c r="A51">
        <v>7</v>
      </c>
      <c r="B51">
        <v>105</v>
      </c>
      <c r="C51">
        <v>72</v>
      </c>
      <c r="D51">
        <v>23</v>
      </c>
      <c r="E51">
        <v>30.5</v>
      </c>
      <c r="F51">
        <v>32</v>
      </c>
      <c r="G51">
        <v>0.30499999999999999</v>
      </c>
      <c r="H51">
        <v>24</v>
      </c>
      <c r="I51">
        <v>0</v>
      </c>
      <c r="K51">
        <f>(1/(SQRT(2*PI())*TRAINING!$O$8))*EXP(-((A51-TRAINING!$O$3)^2)/(2*(TRAINING!$O$8^2)))</f>
        <v>6.0464208917336747E-2</v>
      </c>
      <c r="L51">
        <f>(1/(SQRT(2*PI())*TRAINING!$O$9))*EXP(-((A51-TRAINING!$O$4)^2)/(2*(TRAINING!$O$9^2)))</f>
        <v>9.055444669307644E-2</v>
      </c>
      <c r="M51">
        <f>(1/(SQRT(2*PI())*TRAINING!$P$8))*EXP(-((B51-TRAINING!$P$3)^2)/(2*(TRAINING!$P$8^2)))</f>
        <v>1.5664832413840087E-2</v>
      </c>
      <c r="N51">
        <f>(1/(SQRT(2*PI())*TRAINING!$P$9))*EXP(-((B51-TRAINING!$P$4)^2)/(2*(TRAINING!$P$9^2)))</f>
        <v>5.7571840580586753E-3</v>
      </c>
      <c r="O51">
        <f>(1/(SQRT(2*PI())*TRAINING!$Q$8))*EXP(-((C51-TRAINING!$Q$3)^2)/(2*(TRAINING!$Q$8^2)))</f>
        <v>3.4215224205554493E-2</v>
      </c>
      <c r="P51">
        <f>(1/(SQRT(2*PI())*TRAINING!$Q$9))*EXP(-((C51-TRAINING!$Q$4)^2)/(2*(TRAINING!$Q$9^2)))</f>
        <v>3.3852206664402869E-2</v>
      </c>
      <c r="Q51">
        <f>(1/(SQRT(2*PI())*TRAINING!$R$8))*EXP(-((D51-TRAINING!$R$3)^2)/(2*(TRAINING!$R$8^2)))</f>
        <v>4.2691938231656991E-2</v>
      </c>
      <c r="R51">
        <f>(1/(SQRT(2*PI())*TRAINING!$R$9))*EXP(-((D51-TRAINING!$R$4)^2)/(2*(TRAINING!$R$9^2)))</f>
        <v>3.202065801833482E-2</v>
      </c>
      <c r="S51">
        <f>(1/(SQRT(2*PI())*TRAINING!$S$8))*EXP(-((E51-TRAINING!$S$3)^2)/(2*(TRAINING!$S$8^2)))</f>
        <v>3.5657055057560366E-3</v>
      </c>
      <c r="T51">
        <f>(1/(SQRT(2*PI())*TRAINING!$S$9))*EXP(-((E51-TRAINING!$S$4)^2)/(2*(TRAINING!$S$9^2)))</f>
        <v>2.5951511419773543E-3</v>
      </c>
      <c r="U51">
        <f>(1/(SQRT(2*PI())*TRAINING!$T$8))*EXP(-((F51-TRAINING!$T$3)^2)/(2*(TRAINING!$T$8^2)))</f>
        <v>6.0345164388641175E-2</v>
      </c>
      <c r="V51">
        <f>(1/(SQRT(2*PI())*TRAINING!$T$9))*EXP(-((F51-TRAINING!$T$4)^2)/(2*(TRAINING!$T$9^2)))</f>
        <v>5.344431412493849E-2</v>
      </c>
      <c r="W51">
        <f>(1/(SQRT(2*PI())*TRAINING!$U$8))*EXP(-((G51-TRAINING!$U$3)^2)/(2*(TRAINING!$U$8^2)))</f>
        <v>1.2090057777054033</v>
      </c>
      <c r="X51">
        <f>(1/(SQRT(2*PI())*TRAINING!$U$9))*EXP(-((G51-TRAINING!$U$4)^2)/(2*(TRAINING!$U$9^2)))</f>
        <v>0.87727394329041697</v>
      </c>
      <c r="Y51">
        <f>(1/(SQRT(2*PI())*TRAINING!$V$8))*EXP(-((H51-TRAINING!$V$3)^2)/(2*(TRAINING!$V$8^2)))</f>
        <v>2.7783192496885357E-2</v>
      </c>
      <c r="Z51">
        <f>(1/(SQRT(2*PI())*TRAINING!$V$9))*EXP(-((H51-TRAINING!$V$4)^2)/(2*(TRAINING!$V$9^2)))</f>
        <v>1.8726911646419479E-2</v>
      </c>
      <c r="AA51">
        <f>PRODUCT(K51,M51,O51,Q51,S51,U51,W51,Y51)*TRAINING!$L$2</f>
        <v>6.5201429616407962E-12</v>
      </c>
      <c r="AB51">
        <f>PRODUCT(L51,N51,P51,R51,T51,V51,X51,Z51)*TRAINING!$L$3</f>
        <v>4.3780589425474444E-13</v>
      </c>
      <c r="AC51">
        <f t="shared" si="0"/>
        <v>0</v>
      </c>
      <c r="AD51">
        <f t="shared" si="1"/>
        <v>1</v>
      </c>
      <c r="AF51" s="19"/>
      <c r="AG51" t="str">
        <f t="shared" si="2"/>
        <v>TN</v>
      </c>
    </row>
    <row r="52" spans="1:33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  <c r="K52">
        <f>(1/(SQRT(2*PI())*TRAINING!$O$8))*EXP(-((A52-TRAINING!$O$3)^2)/(2*(TRAINING!$O$8^2)))</f>
        <v>0.10069314833313707</v>
      </c>
      <c r="L52">
        <f>(1/(SQRT(2*PI())*TRAINING!$O$9))*EXP(-((A52-TRAINING!$O$4)^2)/(2*(TRAINING!$O$9^2)))</f>
        <v>6.3165200316397857E-2</v>
      </c>
      <c r="M52">
        <f>(1/(SQRT(2*PI())*TRAINING!$P$8))*EXP(-((B52-TRAINING!$P$3)^2)/(2*(TRAINING!$P$8^2)))</f>
        <v>1.5295557864358449E-2</v>
      </c>
      <c r="N52">
        <f>(1/(SQRT(2*PI())*TRAINING!$P$9))*EXP(-((B52-TRAINING!$P$4)^2)/(2*(TRAINING!$P$9^2)))</f>
        <v>5.248381352753924E-3</v>
      </c>
      <c r="O52">
        <f>(1/(SQRT(2*PI())*TRAINING!$Q$8))*EXP(-((C52-TRAINING!$Q$3)^2)/(2*(TRAINING!$Q$8^2)))</f>
        <v>2.5539275567719948E-2</v>
      </c>
      <c r="P52">
        <f>(1/(SQRT(2*PI())*TRAINING!$Q$9))*EXP(-((C52-TRAINING!$Q$4)^2)/(2*(TRAINING!$Q$9^2)))</f>
        <v>3.2561150559118943E-2</v>
      </c>
      <c r="Q52">
        <f>(1/(SQRT(2*PI())*TRAINING!$R$8))*EXP(-((D52-TRAINING!$R$3)^2)/(2*(TRAINING!$R$8^2)))</f>
        <v>1.0355556552814152E-2</v>
      </c>
      <c r="R52">
        <f>(1/(SQRT(2*PI())*TRAINING!$R$9))*EXP(-((D52-TRAINING!$R$4)^2)/(2*(TRAINING!$R$9^2)))</f>
        <v>6.6632767208721268E-3</v>
      </c>
      <c r="S52">
        <f>(1/(SQRT(2*PI())*TRAINING!$S$8))*EXP(-((E52-TRAINING!$S$3)^2)/(2*(TRAINING!$S$8^2)))</f>
        <v>4.2495999417652879E-3</v>
      </c>
      <c r="T52">
        <f>(1/(SQRT(2*PI())*TRAINING!$S$9))*EXP(-((E52-TRAINING!$S$4)^2)/(2*(TRAINING!$S$9^2)))</f>
        <v>3.1793106462541512E-3</v>
      </c>
      <c r="U52">
        <f>(1/(SQRT(2*PI())*TRAINING!$T$8))*EXP(-((F52-TRAINING!$T$3)^2)/(2*(TRAINING!$T$8^2)))</f>
        <v>1.2721446133380747E-2</v>
      </c>
      <c r="V52">
        <f>(1/(SQRT(2*PI())*TRAINING!$T$9))*EXP(-((F52-TRAINING!$T$4)^2)/(2*(TRAINING!$T$9^2)))</f>
        <v>3.2480196929411324E-3</v>
      </c>
      <c r="W52">
        <f>(1/(SQRT(2*PI())*TRAINING!$U$8))*EXP(-((G52-TRAINING!$U$3)^2)/(2*(TRAINING!$U$8^2)))</f>
        <v>1.3007014588342021</v>
      </c>
      <c r="X52">
        <f>(1/(SQRT(2*PI())*TRAINING!$U$9))*EXP(-((G52-TRAINING!$U$4)^2)/(2*(TRAINING!$U$9^2)))</f>
        <v>1.0913949500327138</v>
      </c>
      <c r="Y52">
        <f>(1/(SQRT(2*PI())*TRAINING!$V$8))*EXP(-((H52-TRAINING!$V$3)^2)/(2*(TRAINING!$V$8^2)))</f>
        <v>2.4686919742992346E-2</v>
      </c>
      <c r="Z52">
        <f>(1/(SQRT(2*PI())*TRAINING!$V$9))*EXP(-((H52-TRAINING!$V$4)^2)/(2*(TRAINING!$V$9^2)))</f>
        <v>1.4904761570265752E-2</v>
      </c>
      <c r="AA52">
        <f>PRODUCT(K52,M52,O52,Q52,S52,U52,W52,Y52)*TRAINING!$L$2</f>
        <v>4.6104740323648011E-13</v>
      </c>
      <c r="AB52">
        <f>PRODUCT(L52,N52,P52,R52,T52,V52,X52,Z52)*TRAINING!$L$3</f>
        <v>4.1079803889637524E-15</v>
      </c>
      <c r="AC52">
        <f t="shared" si="0"/>
        <v>0</v>
      </c>
      <c r="AD52">
        <f t="shared" si="1"/>
        <v>1</v>
      </c>
      <c r="AF52" s="19"/>
      <c r="AG52" t="str">
        <f t="shared" si="2"/>
        <v>TN</v>
      </c>
    </row>
    <row r="53" spans="1:33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  <c r="K53">
        <f>(1/(SQRT(2*PI())*TRAINING!$O$8))*EXP(-((A53-TRAINING!$O$3)^2)/(2*(TRAINING!$O$8^2)))</f>
        <v>0.10069314833313707</v>
      </c>
      <c r="L53">
        <f>(1/(SQRT(2*PI())*TRAINING!$O$9))*EXP(-((A53-TRAINING!$O$4)^2)/(2*(TRAINING!$O$9^2)))</f>
        <v>6.3165200316397857E-2</v>
      </c>
      <c r="M53">
        <f>(1/(SQRT(2*PI())*TRAINING!$P$8))*EXP(-((B53-TRAINING!$P$3)^2)/(2*(TRAINING!$P$8^2)))</f>
        <v>1.4837084115570767E-2</v>
      </c>
      <c r="N53">
        <f>(1/(SQRT(2*PI())*TRAINING!$P$9))*EXP(-((B53-TRAINING!$P$4)^2)/(2*(TRAINING!$P$9^2)))</f>
        <v>4.7621104471177057E-3</v>
      </c>
      <c r="O53">
        <f>(1/(SQRT(2*PI())*TRAINING!$Q$8))*EXP(-((C53-TRAINING!$Q$3)^2)/(2*(TRAINING!$Q$8^2)))</f>
        <v>6.6439997690656187E-3</v>
      </c>
      <c r="P53">
        <f>(1/(SQRT(2*PI())*TRAINING!$Q$9))*EXP(-((C53-TRAINING!$Q$4)^2)/(2*(TRAINING!$Q$9^2)))</f>
        <v>2.7970011666003701E-3</v>
      </c>
      <c r="Q53">
        <f>(1/(SQRT(2*PI())*TRAINING!$R$8))*EXP(-((D53-TRAINING!$R$3)^2)/(2*(TRAINING!$R$8^2)))</f>
        <v>2.0434713115401574E-2</v>
      </c>
      <c r="R53">
        <f>(1/(SQRT(2*PI())*TRAINING!$R$9))*EXP(-((D53-TRAINING!$R$4)^2)/(2*(TRAINING!$R$9^2)))</f>
        <v>1.3252384353220969E-2</v>
      </c>
      <c r="S53">
        <f>(1/(SQRT(2*PI())*TRAINING!$S$8))*EXP(-((E53-TRAINING!$S$3)^2)/(2*(TRAINING!$S$8^2)))</f>
        <v>3.6857849321218143E-3</v>
      </c>
      <c r="T53">
        <f>(1/(SQRT(2*PI())*TRAINING!$S$9))*EXP(-((E53-TRAINING!$S$4)^2)/(2*(TRAINING!$S$9^2)))</f>
        <v>2.6749888655252596E-3</v>
      </c>
      <c r="U53">
        <f>(1/(SQRT(2*PI())*TRAINING!$T$8))*EXP(-((F53-TRAINING!$T$3)^2)/(2*(TRAINING!$T$8^2)))</f>
        <v>3.5714175081430252E-2</v>
      </c>
      <c r="V53">
        <f>(1/(SQRT(2*PI())*TRAINING!$T$9))*EXP(-((F53-TRAINING!$T$4)^2)/(2*(TRAINING!$T$9^2)))</f>
        <v>1.4553890764721952E-2</v>
      </c>
      <c r="W53">
        <f>(1/(SQRT(2*PI())*TRAINING!$U$8))*EXP(-((G53-TRAINING!$U$3)^2)/(2*(TRAINING!$U$8^2)))</f>
        <v>1.2636837606226556</v>
      </c>
      <c r="X53">
        <f>(1/(SQRT(2*PI())*TRAINING!$U$9))*EXP(-((G53-TRAINING!$U$4)^2)/(2*(TRAINING!$U$9^2)))</f>
        <v>1.103849803890657</v>
      </c>
      <c r="Y53">
        <f>(1/(SQRT(2*PI())*TRAINING!$V$8))*EXP(-((H53-TRAINING!$V$3)^2)/(2*(TRAINING!$V$8^2)))</f>
        <v>3.039262448519801E-2</v>
      </c>
      <c r="Z53">
        <f>(1/(SQRT(2*PI())*TRAINING!$V$9))*EXP(-((H53-TRAINING!$V$4)^2)/(2*(TRAINING!$V$9^2)))</f>
        <v>2.2753892995124533E-2</v>
      </c>
      <c r="AA53">
        <f>PRODUCT(K53,M53,O53,Q53,S53,U53,W53,Y53)*TRAINING!$L$2</f>
        <v>6.6864116674416429E-13</v>
      </c>
      <c r="AB53">
        <f>PRODUCT(L53,N53,P53,R53,T53,V53,X53,Z53)*TRAINING!$L$3</f>
        <v>3.7068901379305446E-15</v>
      </c>
      <c r="AC53">
        <f t="shared" si="0"/>
        <v>0</v>
      </c>
      <c r="AD53">
        <f t="shared" si="1"/>
        <v>1</v>
      </c>
      <c r="AF53" s="19"/>
      <c r="AG53" t="str">
        <f t="shared" si="2"/>
        <v>TN</v>
      </c>
    </row>
    <row r="54" spans="1:33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  <c r="K54">
        <f>(1/(SQRT(2*PI())*TRAINING!$O$8))*EXP(-((A54-TRAINING!$O$3)^2)/(2*(TRAINING!$O$8^2)))</f>
        <v>0.11094891947307506</v>
      </c>
      <c r="L54">
        <f>(1/(SQRT(2*PI())*TRAINING!$O$9))*EXP(-((A54-TRAINING!$O$4)^2)/(2*(TRAINING!$O$9^2)))</f>
        <v>0.1073628550745119</v>
      </c>
      <c r="M54">
        <f>(1/(SQRT(2*PI())*TRAINING!$P$8))*EXP(-((B54-TRAINING!$P$3)^2)/(2*(TRAINING!$P$8^2)))</f>
        <v>1.0370902223891957E-2</v>
      </c>
      <c r="N54">
        <f>(1/(SQRT(2*PI())*TRAINING!$P$9))*EXP(-((B54-TRAINING!$P$4)^2)/(2*(TRAINING!$P$9^2)))</f>
        <v>2.257236082029275E-3</v>
      </c>
      <c r="O54">
        <f>(1/(SQRT(2*PI())*TRAINING!$Q$8))*EXP(-((C54-TRAINING!$Q$3)^2)/(2*(TRAINING!$Q$8^2)))</f>
        <v>3.1219956230797655E-2</v>
      </c>
      <c r="P54">
        <f>(1/(SQRT(2*PI())*TRAINING!$Q$9))*EXP(-((C54-TRAINING!$Q$4)^2)/(2*(TRAINING!$Q$9^2)))</f>
        <v>2.5033349599780073E-2</v>
      </c>
      <c r="Q54">
        <f>(1/(SQRT(2*PI())*TRAINING!$R$8))*EXP(-((D54-TRAINING!$R$3)^2)/(2*(TRAINING!$R$8^2)))</f>
        <v>3.8384257994823326E-2</v>
      </c>
      <c r="R54">
        <f>(1/(SQRT(2*PI())*TRAINING!$R$9))*EXP(-((D54-TRAINING!$R$4)^2)/(2*(TRAINING!$R$9^2)))</f>
        <v>2.7315283336264956E-2</v>
      </c>
      <c r="S54">
        <f>(1/(SQRT(2*PI())*TRAINING!$S$8))*EXP(-((E54-TRAINING!$S$3)^2)/(2*(TRAINING!$S$8^2)))</f>
        <v>3.3894015001626082E-3</v>
      </c>
      <c r="T54">
        <f>(1/(SQRT(2*PI())*TRAINING!$S$9))*EXP(-((E54-TRAINING!$S$4)^2)/(2*(TRAINING!$S$9^2)))</f>
        <v>2.4818506080161312E-3</v>
      </c>
      <c r="U54">
        <f>(1/(SQRT(2*PI())*TRAINING!$T$8))*EXP(-((F54-TRAINING!$T$3)^2)/(2*(TRAINING!$T$8^2)))</f>
        <v>3.6848975047125469E-2</v>
      </c>
      <c r="V54">
        <f>(1/(SQRT(2*PI())*TRAINING!$T$9))*EXP(-((F54-TRAINING!$T$4)^2)/(2*(TRAINING!$T$9^2)))</f>
        <v>1.531430782334363E-2</v>
      </c>
      <c r="W54">
        <f>(1/(SQRT(2*PI())*TRAINING!$U$8))*EXP(-((G54-TRAINING!$U$3)^2)/(2*(TRAINING!$U$8^2)))</f>
        <v>1.2645596672796833</v>
      </c>
      <c r="X54">
        <f>(1/(SQRT(2*PI())*TRAINING!$U$9))*EXP(-((G54-TRAINING!$U$4)^2)/(2*(TRAINING!$U$9^2)))</f>
        <v>0.93585965440126018</v>
      </c>
      <c r="Y54">
        <f>(1/(SQRT(2*PI())*TRAINING!$V$8))*EXP(-((H54-TRAINING!$V$3)^2)/(2*(TRAINING!$V$8^2)))</f>
        <v>3.3400483760251447E-2</v>
      </c>
      <c r="Z54">
        <f>(1/(SQRT(2*PI())*TRAINING!$V$9))*EXP(-((H54-TRAINING!$V$4)^2)/(2*(TRAINING!$V$9^2)))</f>
        <v>3.0379461798111088E-2</v>
      </c>
      <c r="AA54">
        <f>PRODUCT(K54,M54,O54,Q54,S54,U54,W54,Y54)*TRAINING!$L$2</f>
        <v>4.7428001621777801E-12</v>
      </c>
      <c r="AB54">
        <f>PRODUCT(L54,N54,P54,R54,T54,V54,X54,Z54)*TRAINING!$L$3</f>
        <v>6.0883335349709941E-14</v>
      </c>
      <c r="AC54">
        <f t="shared" si="0"/>
        <v>0</v>
      </c>
      <c r="AD54">
        <f t="shared" si="1"/>
        <v>1</v>
      </c>
      <c r="AF54" s="19"/>
      <c r="AG54" t="str">
        <f t="shared" si="2"/>
        <v>TN</v>
      </c>
    </row>
    <row r="55" spans="1:33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  <c r="K55">
        <f>(1/(SQRT(2*PI())*TRAINING!$O$8))*EXP(-((A55-TRAINING!$O$3)^2)/(2*(TRAINING!$O$8^2)))</f>
        <v>3.7889114375245843E-2</v>
      </c>
      <c r="L55">
        <f>(1/(SQRT(2*PI())*TRAINING!$O$9))*EXP(-((A55-TRAINING!$O$4)^2)/(2*(TRAINING!$O$9^2)))</f>
        <v>7.4585525924131008E-2</v>
      </c>
      <c r="M55">
        <f>(1/(SQRT(2*PI())*TRAINING!$P$8))*EXP(-((B55-TRAINING!$P$3)^2)/(2*(TRAINING!$P$8^2)))</f>
        <v>5.1543721841646286E-4</v>
      </c>
      <c r="N55">
        <f>(1/(SQRT(2*PI())*TRAINING!$P$9))*EXP(-((B55-TRAINING!$P$4)^2)/(2*(TRAINING!$P$9^2)))</f>
        <v>7.3169864536929887E-3</v>
      </c>
      <c r="O55">
        <f>(1/(SQRT(2*PI())*TRAINING!$Q$8))*EXP(-((C55-TRAINING!$Q$3)^2)/(2*(TRAINING!$Q$8^2)))</f>
        <v>9.1004413738675835E-3</v>
      </c>
      <c r="P55">
        <f>(1/(SQRT(2*PI())*TRAINING!$Q$9))*EXP(-((C55-TRAINING!$Q$4)^2)/(2*(TRAINING!$Q$9^2)))</f>
        <v>1.5261261756373781E-2</v>
      </c>
      <c r="Q55">
        <f>(1/(SQRT(2*PI())*TRAINING!$R$8))*EXP(-((D55-TRAINING!$R$3)^2)/(2*(TRAINING!$R$8^2)))</f>
        <v>3.0311214537241261E-2</v>
      </c>
      <c r="R55">
        <f>(1/(SQRT(2*PI())*TRAINING!$R$9))*EXP(-((D55-TRAINING!$R$4)^2)/(2*(TRAINING!$R$9^2)))</f>
        <v>3.6828244672337411E-2</v>
      </c>
      <c r="S55">
        <f>(1/(SQRT(2*PI())*TRAINING!$S$8))*EXP(-((E55-TRAINING!$S$3)^2)/(2*(TRAINING!$S$8^2)))</f>
        <v>3.1651649036202836E-4</v>
      </c>
      <c r="T55">
        <f>(1/(SQRT(2*PI())*TRAINING!$S$9))*EXP(-((E55-TRAINING!$S$4)^2)/(2*(TRAINING!$S$9^2)))</f>
        <v>1.0147321584805355E-3</v>
      </c>
      <c r="U55">
        <f>(1/(SQRT(2*PI())*TRAINING!$T$8))*EXP(-((F55-TRAINING!$T$3)^2)/(2*(TRAINING!$T$8^2)))</f>
        <v>5.5977643675419964E-2</v>
      </c>
      <c r="V55">
        <f>(1/(SQRT(2*PI())*TRAINING!$T$9))*EXP(-((F55-TRAINING!$T$4)^2)/(2*(TRAINING!$T$9^2)))</f>
        <v>5.8874093517386789E-2</v>
      </c>
      <c r="W55">
        <f>(1/(SQRT(2*PI())*TRAINING!$U$8))*EXP(-((G55-TRAINING!$U$3)^2)/(2*(TRAINING!$U$8^2)))</f>
        <v>1.3163967099747615</v>
      </c>
      <c r="X55">
        <f>(1/(SQRT(2*PI())*TRAINING!$U$9))*EXP(-((G55-TRAINING!$U$4)^2)/(2*(TRAINING!$U$9^2)))</f>
        <v>1.0770543578343053</v>
      </c>
      <c r="Y55">
        <f>(1/(SQRT(2*PI())*TRAINING!$V$8))*EXP(-((H55-TRAINING!$V$3)^2)/(2*(TRAINING!$V$8^2)))</f>
        <v>2.690145267118691E-3</v>
      </c>
      <c r="Z55">
        <f>(1/(SQRT(2*PI())*TRAINING!$V$9))*EXP(-((H55-TRAINING!$V$4)^2)/(2*(TRAINING!$V$9^2)))</f>
        <v>5.3885737490658257E-3</v>
      </c>
      <c r="AA55">
        <f>PRODUCT(K55,M55,O55,Q55,S55,U55,W55,Y55)*TRAINING!$L$2</f>
        <v>2.2039348673550923E-16</v>
      </c>
      <c r="AB55">
        <f>PRODUCT(L55,N55,P55,R55,T55,V55,X55,Z55)*TRAINING!$L$3</f>
        <v>3.6159656505646309E-14</v>
      </c>
      <c r="AC55">
        <f t="shared" si="0"/>
        <v>1</v>
      </c>
      <c r="AD55">
        <f t="shared" si="1"/>
        <v>1</v>
      </c>
      <c r="AF55" s="19"/>
      <c r="AG55" t="str">
        <f t="shared" si="2"/>
        <v>TP</v>
      </c>
    </row>
    <row r="56" spans="1:33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  <c r="K56">
        <f>(1/(SQRT(2*PI())*TRAINING!$O$8))*EXP(-((A56-TRAINING!$O$3)^2)/(2*(TRAINING!$O$8^2)))</f>
        <v>6.0464208917336747E-2</v>
      </c>
      <c r="L56">
        <f>(1/(SQRT(2*PI())*TRAINING!$O$9))*EXP(-((A56-TRAINING!$O$4)^2)/(2*(TRAINING!$O$9^2)))</f>
        <v>9.055444669307644E-2</v>
      </c>
      <c r="M56">
        <f>(1/(SQRT(2*PI())*TRAINING!$P$8))*EXP(-((B56-TRAINING!$P$3)^2)/(2*(TRAINING!$P$8^2)))</f>
        <v>4.7086132095513784E-3</v>
      </c>
      <c r="N56">
        <f>(1/(SQRT(2*PI())*TRAINING!$P$9))*EXP(-((B56-TRAINING!$P$4)^2)/(2*(TRAINING!$P$9^2)))</f>
        <v>1.3326834806800952E-2</v>
      </c>
      <c r="O56">
        <f>(1/(SQRT(2*PI())*TRAINING!$Q$8))*EXP(-((C56-TRAINING!$Q$3)^2)/(2*(TRAINING!$Q$8^2)))</f>
        <v>3.1219956230797655E-2</v>
      </c>
      <c r="P56">
        <f>(1/(SQRT(2*PI())*TRAINING!$Q$9))*EXP(-((C56-TRAINING!$Q$4)^2)/(2*(TRAINING!$Q$9^2)))</f>
        <v>2.5033349599780073E-2</v>
      </c>
      <c r="Q56">
        <f>(1/(SQRT(2*PI())*TRAINING!$R$8))*EXP(-((D56-TRAINING!$R$3)^2)/(2*(TRAINING!$R$8^2)))</f>
        <v>8.8160335514515607E-3</v>
      </c>
      <c r="R56">
        <f>(1/(SQRT(2*PI())*TRAINING!$R$9))*EXP(-((D56-TRAINING!$R$4)^2)/(2*(TRAINING!$R$9^2)))</f>
        <v>1.8681405316183501E-2</v>
      </c>
      <c r="S56">
        <f>(1/(SQRT(2*PI())*TRAINING!$S$8))*EXP(-((E56-TRAINING!$S$3)^2)/(2*(TRAINING!$S$8^2)))</f>
        <v>1.0315207484052842E-4</v>
      </c>
      <c r="T56">
        <f>(1/(SQRT(2*PI())*TRAINING!$S$9))*EXP(-((E56-TRAINING!$S$4)^2)/(2*(TRAINING!$S$9^2)))</f>
        <v>5.6135358480161415E-4</v>
      </c>
      <c r="U56">
        <f>(1/(SQRT(2*PI())*TRAINING!$T$8))*EXP(-((F56-TRAINING!$T$3)^2)/(2*(TRAINING!$T$8^2)))</f>
        <v>5.1887944715533256E-2</v>
      </c>
      <c r="V56">
        <f>(1/(SQRT(2*PI())*TRAINING!$T$9))*EXP(-((F56-TRAINING!$T$4)^2)/(2*(TRAINING!$T$9^2)))</f>
        <v>6.0406648097962125E-2</v>
      </c>
      <c r="W56">
        <f>(1/(SQRT(2*PI())*TRAINING!$U$8))*EXP(-((G56-TRAINING!$U$3)^2)/(2*(TRAINING!$U$8^2)))</f>
        <v>0.84827078666277478</v>
      </c>
      <c r="X56">
        <f>(1/(SQRT(2*PI())*TRAINING!$U$9))*EXP(-((G56-TRAINING!$U$4)^2)/(2*(TRAINING!$U$9^2)))</f>
        <v>0.993452844857446</v>
      </c>
      <c r="Y56">
        <f>(1/(SQRT(2*PI())*TRAINING!$V$8))*EXP(-((H56-TRAINING!$V$3)^2)/(2*(TRAINING!$V$8^2)))</f>
        <v>2.2428794825873569E-2</v>
      </c>
      <c r="Z56">
        <f>(1/(SQRT(2*PI())*TRAINING!$V$9))*EXP(-((H56-TRAINING!$V$4)^2)/(2*(TRAINING!$V$9^2)))</f>
        <v>3.2353054095022447E-2</v>
      </c>
      <c r="AA56">
        <f>PRODUCT(K56,M56,O56,Q56,S56,U56,W56,Y56)*TRAINING!$L$2</f>
        <v>5.2029668427709788E-15</v>
      </c>
      <c r="AB56">
        <f>PRODUCT(L56,N56,P56,R56,T56,V56,X56,Z56)*TRAINING!$L$3</f>
        <v>2.0913561616888158E-13</v>
      </c>
      <c r="AC56">
        <f t="shared" si="0"/>
        <v>1</v>
      </c>
      <c r="AD56">
        <f t="shared" si="1"/>
        <v>0</v>
      </c>
      <c r="AF56" s="19"/>
      <c r="AG56" t="str">
        <f t="shared" si="2"/>
        <v>FP</v>
      </c>
    </row>
    <row r="57" spans="1:33" x14ac:dyDescent="0.3">
      <c r="A57">
        <v>1</v>
      </c>
      <c r="B57">
        <v>73</v>
      </c>
      <c r="C57">
        <v>50</v>
      </c>
      <c r="D57">
        <v>10</v>
      </c>
      <c r="E57">
        <v>30.5</v>
      </c>
      <c r="F57">
        <v>23</v>
      </c>
      <c r="G57">
        <v>0.248</v>
      </c>
      <c r="H57">
        <v>21</v>
      </c>
      <c r="I57">
        <v>0</v>
      </c>
      <c r="K57">
        <f>(1/(SQRT(2*PI())*TRAINING!$O$8))*EXP(-((A57-TRAINING!$O$3)^2)/(2*(TRAINING!$O$8^2)))</f>
        <v>0.10069314833313707</v>
      </c>
      <c r="L57">
        <f>(1/(SQRT(2*PI())*TRAINING!$O$9))*EXP(-((A57-TRAINING!$O$4)^2)/(2*(TRAINING!$O$9^2)))</f>
        <v>6.3165200316397857E-2</v>
      </c>
      <c r="M57">
        <f>(1/(SQRT(2*PI())*TRAINING!$P$8))*EXP(-((B57-TRAINING!$P$3)^2)/(2*(TRAINING!$P$8^2)))</f>
        <v>4.8573472464706084E-3</v>
      </c>
      <c r="N57">
        <f>(1/(SQRT(2*PI())*TRAINING!$P$9))*EXP(-((B57-TRAINING!$P$4)^2)/(2*(TRAINING!$P$9^2)))</f>
        <v>7.452666067091229E-4</v>
      </c>
      <c r="O57">
        <f>(1/(SQRT(2*PI())*TRAINING!$Q$8))*EXP(-((C57-TRAINING!$Q$3)^2)/(2*(TRAINING!$Q$8^2)))</f>
        <v>6.6439997690656187E-3</v>
      </c>
      <c r="P57">
        <f>(1/(SQRT(2*PI())*TRAINING!$Q$9))*EXP(-((C57-TRAINING!$Q$4)^2)/(2*(TRAINING!$Q$9^2)))</f>
        <v>2.7970011666003701E-3</v>
      </c>
      <c r="Q57">
        <f>(1/(SQRT(2*PI())*TRAINING!$R$8))*EXP(-((D57-TRAINING!$R$3)^2)/(2*(TRAINING!$R$8^2)))</f>
        <v>8.4584476518801167E-3</v>
      </c>
      <c r="R57">
        <f>(1/(SQRT(2*PI())*TRAINING!$R$9))*EXP(-((D57-TRAINING!$R$4)^2)/(2*(TRAINING!$R$9^2)))</f>
        <v>5.4687303313406413E-3</v>
      </c>
      <c r="S57">
        <f>(1/(SQRT(2*PI())*TRAINING!$S$8))*EXP(-((E57-TRAINING!$S$3)^2)/(2*(TRAINING!$S$8^2)))</f>
        <v>3.5657055057560366E-3</v>
      </c>
      <c r="T57">
        <f>(1/(SQRT(2*PI())*TRAINING!$S$9))*EXP(-((E57-TRAINING!$S$4)^2)/(2*(TRAINING!$S$9^2)))</f>
        <v>2.5951511419773543E-3</v>
      </c>
      <c r="U57">
        <f>(1/(SQRT(2*PI())*TRAINING!$T$8))*EXP(-((F57-TRAINING!$T$3)^2)/(2*(TRAINING!$T$8^2)))</f>
        <v>2.9025054536406227E-2</v>
      </c>
      <c r="V57">
        <f>(1/(SQRT(2*PI())*TRAINING!$T$9))*EXP(-((F57-TRAINING!$T$4)^2)/(2*(TRAINING!$T$9^2)))</f>
        <v>1.0515574144137538E-2</v>
      </c>
      <c r="W57">
        <f>(1/(SQRT(2*PI())*TRAINING!$U$8))*EXP(-((G57-TRAINING!$U$3)^2)/(2*(TRAINING!$U$8^2)))</f>
        <v>1.0953343759080543</v>
      </c>
      <c r="X57">
        <f>(1/(SQRT(2*PI())*TRAINING!$U$9))*EXP(-((G57-TRAINING!$U$4)^2)/(2*(TRAINING!$U$9^2)))</f>
        <v>0.77791929571117613</v>
      </c>
      <c r="Y57">
        <f>(1/(SQRT(2*PI())*TRAINING!$V$8))*EXP(-((H57-TRAINING!$V$3)^2)/(2*(TRAINING!$V$8^2)))</f>
        <v>2.3024268373034226E-2</v>
      </c>
      <c r="Z57">
        <f>(1/(SQRT(2*PI())*TRAINING!$V$9))*EXP(-((H57-TRAINING!$V$4)^2)/(2*(TRAINING!$V$9^2)))</f>
        <v>1.3130994726231127E-2</v>
      </c>
      <c r="AA57">
        <f>PRODUCT(K57,M57,O57,Q57,S57,U57,W57,Y57)*TRAINING!$L$2</f>
        <v>4.6777787407575455E-14</v>
      </c>
      <c r="AB57">
        <f>PRODUCT(L57,N57,P57,R57,T57,V57,X57,Z57)*TRAINING!$L$3</f>
        <v>6.8245721565033445E-17</v>
      </c>
      <c r="AC57">
        <f t="shared" si="0"/>
        <v>0</v>
      </c>
      <c r="AD57">
        <f t="shared" si="1"/>
        <v>1</v>
      </c>
      <c r="AF57" s="19"/>
      <c r="AG57" t="str">
        <f t="shared" si="2"/>
        <v>TN</v>
      </c>
    </row>
    <row r="58" spans="1:33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  <c r="K58">
        <f>(1/(SQRT(2*PI())*TRAINING!$O$8))*EXP(-((A58-TRAINING!$O$3)^2)/(2*(TRAINING!$O$8^2)))</f>
        <v>6.0464208917336747E-2</v>
      </c>
      <c r="L58">
        <f>(1/(SQRT(2*PI())*TRAINING!$O$9))*EXP(-((A58-TRAINING!$O$4)^2)/(2*(TRAINING!$O$9^2)))</f>
        <v>9.055444669307644E-2</v>
      </c>
      <c r="M58">
        <f>(1/(SQRT(2*PI())*TRAINING!$P$8))*EXP(-((B58-TRAINING!$P$3)^2)/(2*(TRAINING!$P$8^2)))</f>
        <v>1.4467805162248385E-4</v>
      </c>
      <c r="N58">
        <f>(1/(SQRT(2*PI())*TRAINING!$P$9))*EXP(-((B58-TRAINING!$P$4)^2)/(2*(TRAINING!$P$9^2)))</f>
        <v>4.4701254219708039E-3</v>
      </c>
      <c r="O58">
        <f>(1/(SQRT(2*PI())*TRAINING!$Q$8))*EXP(-((C58-TRAINING!$Q$3)^2)/(2*(TRAINING!$Q$8^2)))</f>
        <v>3.3155539986898921E-2</v>
      </c>
      <c r="P58">
        <f>(1/(SQRT(2*PI())*TRAINING!$Q$9))*EXP(-((C58-TRAINING!$Q$4)^2)/(2*(TRAINING!$Q$9^2)))</f>
        <v>2.8569142426681692E-2</v>
      </c>
      <c r="Q58">
        <f>(1/(SQRT(2*PI())*TRAINING!$R$8))*EXP(-((D58-TRAINING!$R$3)^2)/(2*(TRAINING!$R$8^2)))</f>
        <v>1.5440061817106381E-2</v>
      </c>
      <c r="R58">
        <f>(1/(SQRT(2*PI())*TRAINING!$R$9))*EXP(-((D58-TRAINING!$R$4)^2)/(2*(TRAINING!$R$9^2)))</f>
        <v>2.6025449562831079E-2</v>
      </c>
      <c r="S58">
        <f>(1/(SQRT(2*PI())*TRAINING!$S$8))*EXP(-((E58-TRAINING!$S$3)^2)/(2*(TRAINING!$S$8^2)))</f>
        <v>2.8692998035295024E-4</v>
      </c>
      <c r="T58">
        <f>(1/(SQRT(2*PI())*TRAINING!$S$9))*EXP(-((E58-TRAINING!$S$4)^2)/(2*(TRAINING!$S$9^2)))</f>
        <v>9.640800433112235E-4</v>
      </c>
      <c r="U58">
        <f>(1/(SQRT(2*PI())*TRAINING!$T$8))*EXP(-((F58-TRAINING!$T$3)^2)/(2*(TRAINING!$T$8^2)))</f>
        <v>3.5899420179315605E-2</v>
      </c>
      <c r="V58">
        <f>(1/(SQRT(2*PI())*TRAINING!$T$9))*EXP(-((F58-TRAINING!$T$4)^2)/(2*(TRAINING!$T$9^2)))</f>
        <v>5.6794353332242802E-2</v>
      </c>
      <c r="W58">
        <f>(1/(SQRT(2*PI())*TRAINING!$U$8))*EXP(-((G58-TRAINING!$U$3)^2)/(2*(TRAINING!$U$8^2)))</f>
        <v>1.1086462197911802</v>
      </c>
      <c r="X58">
        <f>(1/(SQRT(2*PI())*TRAINING!$U$9))*EXP(-((G58-TRAINING!$U$4)^2)/(2*(TRAINING!$U$9^2)))</f>
        <v>0.78875196161603145</v>
      </c>
      <c r="Y58">
        <f>(1/(SQRT(2*PI())*TRAINING!$V$8))*EXP(-((H58-TRAINING!$V$3)^2)/(2*(TRAINING!$V$8^2)))</f>
        <v>2.4108534115824809E-2</v>
      </c>
      <c r="Z58">
        <f>(1/(SQRT(2*PI())*TRAINING!$V$9))*EXP(-((H58-TRAINING!$V$4)^2)/(2*(TRAINING!$V$9^2)))</f>
        <v>3.3701231447308966E-2</v>
      </c>
      <c r="AA58">
        <f>PRODUCT(K58,M58,O58,Q58,S58,U58,W58,Y58)*TRAINING!$L$2</f>
        <v>8.0390100495717809E-16</v>
      </c>
      <c r="AB58">
        <f>PRODUCT(L58,N58,P58,R58,T58,V58,X58,Z58)*TRAINING!$L$3</f>
        <v>1.4893896309633601E-13</v>
      </c>
      <c r="AC58">
        <f t="shared" si="0"/>
        <v>1</v>
      </c>
      <c r="AD58">
        <f t="shared" si="1"/>
        <v>1</v>
      </c>
      <c r="AF58" s="19"/>
      <c r="AG58" t="str">
        <f t="shared" si="2"/>
        <v>TP</v>
      </c>
    </row>
    <row r="59" spans="1:33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  <c r="K59">
        <f>(1/(SQRT(2*PI())*TRAINING!$O$8))*EXP(-((A59-TRAINING!$O$3)^2)/(2*(TRAINING!$O$8^2)))</f>
        <v>7.4791087346963395E-2</v>
      </c>
      <c r="L59">
        <f>(1/(SQRT(2*PI())*TRAINING!$O$9))*EXP(-((A59-TRAINING!$O$4)^2)/(2*(TRAINING!$O$9^2)))</f>
        <v>4.6140116319387747E-2</v>
      </c>
      <c r="M59">
        <f>(1/(SQRT(2*PI())*TRAINING!$P$8))*EXP(-((B59-TRAINING!$P$3)^2)/(2*(TRAINING!$P$8^2)))</f>
        <v>1.4577030200080695E-2</v>
      </c>
      <c r="N59">
        <f>(1/(SQRT(2*PI())*TRAINING!$P$9))*EXP(-((B59-TRAINING!$P$4)^2)/(2*(TRAINING!$P$9^2)))</f>
        <v>4.5281526342230783E-3</v>
      </c>
      <c r="O59">
        <f>(1/(SQRT(2*PI())*TRAINING!$Q$8))*EXP(-((C59-TRAINING!$Q$3)^2)/(2*(TRAINING!$Q$8^2)))</f>
        <v>1.1869012231696199E-2</v>
      </c>
      <c r="P59">
        <f>(1/(SQRT(2*PI())*TRAINING!$Q$9))*EXP(-((C59-TRAINING!$Q$4)^2)/(2*(TRAINING!$Q$9^2)))</f>
        <v>1.8914292526298278E-2</v>
      </c>
      <c r="Q59">
        <f>(1/(SQRT(2*PI())*TRAINING!$R$8))*EXP(-((D59-TRAINING!$R$3)^2)/(2*(TRAINING!$R$8^2)))</f>
        <v>2.6318900589587566E-5</v>
      </c>
      <c r="R59">
        <f>(1/(SQRT(2*PI())*TRAINING!$R$9))*EXP(-((D59-TRAINING!$R$4)^2)/(2*(TRAINING!$R$9^2)))</f>
        <v>3.6690416935158645E-4</v>
      </c>
      <c r="S59">
        <f>(1/(SQRT(2*PI())*TRAINING!$S$8))*EXP(-((E59-TRAINING!$S$3)^2)/(2*(TRAINING!$S$8^2)))</f>
        <v>4.1192704865141158E-3</v>
      </c>
      <c r="T59">
        <f>(1/(SQRT(2*PI())*TRAINING!$S$9))*EXP(-((E59-TRAINING!$S$4)^2)/(2*(TRAINING!$S$9^2)))</f>
        <v>3.2910696202043902E-3</v>
      </c>
      <c r="U59">
        <f>(1/(SQRT(2*PI())*TRAINING!$T$8))*EXP(-((F59-TRAINING!$T$3)^2)/(2*(TRAINING!$T$8^2)))</f>
        <v>3.2274297187805099E-3</v>
      </c>
      <c r="V59">
        <f>(1/(SQRT(2*PI())*TRAINING!$T$9))*EXP(-((F59-TRAINING!$T$4)^2)/(2*(TRAINING!$T$9^2)))</f>
        <v>1.3186454184578892E-2</v>
      </c>
      <c r="W59">
        <f>(1/(SQRT(2*PI())*TRAINING!$U$8))*EXP(-((G59-TRAINING!$U$3)^2)/(2*(TRAINING!$U$8^2)))</f>
        <v>0.28439415053706718</v>
      </c>
      <c r="X59">
        <f>(1/(SQRT(2*PI())*TRAINING!$U$9))*EXP(-((G59-TRAINING!$U$4)^2)/(2*(TRAINING!$U$9^2)))</f>
        <v>0.57716716078912766</v>
      </c>
      <c r="Y59">
        <f>(1/(SQRT(2*PI())*TRAINING!$V$8))*EXP(-((H59-TRAINING!$V$3)^2)/(2*(TRAINING!$V$8^2)))</f>
        <v>3.3596431738612473E-2</v>
      </c>
      <c r="Z59">
        <f>(1/(SQRT(2*PI())*TRAINING!$V$9))*EXP(-((H59-TRAINING!$V$4)^2)/(2*(TRAINING!$V$9^2)))</f>
        <v>3.1979114216098517E-2</v>
      </c>
      <c r="AA59">
        <f>PRODUCT(K59,M59,O59,Q59,S59,U59,W59,Y59)*TRAINING!$L$2</f>
        <v>2.8207292099203977E-17</v>
      </c>
      <c r="AB59">
        <f>PRODUCT(L59,N59,P59,R59,T59,V59,X59,Z59)*TRAINING!$L$3</f>
        <v>3.9487037387336032E-16</v>
      </c>
      <c r="AC59">
        <f t="shared" si="0"/>
        <v>1</v>
      </c>
      <c r="AD59">
        <f t="shared" si="1"/>
        <v>0</v>
      </c>
      <c r="AF59" s="19"/>
      <c r="AG59" t="str">
        <f t="shared" si="2"/>
        <v>FP</v>
      </c>
    </row>
    <row r="60" spans="1:33" x14ac:dyDescent="0.3">
      <c r="A60">
        <v>0</v>
      </c>
      <c r="B60">
        <v>146</v>
      </c>
      <c r="C60">
        <v>82</v>
      </c>
      <c r="D60">
        <v>23</v>
      </c>
      <c r="E60">
        <v>30.5</v>
      </c>
      <c r="F60">
        <v>40.5</v>
      </c>
      <c r="G60">
        <v>1.7809999999999999</v>
      </c>
      <c r="H60">
        <v>44</v>
      </c>
      <c r="I60">
        <v>0</v>
      </c>
      <c r="K60">
        <f>(1/(SQRT(2*PI())*TRAINING!$O$8))*EXP(-((A60-TRAINING!$O$3)^2)/(2*(TRAINING!$O$8^2)))</f>
        <v>7.4791087346963395E-2</v>
      </c>
      <c r="L60">
        <f>(1/(SQRT(2*PI())*TRAINING!$O$9))*EXP(-((A60-TRAINING!$O$4)^2)/(2*(TRAINING!$O$9^2)))</f>
        <v>4.6140116319387747E-2</v>
      </c>
      <c r="M60">
        <f>(1/(SQRT(2*PI())*TRAINING!$P$8))*EXP(-((B60-TRAINING!$P$3)^2)/(2*(TRAINING!$P$8^2)))</f>
        <v>5.9958492838548825E-3</v>
      </c>
      <c r="N60">
        <f>(1/(SQRT(2*PI())*TRAINING!$P$9))*EXP(-((B60-TRAINING!$P$4)^2)/(2*(TRAINING!$P$9^2)))</f>
        <v>1.3619774009603037E-2</v>
      </c>
      <c r="O60">
        <f>(1/(SQRT(2*PI())*TRAINING!$Q$8))*EXP(-((C60-TRAINING!$Q$3)^2)/(2*(TRAINING!$Q$8^2)))</f>
        <v>2.2044601279935228E-2</v>
      </c>
      <c r="P60">
        <f>(1/(SQRT(2*PI())*TRAINING!$Q$9))*EXP(-((C60-TRAINING!$Q$4)^2)/(2*(TRAINING!$Q$9^2)))</f>
        <v>2.9802704876182827E-2</v>
      </c>
      <c r="Q60">
        <f>(1/(SQRT(2*PI())*TRAINING!$R$8))*EXP(-((D60-TRAINING!$R$3)^2)/(2*(TRAINING!$R$8^2)))</f>
        <v>4.2691938231656991E-2</v>
      </c>
      <c r="R60">
        <f>(1/(SQRT(2*PI())*TRAINING!$R$9))*EXP(-((D60-TRAINING!$R$4)^2)/(2*(TRAINING!$R$9^2)))</f>
        <v>3.202065801833482E-2</v>
      </c>
      <c r="S60">
        <f>(1/(SQRT(2*PI())*TRAINING!$S$8))*EXP(-((E60-TRAINING!$S$3)^2)/(2*(TRAINING!$S$8^2)))</f>
        <v>3.5657055057560366E-3</v>
      </c>
      <c r="T60">
        <f>(1/(SQRT(2*PI())*TRAINING!$S$9))*EXP(-((E60-TRAINING!$S$4)^2)/(2*(TRAINING!$S$9^2)))</f>
        <v>2.5951511419773543E-3</v>
      </c>
      <c r="U60">
        <f>(1/(SQRT(2*PI())*TRAINING!$T$8))*EXP(-((F60-TRAINING!$T$3)^2)/(2*(TRAINING!$T$8^2)))</f>
        <v>2.1039633796243577E-2</v>
      </c>
      <c r="V60">
        <f>(1/(SQRT(2*PI())*TRAINING!$T$9))*EXP(-((F60-TRAINING!$T$4)^2)/(2*(TRAINING!$T$9^2)))</f>
        <v>4.4438310631978943E-2</v>
      </c>
      <c r="W60">
        <f>(1/(SQRT(2*PI())*TRAINING!$U$8))*EXP(-((G60-TRAINING!$U$3)^2)/(2*(TRAINING!$U$8^2)))</f>
        <v>5.9854688533680334E-5</v>
      </c>
      <c r="X60">
        <f>(1/(SQRT(2*PI())*TRAINING!$U$9))*EXP(-((G60-TRAINING!$U$4)^2)/(2*(TRAINING!$U$9^2)))</f>
        <v>3.2775520592687448E-3</v>
      </c>
      <c r="Y60">
        <f>(1/(SQRT(2*PI())*TRAINING!$V$8))*EXP(-((H60-TRAINING!$V$3)^2)/(2*(TRAINING!$V$8^2)))</f>
        <v>1.9003312726809787E-2</v>
      </c>
      <c r="Z60">
        <f>(1/(SQRT(2*PI())*TRAINING!$V$9))*EXP(-((H60-TRAINING!$V$4)^2)/(2*(TRAINING!$V$9^2)))</f>
        <v>2.9076399488262867E-2</v>
      </c>
      <c r="AA60">
        <f>PRODUCT(K60,M60,O60,Q60,S60,U60,W60,Y60)*TRAINING!$L$2</f>
        <v>2.3481674890881452E-17</v>
      </c>
      <c r="AB60">
        <f>PRODUCT(L60,N60,P60,R60,T60,V60,X60,Z60)*TRAINING!$L$3</f>
        <v>2.240907140626685E-15</v>
      </c>
      <c r="AC60">
        <f t="shared" si="0"/>
        <v>1</v>
      </c>
      <c r="AD60">
        <f t="shared" si="1"/>
        <v>0</v>
      </c>
      <c r="AF60" s="19"/>
      <c r="AG60" t="str">
        <f t="shared" si="2"/>
        <v>FP</v>
      </c>
    </row>
    <row r="61" spans="1:33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  <c r="K61">
        <f>(1/(SQRT(2*PI())*TRAINING!$O$8))*EXP(-((A61-TRAINING!$O$3)^2)/(2*(TRAINING!$O$8^2)))</f>
        <v>7.4791087346963395E-2</v>
      </c>
      <c r="L61">
        <f>(1/(SQRT(2*PI())*TRAINING!$O$9))*EXP(-((A61-TRAINING!$O$4)^2)/(2*(TRAINING!$O$9^2)))</f>
        <v>4.6140116319387747E-2</v>
      </c>
      <c r="M61">
        <f>(1/(SQRT(2*PI())*TRAINING!$P$8))*EXP(-((B61-TRAINING!$P$3)^2)/(2*(TRAINING!$P$8^2)))</f>
        <v>1.5664832413840087E-2</v>
      </c>
      <c r="N61">
        <f>(1/(SQRT(2*PI())*TRAINING!$P$9))*EXP(-((B61-TRAINING!$P$4)^2)/(2*(TRAINING!$P$9^2)))</f>
        <v>5.7571840580586753E-3</v>
      </c>
      <c r="O61">
        <f>(1/(SQRT(2*PI())*TRAINING!$Q$8))*EXP(-((C61-TRAINING!$Q$3)^2)/(2*(TRAINING!$Q$8^2)))</f>
        <v>2.8539543720520966E-2</v>
      </c>
      <c r="P61">
        <f>(1/(SQRT(2*PI())*TRAINING!$Q$9))*EXP(-((C61-TRAINING!$Q$4)^2)/(2*(TRAINING!$Q$9^2)))</f>
        <v>2.125454560902645E-2</v>
      </c>
      <c r="Q61">
        <f>(1/(SQRT(2*PI())*TRAINING!$R$8))*EXP(-((D61-TRAINING!$R$3)^2)/(2*(TRAINING!$R$8^2)))</f>
        <v>1.0765447879234714E-2</v>
      </c>
      <c r="R61">
        <f>(1/(SQRT(2*PI())*TRAINING!$R$9))*EXP(-((D61-TRAINING!$R$4)^2)/(2*(TRAINING!$R$9^2)))</f>
        <v>2.1079761582987258E-2</v>
      </c>
      <c r="S61">
        <f>(1/(SQRT(2*PI())*TRAINING!$S$8))*EXP(-((E61-TRAINING!$S$3)^2)/(2*(TRAINING!$S$8^2)))</f>
        <v>3.5641558408317461E-3</v>
      </c>
      <c r="T61">
        <f>(1/(SQRT(2*PI())*TRAINING!$S$9))*EXP(-((E61-TRAINING!$S$4)^2)/(2*(TRAINING!$S$9^2)))</f>
        <v>3.2068501547458509E-3</v>
      </c>
      <c r="U61">
        <f>(1/(SQRT(2*PI())*TRAINING!$T$8))*EXP(-((F61-TRAINING!$T$3)^2)/(2*(TRAINING!$T$8^2)))</f>
        <v>1.6626626903928757E-2</v>
      </c>
      <c r="V61">
        <f>(1/(SQRT(2*PI())*TRAINING!$T$9))*EXP(-((F61-TRAINING!$T$4)^2)/(2*(TRAINING!$T$9^2)))</f>
        <v>3.8960286358852965E-2</v>
      </c>
      <c r="W61">
        <f>(1/(SQRT(2*PI())*TRAINING!$U$8))*EXP(-((G61-TRAINING!$U$3)^2)/(2*(TRAINING!$U$8^2)))</f>
        <v>0.91081056775669655</v>
      </c>
      <c r="X61">
        <f>(1/(SQRT(2*PI())*TRAINING!$U$9))*EXP(-((G61-TRAINING!$U$4)^2)/(2*(TRAINING!$U$9^2)))</f>
        <v>0.63931348533609744</v>
      </c>
      <c r="Y61">
        <f>(1/(SQRT(2*PI())*TRAINING!$V$8))*EXP(-((H61-TRAINING!$V$3)^2)/(2*(TRAINING!$V$8^2)))</f>
        <v>2.4686919742992346E-2</v>
      </c>
      <c r="Z61">
        <f>(1/(SQRT(2*PI())*TRAINING!$V$9))*EXP(-((H61-TRAINING!$V$4)^2)/(2*(TRAINING!$V$9^2)))</f>
        <v>1.4904761570265752E-2</v>
      </c>
      <c r="AA61">
        <f>PRODUCT(K61,M61,O61,Q61,S61,U61,W61,Y61)*TRAINING!$L$2</f>
        <v>3.1273737599022611E-13</v>
      </c>
      <c r="AB61">
        <f>PRODUCT(L61,N61,P61,R61,T61,V61,X61,Z61)*TRAINING!$L$3</f>
        <v>4.8175356994703177E-14</v>
      </c>
      <c r="AC61">
        <f t="shared" si="0"/>
        <v>0</v>
      </c>
      <c r="AD61">
        <f t="shared" si="1"/>
        <v>1</v>
      </c>
      <c r="AF61" s="19"/>
      <c r="AG61" t="str">
        <f t="shared" si="2"/>
        <v>TN</v>
      </c>
    </row>
    <row r="62" spans="1:33" x14ac:dyDescent="0.3">
      <c r="A62">
        <v>2</v>
      </c>
      <c r="B62">
        <v>84</v>
      </c>
      <c r="C62">
        <v>72</v>
      </c>
      <c r="D62">
        <v>23</v>
      </c>
      <c r="E62">
        <v>30.5</v>
      </c>
      <c r="F62">
        <v>32</v>
      </c>
      <c r="G62">
        <v>0.30399999999999999</v>
      </c>
      <c r="H62">
        <v>21</v>
      </c>
      <c r="I62">
        <v>0</v>
      </c>
      <c r="K62">
        <f>(1/(SQRT(2*PI())*TRAINING!$O$8))*EXP(-((A62-TRAINING!$O$3)^2)/(2*(TRAINING!$O$8^2)))</f>
        <v>0.12153525578060927</v>
      </c>
      <c r="L62">
        <f>(1/(SQRT(2*PI())*TRAINING!$O$9))*EXP(-((A62-TRAINING!$O$4)^2)/(2*(TRAINING!$O$9^2)))</f>
        <v>8.041832272231407E-2</v>
      </c>
      <c r="M62">
        <f>(1/(SQRT(2*PI())*TRAINING!$P$8))*EXP(-((B62-TRAINING!$P$3)^2)/(2*(TRAINING!$P$8^2)))</f>
        <v>8.7837855105642165E-3</v>
      </c>
      <c r="N62">
        <f>(1/(SQRT(2*PI())*TRAINING!$P$9))*EXP(-((B62-TRAINING!$P$4)^2)/(2*(TRAINING!$P$9^2)))</f>
        <v>1.7237175690562332E-3</v>
      </c>
      <c r="O62">
        <f>(1/(SQRT(2*PI())*TRAINING!$Q$8))*EXP(-((C62-TRAINING!$Q$3)^2)/(2*(TRAINING!$Q$8^2)))</f>
        <v>3.4215224205554493E-2</v>
      </c>
      <c r="P62">
        <f>(1/(SQRT(2*PI())*TRAINING!$Q$9))*EXP(-((C62-TRAINING!$Q$4)^2)/(2*(TRAINING!$Q$9^2)))</f>
        <v>3.3852206664402869E-2</v>
      </c>
      <c r="Q62">
        <f>(1/(SQRT(2*PI())*TRAINING!$R$8))*EXP(-((D62-TRAINING!$R$3)^2)/(2*(TRAINING!$R$8^2)))</f>
        <v>4.2691938231656991E-2</v>
      </c>
      <c r="R62">
        <f>(1/(SQRT(2*PI())*TRAINING!$R$9))*EXP(-((D62-TRAINING!$R$4)^2)/(2*(TRAINING!$R$9^2)))</f>
        <v>3.202065801833482E-2</v>
      </c>
      <c r="S62">
        <f>(1/(SQRT(2*PI())*TRAINING!$S$8))*EXP(-((E62-TRAINING!$S$3)^2)/(2*(TRAINING!$S$8^2)))</f>
        <v>3.5657055057560366E-3</v>
      </c>
      <c r="T62">
        <f>(1/(SQRT(2*PI())*TRAINING!$S$9))*EXP(-((E62-TRAINING!$S$4)^2)/(2*(TRAINING!$S$9^2)))</f>
        <v>2.5951511419773543E-3</v>
      </c>
      <c r="U62">
        <f>(1/(SQRT(2*PI())*TRAINING!$T$8))*EXP(-((F62-TRAINING!$T$3)^2)/(2*(TRAINING!$T$8^2)))</f>
        <v>6.0345164388641175E-2</v>
      </c>
      <c r="V62">
        <f>(1/(SQRT(2*PI())*TRAINING!$T$9))*EXP(-((F62-TRAINING!$T$4)^2)/(2*(TRAINING!$T$9^2)))</f>
        <v>5.344431412493849E-2</v>
      </c>
      <c r="W62">
        <f>(1/(SQRT(2*PI())*TRAINING!$U$8))*EXP(-((G62-TRAINING!$U$3)^2)/(2*(TRAINING!$U$8^2)))</f>
        <v>1.2072858241758295</v>
      </c>
      <c r="X62">
        <f>(1/(SQRT(2*PI())*TRAINING!$U$9))*EXP(-((G62-TRAINING!$U$4)^2)/(2*(TRAINING!$U$9^2)))</f>
        <v>0.8756145370756</v>
      </c>
      <c r="Y62">
        <f>(1/(SQRT(2*PI())*TRAINING!$V$8))*EXP(-((H62-TRAINING!$V$3)^2)/(2*(TRAINING!$V$8^2)))</f>
        <v>2.3024268373034226E-2</v>
      </c>
      <c r="Z62">
        <f>(1/(SQRT(2*PI())*TRAINING!$V$9))*EXP(-((H62-TRAINING!$V$4)^2)/(2*(TRAINING!$V$9^2)))</f>
        <v>1.3130994726231127E-2</v>
      </c>
      <c r="AA62">
        <f>PRODUCT(K62,M62,O62,Q62,S62,U62,W62,Y62)*TRAINING!$L$2</f>
        <v>6.0813837233078783E-12</v>
      </c>
      <c r="AB62">
        <f>PRODUCT(L62,N62,P62,R62,T62,V62,X62,Z62)*TRAINING!$L$3</f>
        <v>8.1468932604125643E-14</v>
      </c>
      <c r="AC62">
        <f t="shared" si="0"/>
        <v>0</v>
      </c>
      <c r="AD62">
        <f t="shared" si="1"/>
        <v>1</v>
      </c>
      <c r="AF62" s="19"/>
      <c r="AG62" t="str">
        <f t="shared" si="2"/>
        <v>TN</v>
      </c>
    </row>
    <row r="63" spans="1:33" x14ac:dyDescent="0.3">
      <c r="A63">
        <v>8</v>
      </c>
      <c r="B63">
        <v>133</v>
      </c>
      <c r="C63">
        <v>72</v>
      </c>
      <c r="D63">
        <v>23</v>
      </c>
      <c r="E63">
        <v>30.5</v>
      </c>
      <c r="F63">
        <v>32.9</v>
      </c>
      <c r="G63">
        <v>0.27</v>
      </c>
      <c r="H63">
        <v>39</v>
      </c>
      <c r="I63">
        <v>1</v>
      </c>
      <c r="K63">
        <f>(1/(SQRT(2*PI())*TRAINING!$O$8))*EXP(-((A63-TRAINING!$O$3)^2)/(2*(TRAINING!$O$8^2)))</f>
        <v>3.7889114375245843E-2</v>
      </c>
      <c r="L63">
        <f>(1/(SQRT(2*PI())*TRAINING!$O$9))*EXP(-((A63-TRAINING!$O$4)^2)/(2*(TRAINING!$O$9^2)))</f>
        <v>7.4585525924131008E-2</v>
      </c>
      <c r="M63">
        <f>(1/(SQRT(2*PI())*TRAINING!$P$8))*EXP(-((B63-TRAINING!$P$3)^2)/(2*(TRAINING!$P$8^2)))</f>
        <v>1.0966222800575199E-2</v>
      </c>
      <c r="N63">
        <f>(1/(SQRT(2*PI())*TRAINING!$P$9))*EXP(-((B63-TRAINING!$P$4)^2)/(2*(TRAINING!$P$9^2)))</f>
        <v>1.283723283459472E-2</v>
      </c>
      <c r="O63">
        <f>(1/(SQRT(2*PI())*TRAINING!$Q$8))*EXP(-((C63-TRAINING!$Q$3)^2)/(2*(TRAINING!$Q$8^2)))</f>
        <v>3.4215224205554493E-2</v>
      </c>
      <c r="P63">
        <f>(1/(SQRT(2*PI())*TRAINING!$Q$9))*EXP(-((C63-TRAINING!$Q$4)^2)/(2*(TRAINING!$Q$9^2)))</f>
        <v>3.3852206664402869E-2</v>
      </c>
      <c r="Q63">
        <f>(1/(SQRT(2*PI())*TRAINING!$R$8))*EXP(-((D63-TRAINING!$R$3)^2)/(2*(TRAINING!$R$8^2)))</f>
        <v>4.2691938231656991E-2</v>
      </c>
      <c r="R63">
        <f>(1/(SQRT(2*PI())*TRAINING!$R$9))*EXP(-((D63-TRAINING!$R$4)^2)/(2*(TRAINING!$R$9^2)))</f>
        <v>3.202065801833482E-2</v>
      </c>
      <c r="S63">
        <f>(1/(SQRT(2*PI())*TRAINING!$S$8))*EXP(-((E63-TRAINING!$S$3)^2)/(2*(TRAINING!$S$8^2)))</f>
        <v>3.5657055057560366E-3</v>
      </c>
      <c r="T63">
        <f>(1/(SQRT(2*PI())*TRAINING!$S$9))*EXP(-((E63-TRAINING!$S$4)^2)/(2*(TRAINING!$S$9^2)))</f>
        <v>2.5951511419773543E-3</v>
      </c>
      <c r="U63">
        <f>(1/(SQRT(2*PI())*TRAINING!$T$8))*EXP(-((F63-TRAINING!$T$3)^2)/(2*(TRAINING!$T$8^2)))</f>
        <v>5.8483987692113056E-2</v>
      </c>
      <c r="V63">
        <f>(1/(SQRT(2*PI())*TRAINING!$T$9))*EXP(-((F63-TRAINING!$T$4)^2)/(2*(TRAINING!$T$9^2)))</f>
        <v>5.6723693109763509E-2</v>
      </c>
      <c r="W63">
        <f>(1/(SQRT(2*PI())*TRAINING!$U$8))*EXP(-((G63-TRAINING!$U$3)^2)/(2*(TRAINING!$U$8^2)))</f>
        <v>1.1427217947090951</v>
      </c>
      <c r="X63">
        <f>(1/(SQRT(2*PI())*TRAINING!$U$9))*EXP(-((G63-TRAINING!$U$4)^2)/(2*(TRAINING!$U$9^2)))</f>
        <v>0.81727511757012017</v>
      </c>
      <c r="Y63">
        <f>(1/(SQRT(2*PI())*TRAINING!$V$8))*EXP(-((H63-TRAINING!$V$3)^2)/(2*(TRAINING!$V$8^2)))</f>
        <v>2.7268022737813188E-2</v>
      </c>
      <c r="Z63">
        <f>(1/(SQRT(2*PI())*TRAINING!$V$9))*EXP(-((H63-TRAINING!$V$4)^2)/(2*(TRAINING!$V$9^2)))</f>
        <v>3.5660962385199078E-2</v>
      </c>
      <c r="AA63">
        <f>PRODUCT(K63,M63,O63,Q63,S63,U63,W63,Y63)*TRAINING!$L$2</f>
        <v>2.5714770075091074E-12</v>
      </c>
      <c r="AB63">
        <f>PRODUCT(L63,N63,P63,R63,T63,V63,X63,Z63)*TRAINING!$L$3</f>
        <v>1.5139468151780582E-12</v>
      </c>
      <c r="AC63">
        <f t="shared" si="0"/>
        <v>0</v>
      </c>
      <c r="AD63">
        <f t="shared" si="1"/>
        <v>0</v>
      </c>
      <c r="AF63" s="19"/>
      <c r="AG63" t="str">
        <f t="shared" si="2"/>
        <v>FN</v>
      </c>
    </row>
    <row r="64" spans="1:33" x14ac:dyDescent="0.3">
      <c r="A64">
        <v>5</v>
      </c>
      <c r="B64">
        <v>44</v>
      </c>
      <c r="C64">
        <v>62</v>
      </c>
      <c r="D64">
        <v>23</v>
      </c>
      <c r="E64">
        <v>30.5</v>
      </c>
      <c r="F64">
        <v>25</v>
      </c>
      <c r="G64">
        <v>0.58699999999999997</v>
      </c>
      <c r="H64">
        <v>36</v>
      </c>
      <c r="I64">
        <v>0</v>
      </c>
      <c r="K64">
        <f>(1/(SQRT(2*PI())*TRAINING!$O$8))*EXP(-((A64-TRAINING!$O$3)^2)/(2*(TRAINING!$O$8^2)))</f>
        <v>0.11094891947307506</v>
      </c>
      <c r="L64">
        <f>(1/(SQRT(2*PI())*TRAINING!$O$9))*EXP(-((A64-TRAINING!$O$4)^2)/(2*(TRAINING!$O$9^2)))</f>
        <v>0.1073628550745119</v>
      </c>
      <c r="M64">
        <f>(1/(SQRT(2*PI())*TRAINING!$P$8))*EXP(-((B64-TRAINING!$P$3)^2)/(2*(TRAINING!$P$8^2)))</f>
        <v>3.9259139434713266E-4</v>
      </c>
      <c r="N64">
        <f>(1/(SQRT(2*PI())*TRAINING!$P$9))*EXP(-((B64-TRAINING!$P$4)^2)/(2*(TRAINING!$P$9^2)))</f>
        <v>4.1332874847888912E-5</v>
      </c>
      <c r="O64">
        <f>(1/(SQRT(2*PI())*TRAINING!$Q$8))*EXP(-((C64-TRAINING!$Q$3)^2)/(2*(TRAINING!$Q$8^2)))</f>
        <v>2.5327965872361573E-2</v>
      </c>
      <c r="P64">
        <f>(1/(SQRT(2*PI())*TRAINING!$Q$9))*EXP(-((C64-TRAINING!$Q$4)^2)/(2*(TRAINING!$Q$9^2)))</f>
        <v>1.7486213843021708E-2</v>
      </c>
      <c r="Q64">
        <f>(1/(SQRT(2*PI())*TRAINING!$R$8))*EXP(-((D64-TRAINING!$R$3)^2)/(2*(TRAINING!$R$8^2)))</f>
        <v>4.2691938231656991E-2</v>
      </c>
      <c r="R64">
        <f>(1/(SQRT(2*PI())*TRAINING!$R$9))*EXP(-((D64-TRAINING!$R$4)^2)/(2*(TRAINING!$R$9^2)))</f>
        <v>3.202065801833482E-2</v>
      </c>
      <c r="S64">
        <f>(1/(SQRT(2*PI())*TRAINING!$S$8))*EXP(-((E64-TRAINING!$S$3)^2)/(2*(TRAINING!$S$8^2)))</f>
        <v>3.5657055057560366E-3</v>
      </c>
      <c r="T64">
        <f>(1/(SQRT(2*PI())*TRAINING!$S$9))*EXP(-((E64-TRAINING!$S$4)^2)/(2*(TRAINING!$S$9^2)))</f>
        <v>2.5951511419773543E-3</v>
      </c>
      <c r="U64">
        <f>(1/(SQRT(2*PI())*TRAINING!$T$8))*EXP(-((F64-TRAINING!$T$3)^2)/(2*(TRAINING!$T$8^2)))</f>
        <v>4.0247081753660173E-2</v>
      </c>
      <c r="V64">
        <f>(1/(SQRT(2*PI())*TRAINING!$T$9))*EXP(-((F64-TRAINING!$T$4)^2)/(2*(TRAINING!$T$9^2)))</f>
        <v>1.7743598947740802E-2</v>
      </c>
      <c r="W64">
        <f>(1/(SQRT(2*PI())*TRAINING!$U$8))*EXP(-((G64-TRAINING!$U$3)^2)/(2*(TRAINING!$U$8^2)))</f>
        <v>1.1635046660373209</v>
      </c>
      <c r="X64">
        <f>(1/(SQRT(2*PI())*TRAINING!$U$9))*EXP(-((G64-TRAINING!$U$4)^2)/(2*(TRAINING!$U$9^2)))</f>
        <v>1.1008238384251623</v>
      </c>
      <c r="Y64">
        <f>(1/(SQRT(2*PI())*TRAINING!$V$8))*EXP(-((H64-TRAINING!$V$3)^2)/(2*(TRAINING!$V$8^2)))</f>
        <v>3.1100021343029624E-2</v>
      </c>
      <c r="Z64">
        <f>(1/(SQRT(2*PI())*TRAINING!$V$9))*EXP(-((H64-TRAINING!$V$4)^2)/(2*(TRAINING!$V$9^2)))</f>
        <v>3.6452706856357306E-2</v>
      </c>
      <c r="AA64">
        <f>PRODUCT(K64,M64,O64,Q64,S64,U64,W64,Y64)*TRAINING!$L$2</f>
        <v>1.5947329883574989E-13</v>
      </c>
      <c r="AB64">
        <f>PRODUCT(L64,N64,P64,R64,T64,V64,X64,Z64)*TRAINING!$L$3</f>
        <v>1.561013278992225E-15</v>
      </c>
      <c r="AC64">
        <f t="shared" si="0"/>
        <v>0</v>
      </c>
      <c r="AD64">
        <f t="shared" si="1"/>
        <v>1</v>
      </c>
      <c r="AF64" s="19"/>
      <c r="AG64" t="str">
        <f t="shared" si="2"/>
        <v>TN</v>
      </c>
    </row>
    <row r="65" spans="1:33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  <c r="K65">
        <f>(1/(SQRT(2*PI())*TRAINING!$O$8))*EXP(-((A65-TRAINING!$O$3)^2)/(2*(TRAINING!$O$8^2)))</f>
        <v>0.12153525578060927</v>
      </c>
      <c r="L65">
        <f>(1/(SQRT(2*PI())*TRAINING!$O$9))*EXP(-((A65-TRAINING!$O$4)^2)/(2*(TRAINING!$O$9^2)))</f>
        <v>8.041832272231407E-2</v>
      </c>
      <c r="M65">
        <f>(1/(SQRT(2*PI())*TRAINING!$P$8))*EXP(-((B65-TRAINING!$P$3)^2)/(2*(TRAINING!$P$8^2)))</f>
        <v>7.8159353882017342E-3</v>
      </c>
      <c r="N65">
        <f>(1/(SQRT(2*PI())*TRAINING!$P$9))*EXP(-((B65-TRAINING!$P$4)^2)/(2*(TRAINING!$P$9^2)))</f>
        <v>1.3629873278481639E-2</v>
      </c>
      <c r="O65">
        <f>(1/(SQRT(2*PI())*TRAINING!$Q$8))*EXP(-((C65-TRAINING!$Q$3)^2)/(2*(TRAINING!$Q$8^2)))</f>
        <v>1.8252507670949096E-2</v>
      </c>
      <c r="P65">
        <f>(1/(SQRT(2*PI())*TRAINING!$Q$9))*EXP(-((C65-TRAINING!$Q$4)^2)/(2*(TRAINING!$Q$9^2)))</f>
        <v>1.0767552697175626E-2</v>
      </c>
      <c r="Q65">
        <f>(1/(SQRT(2*PI())*TRAINING!$R$8))*EXP(-((D65-TRAINING!$R$3)^2)/(2*(TRAINING!$R$8^2)))</f>
        <v>3.0311214537241261E-2</v>
      </c>
      <c r="R65">
        <f>(1/(SQRT(2*PI())*TRAINING!$R$9))*EXP(-((D65-TRAINING!$R$4)^2)/(2*(TRAINING!$R$9^2)))</f>
        <v>3.6828244672337411E-2</v>
      </c>
      <c r="S65">
        <f>(1/(SQRT(2*PI())*TRAINING!$S$8))*EXP(-((E65-TRAINING!$S$3)^2)/(2*(TRAINING!$S$8^2)))</f>
        <v>3.8519550571940145E-3</v>
      </c>
      <c r="T65">
        <f>(1/(SQRT(2*PI())*TRAINING!$S$9))*EXP(-((E65-TRAINING!$S$4)^2)/(2*(TRAINING!$S$9^2)))</f>
        <v>3.2713913376969162E-3</v>
      </c>
      <c r="U65">
        <f>(1/(SQRT(2*PI())*TRAINING!$T$8))*EXP(-((F65-TRAINING!$T$3)^2)/(2*(TRAINING!$T$8^2)))</f>
        <v>4.2485026959568288E-2</v>
      </c>
      <c r="V65">
        <f>(1/(SQRT(2*PI())*TRAINING!$T$9))*EXP(-((F65-TRAINING!$T$4)^2)/(2*(TRAINING!$T$9^2)))</f>
        <v>1.948330233876882E-2</v>
      </c>
      <c r="W65">
        <f>(1/(SQRT(2*PI())*TRAINING!$U$8))*EXP(-((G65-TRAINING!$U$3)^2)/(2*(TRAINING!$U$8^2)))</f>
        <v>0.89852867682640492</v>
      </c>
      <c r="X65">
        <f>(1/(SQRT(2*PI())*TRAINING!$U$9))*EXP(-((G65-TRAINING!$U$4)^2)/(2*(TRAINING!$U$9^2)))</f>
        <v>1.0166372132080825</v>
      </c>
      <c r="Y65">
        <f>(1/(SQRT(2*PI())*TRAINING!$V$8))*EXP(-((H65-TRAINING!$V$3)^2)/(2*(TRAINING!$V$8^2)))</f>
        <v>2.7783192496885357E-2</v>
      </c>
      <c r="Z65">
        <f>(1/(SQRT(2*PI())*TRAINING!$V$9))*EXP(-((H65-TRAINING!$V$4)^2)/(2*(TRAINING!$V$9^2)))</f>
        <v>1.8726911646419479E-2</v>
      </c>
      <c r="AA65">
        <f>PRODUCT(K65,M65,O65,Q65,S65,U65,W65,Y65)*TRAINING!$L$2</f>
        <v>1.3999404896865971E-12</v>
      </c>
      <c r="AB65">
        <f>PRODUCT(L65,N65,P65,R65,T65,V65,X65,Z65)*TRAINING!$L$3</f>
        <v>1.7932919751056253E-13</v>
      </c>
      <c r="AC65">
        <f t="shared" si="0"/>
        <v>0</v>
      </c>
      <c r="AD65">
        <f t="shared" si="1"/>
        <v>1</v>
      </c>
      <c r="AF65" s="19"/>
      <c r="AG65" t="str">
        <f t="shared" si="2"/>
        <v>TN</v>
      </c>
    </row>
    <row r="66" spans="1:33" x14ac:dyDescent="0.3">
      <c r="A66">
        <v>7</v>
      </c>
      <c r="B66">
        <v>114</v>
      </c>
      <c r="C66">
        <v>66</v>
      </c>
      <c r="D66">
        <v>23</v>
      </c>
      <c r="E66">
        <v>30.5</v>
      </c>
      <c r="F66">
        <v>32.799999999999997</v>
      </c>
      <c r="G66">
        <v>0.25800000000000001</v>
      </c>
      <c r="H66">
        <v>42</v>
      </c>
      <c r="I66">
        <v>1</v>
      </c>
      <c r="K66">
        <f>(1/(SQRT(2*PI())*TRAINING!$O$8))*EXP(-((A66-TRAINING!$O$3)^2)/(2*(TRAINING!$O$8^2)))</f>
        <v>6.0464208917336747E-2</v>
      </c>
      <c r="L66">
        <f>(1/(SQRT(2*PI())*TRAINING!$O$9))*EXP(-((A66-TRAINING!$O$4)^2)/(2*(TRAINING!$O$9^2)))</f>
        <v>9.055444669307644E-2</v>
      </c>
      <c r="M66">
        <f>(1/(SQRT(2*PI())*TRAINING!$P$8))*EXP(-((B66-TRAINING!$P$3)^2)/(2*(TRAINING!$P$8^2)))</f>
        <v>1.6076836771853072E-2</v>
      </c>
      <c r="N66">
        <f>(1/(SQRT(2*PI())*TRAINING!$P$9))*EXP(-((B66-TRAINING!$P$4)^2)/(2*(TRAINING!$P$9^2)))</f>
        <v>8.2372392058315692E-3</v>
      </c>
      <c r="O66">
        <f>(1/(SQRT(2*PI())*TRAINING!$Q$8))*EXP(-((C66-TRAINING!$Q$3)^2)/(2*(TRAINING!$Q$8^2)))</f>
        <v>3.1219956230797655E-2</v>
      </c>
      <c r="P66">
        <f>(1/(SQRT(2*PI())*TRAINING!$Q$9))*EXP(-((C66-TRAINING!$Q$4)^2)/(2*(TRAINING!$Q$9^2)))</f>
        <v>2.5033349599780073E-2</v>
      </c>
      <c r="Q66">
        <f>(1/(SQRT(2*PI())*TRAINING!$R$8))*EXP(-((D66-TRAINING!$R$3)^2)/(2*(TRAINING!$R$8^2)))</f>
        <v>4.2691938231656991E-2</v>
      </c>
      <c r="R66">
        <f>(1/(SQRT(2*PI())*TRAINING!$R$9))*EXP(-((D66-TRAINING!$R$4)^2)/(2*(TRAINING!$R$9^2)))</f>
        <v>3.202065801833482E-2</v>
      </c>
      <c r="S66">
        <f>(1/(SQRT(2*PI())*TRAINING!$S$8))*EXP(-((E66-TRAINING!$S$3)^2)/(2*(TRAINING!$S$8^2)))</f>
        <v>3.5657055057560366E-3</v>
      </c>
      <c r="T66">
        <f>(1/(SQRT(2*PI())*TRAINING!$S$9))*EXP(-((E66-TRAINING!$S$4)^2)/(2*(TRAINING!$S$9^2)))</f>
        <v>2.5951511419773543E-3</v>
      </c>
      <c r="U66">
        <f>(1/(SQRT(2*PI())*TRAINING!$T$8))*EXP(-((F66-TRAINING!$T$3)^2)/(2*(TRAINING!$T$8^2)))</f>
        <v>5.8743019054364826E-2</v>
      </c>
      <c r="V66">
        <f>(1/(SQRT(2*PI())*TRAINING!$T$9))*EXP(-((F66-TRAINING!$T$4)^2)/(2*(TRAINING!$T$9^2)))</f>
        <v>5.6401749280501637E-2</v>
      </c>
      <c r="W66">
        <f>(1/(SQRT(2*PI())*TRAINING!$U$8))*EXP(-((G66-TRAINING!$U$3)^2)/(2*(TRAINING!$U$8^2)))</f>
        <v>1.1173641931332374</v>
      </c>
      <c r="X66">
        <f>(1/(SQRT(2*PI())*TRAINING!$U$9))*EXP(-((G66-TRAINING!$U$4)^2)/(2*(TRAINING!$U$9^2)))</f>
        <v>0.79593496030036592</v>
      </c>
      <c r="Y66">
        <f>(1/(SQRT(2*PI())*TRAINING!$V$8))*EXP(-((H66-TRAINING!$V$3)^2)/(2*(TRAINING!$V$8^2)))</f>
        <v>2.2428794825873569E-2</v>
      </c>
      <c r="Z66">
        <f>(1/(SQRT(2*PI())*TRAINING!$V$9))*EXP(-((H66-TRAINING!$V$4)^2)/(2*(TRAINING!$V$9^2)))</f>
        <v>3.2353054095022447E-2</v>
      </c>
      <c r="AA66">
        <f>PRODUCT(K66,M66,O66,Q66,S66,U66,W66,Y66)*TRAINING!$L$2</f>
        <v>4.4345424780777109E-12</v>
      </c>
      <c r="AB66">
        <f>PRODUCT(L66,N66,P66,R66,T66,V66,X66,Z66)*TRAINING!$L$3</f>
        <v>7.6624506029767773E-13</v>
      </c>
      <c r="AC66">
        <f t="shared" si="0"/>
        <v>0</v>
      </c>
      <c r="AD66">
        <f t="shared" si="1"/>
        <v>0</v>
      </c>
      <c r="AF66" s="19"/>
      <c r="AG66" t="str">
        <f t="shared" si="2"/>
        <v>FN</v>
      </c>
    </row>
    <row r="67" spans="1:33" x14ac:dyDescent="0.3">
      <c r="A67">
        <v>5</v>
      </c>
      <c r="B67">
        <v>99</v>
      </c>
      <c r="C67">
        <v>74</v>
      </c>
      <c r="D67">
        <v>27</v>
      </c>
      <c r="E67">
        <v>30.5</v>
      </c>
      <c r="F67">
        <v>29</v>
      </c>
      <c r="G67">
        <v>0.20300000000000001</v>
      </c>
      <c r="H67">
        <v>32</v>
      </c>
      <c r="I67">
        <v>0</v>
      </c>
      <c r="K67">
        <f>(1/(SQRT(2*PI())*TRAINING!$O$8))*EXP(-((A67-TRAINING!$O$3)^2)/(2*(TRAINING!$O$8^2)))</f>
        <v>0.11094891947307506</v>
      </c>
      <c r="L67">
        <f>(1/(SQRT(2*PI())*TRAINING!$O$9))*EXP(-((A67-TRAINING!$O$4)^2)/(2*(TRAINING!$O$9^2)))</f>
        <v>0.1073628550745119</v>
      </c>
      <c r="M67">
        <f>(1/(SQRT(2*PI())*TRAINING!$P$8))*EXP(-((B67-TRAINING!$P$3)^2)/(2*(TRAINING!$P$8^2)))</f>
        <v>1.4298005689557707E-2</v>
      </c>
      <c r="N67">
        <f>(1/(SQRT(2*PI())*TRAINING!$P$9))*EXP(-((B67-TRAINING!$P$4)^2)/(2*(TRAINING!$P$9^2)))</f>
        <v>4.3006327116797338E-3</v>
      </c>
      <c r="O67">
        <f>(1/(SQRT(2*PI())*TRAINING!$Q$8))*EXP(-((C67-TRAINING!$Q$3)^2)/(2*(TRAINING!$Q$8^2)))</f>
        <v>3.3247489640615996E-2</v>
      </c>
      <c r="P67">
        <f>(1/(SQRT(2*PI())*TRAINING!$Q$9))*EXP(-((C67-TRAINING!$Q$4)^2)/(2*(TRAINING!$Q$9^2)))</f>
        <v>3.5147830490959445E-2</v>
      </c>
      <c r="Q67">
        <f>(1/(SQRT(2*PI())*TRAINING!$R$8))*EXP(-((D67-TRAINING!$R$3)^2)/(2*(TRAINING!$R$8^2)))</f>
        <v>4.5198924351348924E-2</v>
      </c>
      <c r="R67">
        <f>(1/(SQRT(2*PI())*TRAINING!$R$9))*EXP(-((D67-TRAINING!$R$4)^2)/(2*(TRAINING!$R$9^2)))</f>
        <v>3.8900959028324751E-2</v>
      </c>
      <c r="S67">
        <f>(1/(SQRT(2*PI())*TRAINING!$S$8))*EXP(-((E67-TRAINING!$S$3)^2)/(2*(TRAINING!$S$8^2)))</f>
        <v>3.5657055057560366E-3</v>
      </c>
      <c r="T67">
        <f>(1/(SQRT(2*PI())*TRAINING!$S$9))*EXP(-((E67-TRAINING!$S$4)^2)/(2*(TRAINING!$S$9^2)))</f>
        <v>2.5951511419773543E-3</v>
      </c>
      <c r="U67">
        <f>(1/(SQRT(2*PI())*TRAINING!$T$8))*EXP(-((F67-TRAINING!$T$3)^2)/(2*(TRAINING!$T$8^2)))</f>
        <v>5.8396645210392194E-2</v>
      </c>
      <c r="V67">
        <f>(1/(SQRT(2*PI())*TRAINING!$T$9))*EXP(-((F67-TRAINING!$T$4)^2)/(2*(TRAINING!$T$9^2)))</f>
        <v>3.8276919053765797E-2</v>
      </c>
      <c r="W67">
        <f>(1/(SQRT(2*PI())*TRAINING!$U$8))*EXP(-((G67-TRAINING!$U$3)^2)/(2*(TRAINING!$U$8^2)))</f>
        <v>0.98788574239041049</v>
      </c>
      <c r="X67">
        <f>(1/(SQRT(2*PI())*TRAINING!$U$9))*EXP(-((G67-TRAINING!$U$4)^2)/(2*(TRAINING!$U$9^2)))</f>
        <v>0.69511552219568862</v>
      </c>
      <c r="Y67">
        <f>(1/(SQRT(2*PI())*TRAINING!$V$8))*EXP(-((H67-TRAINING!$V$3)^2)/(2*(TRAINING!$V$8^2)))</f>
        <v>3.3554537230317136E-2</v>
      </c>
      <c r="Z67">
        <f>(1/(SQRT(2*PI())*TRAINING!$V$9))*EXP(-((H67-TRAINING!$V$4)^2)/(2*(TRAINING!$V$9^2)))</f>
        <v>3.3382195020896732E-2</v>
      </c>
      <c r="AA67">
        <f>PRODUCT(K67,M67,O67,Q67,S67,U67,W67,Y67)*TRAINING!$L$2</f>
        <v>1.0728675243566741E-11</v>
      </c>
      <c r="AB67">
        <f>PRODUCT(L67,N67,P67,R67,T67,V67,X67,Z67)*TRAINING!$L$3</f>
        <v>4.947612305843776E-13</v>
      </c>
      <c r="AC67">
        <f t="shared" ref="AC67:AC130" si="3">IF(AB67&gt;AA67,1,0)</f>
        <v>0</v>
      </c>
      <c r="AD67">
        <f t="shared" ref="AD67:AD130" si="4">IF(I67=AC67,1,0)</f>
        <v>1</v>
      </c>
      <c r="AF67" s="19"/>
      <c r="AG67" t="str">
        <f t="shared" ref="AG67:AG130" si="5">IF(AND(AC67=1,I67=1),"TP",IF(AND(AC67=0,I67=0),"TN",IF(AND(AC67=1,I67=0),"FP","FN")))</f>
        <v>TN</v>
      </c>
    </row>
    <row r="68" spans="1:33" x14ac:dyDescent="0.3">
      <c r="A68">
        <v>0</v>
      </c>
      <c r="B68">
        <v>109</v>
      </c>
      <c r="C68">
        <v>88</v>
      </c>
      <c r="D68">
        <v>30</v>
      </c>
      <c r="E68">
        <v>30.5</v>
      </c>
      <c r="F68">
        <v>32.5</v>
      </c>
      <c r="G68">
        <v>0.85499999999999998</v>
      </c>
      <c r="H68">
        <v>38</v>
      </c>
      <c r="I68">
        <v>1</v>
      </c>
      <c r="K68">
        <f>(1/(SQRT(2*PI())*TRAINING!$O$8))*EXP(-((A68-TRAINING!$O$3)^2)/(2*(TRAINING!$O$8^2)))</f>
        <v>7.4791087346963395E-2</v>
      </c>
      <c r="L68">
        <f>(1/(SQRT(2*PI())*TRAINING!$O$9))*EXP(-((A68-TRAINING!$O$4)^2)/(2*(TRAINING!$O$9^2)))</f>
        <v>4.6140116319387747E-2</v>
      </c>
      <c r="M68">
        <f>(1/(SQRT(2*PI())*TRAINING!$P$8))*EXP(-((B68-TRAINING!$P$3)^2)/(2*(TRAINING!$P$8^2)))</f>
        <v>1.6109335416312955E-2</v>
      </c>
      <c r="N68">
        <f>(1/(SQRT(2*PI())*TRAINING!$P$9))*EXP(-((B68-TRAINING!$P$4)^2)/(2*(TRAINING!$P$9^2)))</f>
        <v>6.830555204685747E-3</v>
      </c>
      <c r="O68">
        <f>(1/(SQRT(2*PI())*TRAINING!$Q$8))*EXP(-((C68-TRAINING!$Q$3)^2)/(2*(TRAINING!$Q$8^2)))</f>
        <v>1.1869012231696199E-2</v>
      </c>
      <c r="P68">
        <f>(1/(SQRT(2*PI())*TRAINING!$Q$9))*EXP(-((C68-TRAINING!$Q$4)^2)/(2*(TRAINING!$Q$9^2)))</f>
        <v>1.8914292526298278E-2</v>
      </c>
      <c r="Q68">
        <f>(1/(SQRT(2*PI())*TRAINING!$R$8))*EXP(-((D68-TRAINING!$R$3)^2)/(2*(TRAINING!$R$8^2)))</f>
        <v>4.1168207127831397E-2</v>
      </c>
      <c r="R68">
        <f>(1/(SQRT(2*PI())*TRAINING!$R$9))*EXP(-((D68-TRAINING!$R$4)^2)/(2*(TRAINING!$R$9^2)))</f>
        <v>4.041370800237605E-2</v>
      </c>
      <c r="S68">
        <f>(1/(SQRT(2*PI())*TRAINING!$S$8))*EXP(-((E68-TRAINING!$S$3)^2)/(2*(TRAINING!$S$8^2)))</f>
        <v>3.5657055057560366E-3</v>
      </c>
      <c r="T68">
        <f>(1/(SQRT(2*PI())*TRAINING!$S$9))*EXP(-((E68-TRAINING!$S$4)^2)/(2*(TRAINING!$S$9^2)))</f>
        <v>2.5951511419773543E-3</v>
      </c>
      <c r="U68">
        <f>(1/(SQRT(2*PI())*TRAINING!$T$8))*EXP(-((F68-TRAINING!$T$3)^2)/(2*(TRAINING!$T$8^2)))</f>
        <v>5.944328132771081E-2</v>
      </c>
      <c r="V68">
        <f>(1/(SQRT(2*PI())*TRAINING!$T$9))*EXP(-((F68-TRAINING!$T$4)^2)/(2*(TRAINING!$T$9^2)))</f>
        <v>5.5369957184104722E-2</v>
      </c>
      <c r="W68">
        <f>(1/(SQRT(2*PI())*TRAINING!$U$8))*EXP(-((G68-TRAINING!$U$3)^2)/(2*(TRAINING!$U$8^2)))</f>
        <v>0.49789353010346477</v>
      </c>
      <c r="X68">
        <f>(1/(SQRT(2*PI())*TRAINING!$U$9))*EXP(-((G68-TRAINING!$U$4)^2)/(2*(TRAINING!$U$9^2)))</f>
        <v>0.77483647387761401</v>
      </c>
      <c r="Y68">
        <f>(1/(SQRT(2*PI())*TRAINING!$V$8))*EXP(-((H68-TRAINING!$V$3)^2)/(2*(TRAINING!$V$8^2)))</f>
        <v>2.8692713638906624E-2</v>
      </c>
      <c r="Z68">
        <f>(1/(SQRT(2*PI())*TRAINING!$V$9))*EXP(-((H68-TRAINING!$V$4)^2)/(2*(TRAINING!$V$9^2)))</f>
        <v>3.6225122426769528E-2</v>
      </c>
      <c r="AA68">
        <f>PRODUCT(K68,M68,O68,Q68,S68,U68,W68,Y68)*TRAINING!$L$2</f>
        <v>1.1623304435516824E-12</v>
      </c>
      <c r="AB68">
        <f>PRODUCT(L68,N68,P68,R68,T68,V68,X68,Z68)*TRAINING!$L$3</f>
        <v>3.303613030683182E-13</v>
      </c>
      <c r="AC68">
        <f t="shared" si="3"/>
        <v>0</v>
      </c>
      <c r="AD68">
        <f t="shared" si="4"/>
        <v>0</v>
      </c>
      <c r="AF68" s="19"/>
      <c r="AG68" t="str">
        <f t="shared" si="5"/>
        <v>FN</v>
      </c>
    </row>
    <row r="69" spans="1:33" x14ac:dyDescent="0.3">
      <c r="A69">
        <v>2</v>
      </c>
      <c r="B69">
        <v>109</v>
      </c>
      <c r="C69">
        <v>92</v>
      </c>
      <c r="D69">
        <v>23</v>
      </c>
      <c r="E69">
        <v>30.5</v>
      </c>
      <c r="F69">
        <v>42.7</v>
      </c>
      <c r="G69">
        <v>0.84499999999999997</v>
      </c>
      <c r="H69">
        <v>54</v>
      </c>
      <c r="I69">
        <v>0</v>
      </c>
      <c r="K69">
        <f>(1/(SQRT(2*PI())*TRAINING!$O$8))*EXP(-((A69-TRAINING!$O$3)^2)/(2*(TRAINING!$O$8^2)))</f>
        <v>0.12153525578060927</v>
      </c>
      <c r="L69">
        <f>(1/(SQRT(2*PI())*TRAINING!$O$9))*EXP(-((A69-TRAINING!$O$4)^2)/(2*(TRAINING!$O$9^2)))</f>
        <v>8.041832272231407E-2</v>
      </c>
      <c r="M69">
        <f>(1/(SQRT(2*PI())*TRAINING!$P$8))*EXP(-((B69-TRAINING!$P$3)^2)/(2*(TRAINING!$P$8^2)))</f>
        <v>1.6109335416312955E-2</v>
      </c>
      <c r="N69">
        <f>(1/(SQRT(2*PI())*TRAINING!$P$9))*EXP(-((B69-TRAINING!$P$4)^2)/(2*(TRAINING!$P$9^2)))</f>
        <v>6.830555204685747E-3</v>
      </c>
      <c r="O69">
        <f>(1/(SQRT(2*PI())*TRAINING!$Q$8))*EXP(-((C69-TRAINING!$Q$3)^2)/(2*(TRAINING!$Q$8^2)))</f>
        <v>6.7740576174603632E-3</v>
      </c>
      <c r="P69">
        <f>(1/(SQRT(2*PI())*TRAINING!$Q$9))*EXP(-((C69-TRAINING!$Q$4)^2)/(2*(TRAINING!$Q$9^2)))</f>
        <v>1.1931687795893526E-2</v>
      </c>
      <c r="Q69">
        <f>(1/(SQRT(2*PI())*TRAINING!$R$8))*EXP(-((D69-TRAINING!$R$3)^2)/(2*(TRAINING!$R$8^2)))</f>
        <v>4.2691938231656991E-2</v>
      </c>
      <c r="R69">
        <f>(1/(SQRT(2*PI())*TRAINING!$R$9))*EXP(-((D69-TRAINING!$R$4)^2)/(2*(TRAINING!$R$9^2)))</f>
        <v>3.202065801833482E-2</v>
      </c>
      <c r="S69">
        <f>(1/(SQRT(2*PI())*TRAINING!$S$8))*EXP(-((E69-TRAINING!$S$3)^2)/(2*(TRAINING!$S$8^2)))</f>
        <v>3.5657055057560366E-3</v>
      </c>
      <c r="T69">
        <f>(1/(SQRT(2*PI())*TRAINING!$S$9))*EXP(-((E69-TRAINING!$S$4)^2)/(2*(TRAINING!$S$9^2)))</f>
        <v>2.5951511419773543E-3</v>
      </c>
      <c r="U69">
        <f>(1/(SQRT(2*PI())*TRAINING!$T$8))*EXP(-((F69-TRAINING!$T$3)^2)/(2*(TRAINING!$T$8^2)))</f>
        <v>1.2152726088651783E-2</v>
      </c>
      <c r="V69">
        <f>(1/(SQRT(2*PI())*TRAINING!$T$9))*EXP(-((F69-TRAINING!$T$4)^2)/(2*(TRAINING!$T$9^2)))</f>
        <v>3.2270241817927564E-2</v>
      </c>
      <c r="W69">
        <f>(1/(SQRT(2*PI())*TRAINING!$U$8))*EXP(-((G69-TRAINING!$U$3)^2)/(2*(TRAINING!$U$8^2)))</f>
        <v>0.52127460227376343</v>
      </c>
      <c r="X69">
        <f>(1/(SQRT(2*PI())*TRAINING!$U$9))*EXP(-((G69-TRAINING!$U$4)^2)/(2*(TRAINING!$U$9^2)))</f>
        <v>0.79288447269484141</v>
      </c>
      <c r="Y69">
        <f>(1/(SQRT(2*PI())*TRAINING!$V$8))*EXP(-((H69-TRAINING!$V$3)^2)/(2*(TRAINING!$V$8^2)))</f>
        <v>5.4201137770171952E-3</v>
      </c>
      <c r="Z69">
        <f>(1/(SQRT(2*PI())*TRAINING!$V$9))*EXP(-((H69-TRAINING!$V$4)^2)/(2*(TRAINING!$V$9^2)))</f>
        <v>1.0313205354008743E-2</v>
      </c>
      <c r="AA69">
        <f>PRODUCT(K69,M69,O69,Q69,S69,U69,W69,Y69)*TRAINING!$L$2</f>
        <v>4.5199961907177634E-14</v>
      </c>
      <c r="AB69">
        <f>PRODUCT(L69,N69,P69,R69,T69,V69,X69,Z69)*TRAINING!$L$3</f>
        <v>4.886416945863569E-14</v>
      </c>
      <c r="AC69">
        <f t="shared" si="3"/>
        <v>1</v>
      </c>
      <c r="AD69">
        <f t="shared" si="4"/>
        <v>0</v>
      </c>
      <c r="AF69" s="19"/>
      <c r="AG69" t="str">
        <f t="shared" si="5"/>
        <v>FP</v>
      </c>
    </row>
    <row r="70" spans="1:33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  <c r="K70">
        <f>(1/(SQRT(2*PI())*TRAINING!$O$8))*EXP(-((A70-TRAINING!$O$3)^2)/(2*(TRAINING!$O$8^2)))</f>
        <v>0.10069314833313707</v>
      </c>
      <c r="L70">
        <f>(1/(SQRT(2*PI())*TRAINING!$O$9))*EXP(-((A70-TRAINING!$O$4)^2)/(2*(TRAINING!$O$9^2)))</f>
        <v>6.3165200316397857E-2</v>
      </c>
      <c r="M70">
        <f>(1/(SQRT(2*PI())*TRAINING!$P$8))*EXP(-((B70-TRAINING!$P$3)^2)/(2*(TRAINING!$P$8^2)))</f>
        <v>1.3018480192205214E-2</v>
      </c>
      <c r="N70">
        <f>(1/(SQRT(2*PI())*TRAINING!$P$9))*EXP(-((B70-TRAINING!$P$4)^2)/(2*(TRAINING!$P$9^2)))</f>
        <v>3.4583947656656095E-3</v>
      </c>
      <c r="O70">
        <f>(1/(SQRT(2*PI())*TRAINING!$Q$8))*EXP(-((C70-TRAINING!$Q$3)^2)/(2*(TRAINING!$Q$8^2)))</f>
        <v>3.1219956230797655E-2</v>
      </c>
      <c r="P70">
        <f>(1/(SQRT(2*PI())*TRAINING!$Q$9))*EXP(-((C70-TRAINING!$Q$4)^2)/(2*(TRAINING!$Q$9^2)))</f>
        <v>2.5033349599780073E-2</v>
      </c>
      <c r="Q70">
        <f>(1/(SQRT(2*PI())*TRAINING!$R$8))*EXP(-((D70-TRAINING!$R$3)^2)/(2*(TRAINING!$R$8^2)))</f>
        <v>1.4929257125093267E-2</v>
      </c>
      <c r="R70">
        <f>(1/(SQRT(2*PI())*TRAINING!$R$9))*EXP(-((D70-TRAINING!$R$4)^2)/(2*(TRAINING!$R$9^2)))</f>
        <v>9.5920354366538473E-3</v>
      </c>
      <c r="S70">
        <f>(1/(SQRT(2*PI())*TRAINING!$S$8))*EXP(-((E70-TRAINING!$S$3)^2)/(2*(TRAINING!$S$8^2)))</f>
        <v>3.7272659819879888E-3</v>
      </c>
      <c r="T70">
        <f>(1/(SQRT(2*PI())*TRAINING!$S$9))*EXP(-((E70-TRAINING!$S$4)^2)/(2*(TRAINING!$S$9^2)))</f>
        <v>2.7032441092131954E-3</v>
      </c>
      <c r="U70">
        <f>(1/(SQRT(2*PI())*TRAINING!$T$8))*EXP(-((F70-TRAINING!$T$3)^2)/(2*(TRAINING!$T$8^2)))</f>
        <v>1.3424644951561834E-2</v>
      </c>
      <c r="V70">
        <f>(1/(SQRT(2*PI())*TRAINING!$T$9))*EXP(-((F70-TRAINING!$T$4)^2)/(2*(TRAINING!$T$9^2)))</f>
        <v>3.4944488660086669E-3</v>
      </c>
      <c r="W70">
        <f>(1/(SQRT(2*PI())*TRAINING!$U$8))*EXP(-((G70-TRAINING!$U$3)^2)/(2*(TRAINING!$U$8^2)))</f>
        <v>1.2539378997593369</v>
      </c>
      <c r="X70">
        <f>(1/(SQRT(2*PI())*TRAINING!$U$9))*EXP(-((G70-TRAINING!$U$4)^2)/(2*(TRAINING!$U$9^2)))</f>
        <v>0.92369341551752626</v>
      </c>
      <c r="Y70">
        <f>(1/(SQRT(2*PI())*TRAINING!$V$8))*EXP(-((H70-TRAINING!$V$3)^2)/(2*(TRAINING!$V$8^2)))</f>
        <v>2.9161934112625271E-2</v>
      </c>
      <c r="Z70">
        <f>(1/(SQRT(2*PI())*TRAINING!$V$9))*EXP(-((H70-TRAINING!$V$4)^2)/(2*(TRAINING!$V$9^2)))</f>
        <v>2.0729073133302325E-2</v>
      </c>
      <c r="AA70">
        <f>PRODUCT(K70,M70,O70,Q70,S70,U70,W70,Y70)*TRAINING!$L$2</f>
        <v>7.2892945318300401E-13</v>
      </c>
      <c r="AB70">
        <f>PRODUCT(L70,N70,P70,R70,T70,V70,X70,Z70)*TRAINING!$L$3</f>
        <v>3.2257654477682624E-15</v>
      </c>
      <c r="AC70">
        <f t="shared" si="3"/>
        <v>0</v>
      </c>
      <c r="AD70">
        <f t="shared" si="4"/>
        <v>1</v>
      </c>
      <c r="AF70" s="19"/>
      <c r="AG70" t="str">
        <f t="shared" si="5"/>
        <v>TN</v>
      </c>
    </row>
    <row r="71" spans="1:33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  <c r="K71">
        <f>(1/(SQRT(2*PI())*TRAINING!$O$8))*EXP(-((A71-TRAINING!$O$3)^2)/(2*(TRAINING!$O$8^2)))</f>
        <v>0.12757449499469867</v>
      </c>
      <c r="L71">
        <f>(1/(SQRT(2*PI())*TRAINING!$O$9))*EXP(-((A71-TRAINING!$O$4)^2)/(2*(TRAINING!$O$9^2)))</f>
        <v>0.10484388320832955</v>
      </c>
      <c r="M71">
        <f>(1/(SQRT(2*PI())*TRAINING!$P$8))*EXP(-((B71-TRAINING!$P$3)^2)/(2*(TRAINING!$P$8^2)))</f>
        <v>5.9958492838548825E-3</v>
      </c>
      <c r="N71">
        <f>(1/(SQRT(2*PI())*TRAINING!$P$9))*EXP(-((B71-TRAINING!$P$4)^2)/(2*(TRAINING!$P$9^2)))</f>
        <v>1.3619774009603037E-2</v>
      </c>
      <c r="O71">
        <f>(1/(SQRT(2*PI())*TRAINING!$Q$8))*EXP(-((C71-TRAINING!$Q$3)^2)/(2*(TRAINING!$Q$8^2)))</f>
        <v>1.6723514176968789E-2</v>
      </c>
      <c r="P71">
        <f>(1/(SQRT(2*PI())*TRAINING!$Q$9))*EXP(-((C71-TRAINING!$Q$4)^2)/(2*(TRAINING!$Q$9^2)))</f>
        <v>2.4599308800663213E-2</v>
      </c>
      <c r="Q71">
        <f>(1/(SQRT(2*PI())*TRAINING!$R$8))*EXP(-((D71-TRAINING!$R$3)^2)/(2*(TRAINING!$R$8^2)))</f>
        <v>4.5198924351348924E-2</v>
      </c>
      <c r="R71">
        <f>(1/(SQRT(2*PI())*TRAINING!$R$9))*EXP(-((D71-TRAINING!$R$4)^2)/(2*(TRAINING!$R$9^2)))</f>
        <v>3.8900959028324751E-2</v>
      </c>
      <c r="S71">
        <f>(1/(SQRT(2*PI())*TRAINING!$S$8))*EXP(-((E71-TRAINING!$S$3)^2)/(2*(TRAINING!$S$8^2)))</f>
        <v>4.2081935794741282E-3</v>
      </c>
      <c r="T71">
        <f>(1/(SQRT(2*PI())*TRAINING!$S$9))*EXP(-((E71-TRAINING!$S$4)^2)/(2*(TRAINING!$S$9^2)))</f>
        <v>3.2707060815793088E-3</v>
      </c>
      <c r="U71">
        <f>(1/(SQRT(2*PI())*TRAINING!$T$8))*EXP(-((F71-TRAINING!$T$3)^2)/(2*(TRAINING!$T$8^2)))</f>
        <v>5.8121047823307771E-2</v>
      </c>
      <c r="V71">
        <f>(1/(SQRT(2*PI())*TRAINING!$T$9))*EXP(-((F71-TRAINING!$T$4)^2)/(2*(TRAINING!$T$9^2)))</f>
        <v>3.7717949760343178E-2</v>
      </c>
      <c r="W71">
        <f>(1/(SQRT(2*PI())*TRAINING!$U$8))*EXP(-((G71-TRAINING!$U$3)^2)/(2*(TRAINING!$U$8^2)))</f>
        <v>0.95231249648130489</v>
      </c>
      <c r="X71">
        <f>(1/(SQRT(2*PI())*TRAINING!$U$9))*EXP(-((G71-TRAINING!$U$4)^2)/(2*(TRAINING!$U$9^2)))</f>
        <v>0.66906914357990044</v>
      </c>
      <c r="Y71">
        <f>(1/(SQRT(2*PI())*TRAINING!$V$8))*EXP(-((H71-TRAINING!$V$3)^2)/(2*(TRAINING!$V$8^2)))</f>
        <v>3.1451241064801919E-2</v>
      </c>
      <c r="Z71">
        <f>(1/(SQRT(2*PI())*TRAINING!$V$9))*EXP(-((H71-TRAINING!$V$4)^2)/(2*(TRAINING!$V$9^2)))</f>
        <v>2.4768154290602078E-2</v>
      </c>
      <c r="AA71">
        <f>PRODUCT(K71,M71,O71,Q71,S71,U71,W71,Y71)*TRAINING!$L$2</f>
        <v>2.7617596478571736E-12</v>
      </c>
      <c r="AB71">
        <f>PRODUCT(L71,N71,P71,R71,T71,V71,X71,Z71)*TRAINING!$L$3</f>
        <v>9.4979388882538887E-13</v>
      </c>
      <c r="AC71">
        <f t="shared" si="3"/>
        <v>0</v>
      </c>
      <c r="AD71">
        <f t="shared" si="4"/>
        <v>1</v>
      </c>
      <c r="AF71" s="19"/>
      <c r="AG71" t="str">
        <f t="shared" si="5"/>
        <v>TN</v>
      </c>
    </row>
    <row r="72" spans="1:33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  <c r="K72">
        <f>(1/(SQRT(2*PI())*TRAINING!$O$8))*EXP(-((A72-TRAINING!$O$3)^2)/(2*(TRAINING!$O$8^2)))</f>
        <v>0.12153525578060927</v>
      </c>
      <c r="L72">
        <f>(1/(SQRT(2*PI())*TRAINING!$O$9))*EXP(-((A72-TRAINING!$O$4)^2)/(2*(TRAINING!$O$9^2)))</f>
        <v>8.041832272231407E-2</v>
      </c>
      <c r="M72">
        <f>(1/(SQRT(2*PI())*TRAINING!$P$8))*EXP(-((B72-TRAINING!$P$3)^2)/(2*(TRAINING!$P$8^2)))</f>
        <v>1.4577030200080695E-2</v>
      </c>
      <c r="N72">
        <f>(1/(SQRT(2*PI())*TRAINING!$P$9))*EXP(-((B72-TRAINING!$P$4)^2)/(2*(TRAINING!$P$9^2)))</f>
        <v>4.5281526342230783E-3</v>
      </c>
      <c r="O72">
        <f>(1/(SQRT(2*PI())*TRAINING!$Q$8))*EXP(-((C72-TRAINING!$Q$3)^2)/(2*(TRAINING!$Q$8^2)))</f>
        <v>3.1219956230797655E-2</v>
      </c>
      <c r="P72">
        <f>(1/(SQRT(2*PI())*TRAINING!$Q$9))*EXP(-((C72-TRAINING!$Q$4)^2)/(2*(TRAINING!$Q$9^2)))</f>
        <v>2.5033349599780073E-2</v>
      </c>
      <c r="Q72">
        <f>(1/(SQRT(2*PI())*TRAINING!$R$8))*EXP(-((D72-TRAINING!$R$3)^2)/(2*(TRAINING!$R$8^2)))</f>
        <v>3.5694917788937644E-2</v>
      </c>
      <c r="R72">
        <f>(1/(SQRT(2*PI())*TRAINING!$R$9))*EXP(-((D72-TRAINING!$R$4)^2)/(2*(TRAINING!$R$9^2)))</f>
        <v>2.4842972564379603E-2</v>
      </c>
      <c r="S72">
        <f>(1/(SQRT(2*PI())*TRAINING!$S$8))*EXP(-((E72-TRAINING!$S$3)^2)/(2*(TRAINING!$S$8^2)))</f>
        <v>4.2504338262708691E-3</v>
      </c>
      <c r="T72">
        <f>(1/(SQRT(2*PI())*TRAINING!$S$9))*EXP(-((E72-TRAINING!$S$4)^2)/(2*(TRAINING!$S$9^2)))</f>
        <v>3.2283975877892856E-3</v>
      </c>
      <c r="U72">
        <f>(1/(SQRT(2*PI())*TRAINING!$T$8))*EXP(-((F72-TRAINING!$T$3)^2)/(2*(TRAINING!$T$8^2)))</f>
        <v>5.8483987692113056E-2</v>
      </c>
      <c r="V72">
        <f>(1/(SQRT(2*PI())*TRAINING!$T$9))*EXP(-((F72-TRAINING!$T$4)^2)/(2*(TRAINING!$T$9^2)))</f>
        <v>5.6723693109763509E-2</v>
      </c>
      <c r="W72">
        <f>(1/(SQRT(2*PI())*TRAINING!$U$8))*EXP(-((G72-TRAINING!$U$3)^2)/(2*(TRAINING!$U$8^2)))</f>
        <v>0.47053128637386649</v>
      </c>
      <c r="X72">
        <f>(1/(SQRT(2*PI())*TRAINING!$U$9))*EXP(-((G72-TRAINING!$U$4)^2)/(2*(TRAINING!$U$9^2)))</f>
        <v>0.7529554469066212</v>
      </c>
      <c r="Y72">
        <f>(1/(SQRT(2*PI())*TRAINING!$V$8))*EXP(-((H72-TRAINING!$V$3)^2)/(2*(TRAINING!$V$8^2)))</f>
        <v>3.2316556179530061E-2</v>
      </c>
      <c r="Z72">
        <f>(1/(SQRT(2*PI())*TRAINING!$V$9))*EXP(-((H72-TRAINING!$V$4)^2)/(2*(TRAINING!$V$9^2)))</f>
        <v>2.6735830719458106E-2</v>
      </c>
      <c r="AA72">
        <f>PRODUCT(K72,M72,O72,Q72,S72,U72,W72,Y72)*TRAINING!$L$2</f>
        <v>4.8658989014527629E-12</v>
      </c>
      <c r="AB72">
        <f>PRODUCT(L72,N72,P72,R72,T72,V72,X72,Z72)*TRAINING!$L$3</f>
        <v>2.8385201701669341E-13</v>
      </c>
      <c r="AC72">
        <f t="shared" si="3"/>
        <v>0</v>
      </c>
      <c r="AD72">
        <f t="shared" si="4"/>
        <v>0</v>
      </c>
      <c r="AF72" s="19"/>
      <c r="AG72" t="str">
        <f t="shared" si="5"/>
        <v>FN</v>
      </c>
    </row>
    <row r="73" spans="1:33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  <c r="K73">
        <f>(1/(SQRT(2*PI())*TRAINING!$O$8))*EXP(-((A73-TRAINING!$O$3)^2)/(2*(TRAINING!$O$8^2)))</f>
        <v>0.11094891947307506</v>
      </c>
      <c r="L73">
        <f>(1/(SQRT(2*PI())*TRAINING!$O$9))*EXP(-((A73-TRAINING!$O$4)^2)/(2*(TRAINING!$O$9^2)))</f>
        <v>0.1073628550745119</v>
      </c>
      <c r="M73">
        <f>(1/(SQRT(2*PI())*TRAINING!$P$8))*EXP(-((B73-TRAINING!$P$3)^2)/(2*(TRAINING!$P$8^2)))</f>
        <v>8.5908172969417079E-3</v>
      </c>
      <c r="N73">
        <f>(1/(SQRT(2*PI())*TRAINING!$P$9))*EXP(-((B73-TRAINING!$P$4)^2)/(2*(TRAINING!$P$9^2)))</f>
        <v>1.352223573250289E-2</v>
      </c>
      <c r="O73">
        <f>(1/(SQRT(2*PI())*TRAINING!$Q$8))*EXP(-((C73-TRAINING!$Q$3)^2)/(2*(TRAINING!$Q$8^2)))</f>
        <v>2.8539543720520966E-2</v>
      </c>
      <c r="P73">
        <f>(1/(SQRT(2*PI())*TRAINING!$Q$9))*EXP(-((C73-TRAINING!$Q$4)^2)/(2*(TRAINING!$Q$9^2)))</f>
        <v>2.125454560902645E-2</v>
      </c>
      <c r="Q73">
        <f>(1/(SQRT(2*PI())*TRAINING!$R$8))*EXP(-((D73-TRAINING!$R$3)^2)/(2*(TRAINING!$R$8^2)))</f>
        <v>2.718189188440388E-2</v>
      </c>
      <c r="R73">
        <f>(1/(SQRT(2*PI())*TRAINING!$R$9))*EXP(-((D73-TRAINING!$R$4)^2)/(2*(TRAINING!$R$9^2)))</f>
        <v>3.507068932058819E-2</v>
      </c>
      <c r="S73">
        <f>(1/(SQRT(2*PI())*TRAINING!$S$8))*EXP(-((E73-TRAINING!$S$3)^2)/(2*(TRAINING!$S$8^2)))</f>
        <v>3.6088349201393584E-3</v>
      </c>
      <c r="T73">
        <f>(1/(SQRT(2*PI())*TRAINING!$S$9))*EXP(-((E73-TRAINING!$S$4)^2)/(2*(TRAINING!$S$9^2)))</f>
        <v>3.2186222071415426E-3</v>
      </c>
      <c r="U73">
        <f>(1/(SQRT(2*PI())*TRAINING!$T$8))*EXP(-((F73-TRAINING!$T$3)^2)/(2*(TRAINING!$T$8^2)))</f>
        <v>5.7221429107271668E-2</v>
      </c>
      <c r="V73">
        <f>(1/(SQRT(2*PI())*TRAINING!$T$9))*EXP(-((F73-TRAINING!$T$4)^2)/(2*(TRAINING!$T$9^2)))</f>
        <v>3.6039501793487756E-2</v>
      </c>
      <c r="W73">
        <f>(1/(SQRT(2*PI())*TRAINING!$U$8))*EXP(-((G73-TRAINING!$U$3)^2)/(2*(TRAINING!$U$8^2)))</f>
        <v>1.320744224156309</v>
      </c>
      <c r="X73">
        <f>(1/(SQRT(2*PI())*TRAINING!$U$9))*EXP(-((G73-TRAINING!$U$4)^2)/(2*(TRAINING!$U$9^2)))</f>
        <v>1.0264822725730849</v>
      </c>
      <c r="Y73">
        <f>(1/(SQRT(2*PI())*TRAINING!$V$8))*EXP(-((H73-TRAINING!$V$3)^2)/(2*(TRAINING!$V$8^2)))</f>
        <v>3.039262448519801E-2</v>
      </c>
      <c r="Z73">
        <f>(1/(SQRT(2*PI())*TRAINING!$V$9))*EXP(-((H73-TRAINING!$V$4)^2)/(2*(TRAINING!$V$9^2)))</f>
        <v>2.2753892995124533E-2</v>
      </c>
      <c r="AA73">
        <f>PRODUCT(K73,M73,O73,Q73,S73,U73,W73,Y73)*TRAINING!$L$2</f>
        <v>3.9963743594253353E-12</v>
      </c>
      <c r="AB73">
        <f>PRODUCT(L73,N73,P73,R73,T73,V73,X73,Z73)*TRAINING!$L$3</f>
        <v>9.9685856739106932E-13</v>
      </c>
      <c r="AC73">
        <f t="shared" si="3"/>
        <v>0</v>
      </c>
      <c r="AD73">
        <f t="shared" si="4"/>
        <v>1</v>
      </c>
      <c r="AF73" s="19"/>
      <c r="AG73" t="str">
        <f t="shared" si="5"/>
        <v>TN</v>
      </c>
    </row>
    <row r="74" spans="1:33" x14ac:dyDescent="0.3">
      <c r="A74">
        <v>13</v>
      </c>
      <c r="B74">
        <v>126</v>
      </c>
      <c r="C74">
        <v>90</v>
      </c>
      <c r="D74">
        <v>23</v>
      </c>
      <c r="E74">
        <v>30.5</v>
      </c>
      <c r="F74">
        <v>43.4</v>
      </c>
      <c r="G74">
        <v>0.58299999999999996</v>
      </c>
      <c r="H74">
        <v>42</v>
      </c>
      <c r="I74">
        <v>1</v>
      </c>
      <c r="K74">
        <f>(1/(SQRT(2*PI())*TRAINING!$O$8))*EXP(-((A74-TRAINING!$O$3)^2)/(2*(TRAINING!$O$8^2)))</f>
        <v>7.1101563058902962E-4</v>
      </c>
      <c r="L74">
        <f>(1/(SQRT(2*PI())*TRAINING!$O$9))*EXP(-((A74-TRAINING!$O$4)^2)/(2*(TRAINING!$O$9^2)))</f>
        <v>9.5180402541082624E-3</v>
      </c>
      <c r="M74">
        <f>(1/(SQRT(2*PI())*TRAINING!$P$8))*EXP(-((B74-TRAINING!$P$3)^2)/(2*(TRAINING!$P$8^2)))</f>
        <v>1.3528801206188113E-2</v>
      </c>
      <c r="N74">
        <f>(1/(SQRT(2*PI())*TRAINING!$P$9))*EXP(-((B74-TRAINING!$P$4)^2)/(2*(TRAINING!$P$9^2)))</f>
        <v>1.1452833666473249E-2</v>
      </c>
      <c r="O74">
        <f>(1/(SQRT(2*PI())*TRAINING!$Q$8))*EXP(-((C74-TRAINING!$Q$3)^2)/(2*(TRAINING!$Q$8^2)))</f>
        <v>9.1004413738675835E-3</v>
      </c>
      <c r="P74">
        <f>(1/(SQRT(2*PI())*TRAINING!$Q$9))*EXP(-((C74-TRAINING!$Q$4)^2)/(2*(TRAINING!$Q$9^2)))</f>
        <v>1.5261261756373781E-2</v>
      </c>
      <c r="Q74">
        <f>(1/(SQRT(2*PI())*TRAINING!$R$8))*EXP(-((D74-TRAINING!$R$3)^2)/(2*(TRAINING!$R$8^2)))</f>
        <v>4.2691938231656991E-2</v>
      </c>
      <c r="R74">
        <f>(1/(SQRT(2*PI())*TRAINING!$R$9))*EXP(-((D74-TRAINING!$R$4)^2)/(2*(TRAINING!$R$9^2)))</f>
        <v>3.202065801833482E-2</v>
      </c>
      <c r="S74">
        <f>(1/(SQRT(2*PI())*TRAINING!$S$8))*EXP(-((E74-TRAINING!$S$3)^2)/(2*(TRAINING!$S$8^2)))</f>
        <v>3.5657055057560366E-3</v>
      </c>
      <c r="T74">
        <f>(1/(SQRT(2*PI())*TRAINING!$S$9))*EXP(-((E74-TRAINING!$S$4)^2)/(2*(TRAINING!$S$9^2)))</f>
        <v>2.5951511419773543E-3</v>
      </c>
      <c r="U74">
        <f>(1/(SQRT(2*PI())*TRAINING!$T$8))*EXP(-((F74-TRAINING!$T$3)^2)/(2*(TRAINING!$T$8^2)))</f>
        <v>9.9652576858212799E-3</v>
      </c>
      <c r="V74">
        <f>(1/(SQRT(2*PI())*TRAINING!$T$9))*EXP(-((F74-TRAINING!$T$4)^2)/(2*(TRAINING!$T$9^2)))</f>
        <v>2.8470493498635466E-2</v>
      </c>
      <c r="W74">
        <f>(1/(SQRT(2*PI())*TRAINING!$U$8))*EXP(-((G74-TRAINING!$U$3)^2)/(2*(TRAINING!$U$8^2)))</f>
        <v>1.1712941958815601</v>
      </c>
      <c r="X74">
        <f>(1/(SQRT(2*PI())*TRAINING!$U$9))*EXP(-((G74-TRAINING!$U$4)^2)/(2*(TRAINING!$U$9^2)))</f>
        <v>1.1019878827516172</v>
      </c>
      <c r="Y74">
        <f>(1/(SQRT(2*PI())*TRAINING!$V$8))*EXP(-((H74-TRAINING!$V$3)^2)/(2*(TRAINING!$V$8^2)))</f>
        <v>2.2428794825873569E-2</v>
      </c>
      <c r="Z74">
        <f>(1/(SQRT(2*PI())*TRAINING!$V$9))*EXP(-((H74-TRAINING!$V$4)^2)/(2*(TRAINING!$V$9^2)))</f>
        <v>3.2353054095022447E-2</v>
      </c>
      <c r="AA74">
        <f>PRODUCT(K74,M74,O74,Q74,S74,U74,W74,Y74)*TRAINING!$L$2</f>
        <v>2.2746887681358066E-15</v>
      </c>
      <c r="AB74">
        <f>PRODUCT(L74,N74,P74,R74,T74,V74,X74,Z74)*TRAINING!$L$3</f>
        <v>4.7710048240908115E-14</v>
      </c>
      <c r="AC74">
        <f t="shared" si="3"/>
        <v>1</v>
      </c>
      <c r="AD74">
        <f t="shared" si="4"/>
        <v>1</v>
      </c>
      <c r="AF74" s="19"/>
      <c r="AG74" t="str">
        <f t="shared" si="5"/>
        <v>TP</v>
      </c>
    </row>
    <row r="75" spans="1:33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  <c r="K75">
        <f>(1/(SQRT(2*PI())*TRAINING!$O$8))*EXP(-((A75-TRAINING!$O$3)^2)/(2*(TRAINING!$O$8^2)))</f>
        <v>0.12757449499469867</v>
      </c>
      <c r="L75">
        <f>(1/(SQRT(2*PI())*TRAINING!$O$9))*EXP(-((A75-TRAINING!$O$4)^2)/(2*(TRAINING!$O$9^2)))</f>
        <v>0.10484388320832955</v>
      </c>
      <c r="M75">
        <f>(1/(SQRT(2*PI())*TRAINING!$P$8))*EXP(-((B75-TRAINING!$P$3)^2)/(2*(TRAINING!$P$8^2)))</f>
        <v>1.2486971854562894E-2</v>
      </c>
      <c r="N75">
        <f>(1/(SQRT(2*PI())*TRAINING!$P$9))*EXP(-((B75-TRAINING!$P$4)^2)/(2*(TRAINING!$P$9^2)))</f>
        <v>1.2111950298836506E-2</v>
      </c>
      <c r="O75">
        <f>(1/(SQRT(2*PI())*TRAINING!$Q$8))*EXP(-((C75-TRAINING!$Q$3)^2)/(2*(TRAINING!$Q$8^2)))</f>
        <v>1.50281406073366E-2</v>
      </c>
      <c r="P75">
        <f>(1/(SQRT(2*PI())*TRAINING!$Q$9))*EXP(-((C75-TRAINING!$Q$4)^2)/(2*(TRAINING!$Q$9^2)))</f>
        <v>2.271437867582313E-2</v>
      </c>
      <c r="Q75">
        <f>(1/(SQRT(2*PI())*TRAINING!$R$8))*EXP(-((D75-TRAINING!$R$3)^2)/(2*(TRAINING!$R$8^2)))</f>
        <v>3.5694917788937644E-2</v>
      </c>
      <c r="R75">
        <f>(1/(SQRT(2*PI())*TRAINING!$R$9))*EXP(-((D75-TRAINING!$R$4)^2)/(2*(TRAINING!$R$9^2)))</f>
        <v>2.4842972564379603E-2</v>
      </c>
      <c r="S75">
        <f>(1/(SQRT(2*PI())*TRAINING!$S$8))*EXP(-((E75-TRAINING!$S$3)^2)/(2*(TRAINING!$S$8^2)))</f>
        <v>6.235429973017112E-4</v>
      </c>
      <c r="T75">
        <f>(1/(SQRT(2*PI())*TRAINING!$S$9))*EXP(-((E75-TRAINING!$S$4)^2)/(2*(TRAINING!$S$9^2)))</f>
        <v>1.4389584238832138E-3</v>
      </c>
      <c r="U75">
        <f>(1/(SQRT(2*PI())*TRAINING!$T$8))*EXP(-((F75-TRAINING!$T$3)^2)/(2*(TRAINING!$T$8^2)))</f>
        <v>5.0007398566328833E-2</v>
      </c>
      <c r="V75">
        <f>(1/(SQRT(2*PI())*TRAINING!$T$9))*EXP(-((F75-TRAINING!$T$4)^2)/(2*(TRAINING!$T$9^2)))</f>
        <v>6.0636867189828463E-2</v>
      </c>
      <c r="W75">
        <f>(1/(SQRT(2*PI())*TRAINING!$U$8))*EXP(-((G75-TRAINING!$U$3)^2)/(2*(TRAINING!$U$8^2)))</f>
        <v>1.0562007150061663</v>
      </c>
      <c r="X75">
        <f>(1/(SQRT(2*PI())*TRAINING!$U$9))*EXP(-((G75-TRAINING!$U$4)^2)/(2*(TRAINING!$U$9^2)))</f>
        <v>0.74690390887607472</v>
      </c>
      <c r="Y75">
        <f>(1/(SQRT(2*PI())*TRAINING!$V$8))*EXP(-((H75-TRAINING!$V$3)^2)/(2*(TRAINING!$V$8^2)))</f>
        <v>2.6282439590781519E-2</v>
      </c>
      <c r="Z75">
        <f>(1/(SQRT(2*PI())*TRAINING!$V$9))*EXP(-((H75-TRAINING!$V$4)^2)/(2*(TRAINING!$V$9^2)))</f>
        <v>1.6777009273758671E-2</v>
      </c>
      <c r="AA75">
        <f>PRODUCT(K75,M75,O75,Q75,S75,U75,W75,Y75)*TRAINING!$L$2</f>
        <v>4.8229713750842583E-13</v>
      </c>
      <c r="AB75">
        <f>PRODUCT(L75,N75,P75,R75,T75,V75,X75,Z75)*TRAINING!$L$3</f>
        <v>2.6638195057265989E-13</v>
      </c>
      <c r="AC75">
        <f t="shared" si="3"/>
        <v>0</v>
      </c>
      <c r="AD75">
        <f t="shared" si="4"/>
        <v>1</v>
      </c>
      <c r="AF75" s="19"/>
      <c r="AG75" t="str">
        <f t="shared" si="5"/>
        <v>TN</v>
      </c>
    </row>
    <row r="76" spans="1:33" x14ac:dyDescent="0.3">
      <c r="A76">
        <v>1</v>
      </c>
      <c r="B76">
        <v>79</v>
      </c>
      <c r="C76">
        <v>75</v>
      </c>
      <c r="D76">
        <v>30</v>
      </c>
      <c r="E76">
        <v>30.5</v>
      </c>
      <c r="F76">
        <v>32</v>
      </c>
      <c r="G76">
        <v>0.39600000000000002</v>
      </c>
      <c r="H76">
        <v>22</v>
      </c>
      <c r="I76">
        <v>0</v>
      </c>
      <c r="K76">
        <f>(1/(SQRT(2*PI())*TRAINING!$O$8))*EXP(-((A76-TRAINING!$O$3)^2)/(2*(TRAINING!$O$8^2)))</f>
        <v>0.10069314833313707</v>
      </c>
      <c r="L76">
        <f>(1/(SQRT(2*PI())*TRAINING!$O$9))*EXP(-((A76-TRAINING!$O$4)^2)/(2*(TRAINING!$O$9^2)))</f>
        <v>6.3165200316397857E-2</v>
      </c>
      <c r="M76">
        <f>(1/(SQRT(2*PI())*TRAINING!$P$8))*EXP(-((B76-TRAINING!$P$3)^2)/(2*(TRAINING!$P$8^2)))</f>
        <v>6.8777492749442911E-3</v>
      </c>
      <c r="N76">
        <f>(1/(SQRT(2*PI())*TRAINING!$P$9))*EXP(-((B76-TRAINING!$P$4)^2)/(2*(TRAINING!$P$9^2)))</f>
        <v>1.1983835018375486E-3</v>
      </c>
      <c r="O76">
        <f>(1/(SQRT(2*PI())*TRAINING!$Q$8))*EXP(-((C76-TRAINING!$Q$3)^2)/(2*(TRAINING!$Q$8^2)))</f>
        <v>3.2411979135393697E-2</v>
      </c>
      <c r="P76">
        <f>(1/(SQRT(2*PI())*TRAINING!$Q$9))*EXP(-((C76-TRAINING!$Q$4)^2)/(2*(TRAINING!$Q$9^2)))</f>
        <v>3.5393291714439612E-2</v>
      </c>
      <c r="Q76">
        <f>(1/(SQRT(2*PI())*TRAINING!$R$8))*EXP(-((D76-TRAINING!$R$3)^2)/(2*(TRAINING!$R$8^2)))</f>
        <v>4.1168207127831397E-2</v>
      </c>
      <c r="R76">
        <f>(1/(SQRT(2*PI())*TRAINING!$R$9))*EXP(-((D76-TRAINING!$R$4)^2)/(2*(TRAINING!$R$9^2)))</f>
        <v>4.041370800237605E-2</v>
      </c>
      <c r="S76">
        <f>(1/(SQRT(2*PI())*TRAINING!$S$8))*EXP(-((E76-TRAINING!$S$3)^2)/(2*(TRAINING!$S$8^2)))</f>
        <v>3.5657055057560366E-3</v>
      </c>
      <c r="T76">
        <f>(1/(SQRT(2*PI())*TRAINING!$S$9))*EXP(-((E76-TRAINING!$S$4)^2)/(2*(TRAINING!$S$9^2)))</f>
        <v>2.5951511419773543E-3</v>
      </c>
      <c r="U76">
        <f>(1/(SQRT(2*PI())*TRAINING!$T$8))*EXP(-((F76-TRAINING!$T$3)^2)/(2*(TRAINING!$T$8^2)))</f>
        <v>6.0345164388641175E-2</v>
      </c>
      <c r="V76">
        <f>(1/(SQRT(2*PI())*TRAINING!$T$9))*EXP(-((F76-TRAINING!$T$4)^2)/(2*(TRAINING!$T$9^2)))</f>
        <v>5.344431412493849E-2</v>
      </c>
      <c r="W76">
        <f>(1/(SQRT(2*PI())*TRAINING!$U$8))*EXP(-((G76-TRAINING!$U$3)^2)/(2*(TRAINING!$U$8^2)))</f>
        <v>1.3141750579347009</v>
      </c>
      <c r="X76">
        <f>(1/(SQRT(2*PI())*TRAINING!$U$9))*EXP(-((G76-TRAINING!$U$4)^2)/(2*(TRAINING!$U$9^2)))</f>
        <v>1.0092020360292526</v>
      </c>
      <c r="Y76">
        <f>(1/(SQRT(2*PI())*TRAINING!$V$8))*EXP(-((H76-TRAINING!$V$3)^2)/(2*(TRAINING!$V$8^2)))</f>
        <v>2.4686919742992346E-2</v>
      </c>
      <c r="Z76">
        <f>(1/(SQRT(2*PI())*TRAINING!$V$9))*EXP(-((H76-TRAINING!$V$4)^2)/(2*(TRAINING!$V$9^2)))</f>
        <v>1.4904761570265752E-2</v>
      </c>
      <c r="AA76">
        <f>PRODUCT(K76,M76,O76,Q76,S76,U76,W76,Y76)*TRAINING!$L$2</f>
        <v>4.2062113701179272E-12</v>
      </c>
      <c r="AB76">
        <f>PRODUCT(L76,N76,P76,R76,T76,V76,X76,Z76)*TRAINING!$L$3</f>
        <v>7.6801479520440447E-14</v>
      </c>
      <c r="AC76">
        <f t="shared" si="3"/>
        <v>0</v>
      </c>
      <c r="AD76">
        <f t="shared" si="4"/>
        <v>1</v>
      </c>
      <c r="AF76" s="19"/>
      <c r="AG76" t="str">
        <f t="shared" si="5"/>
        <v>TN</v>
      </c>
    </row>
    <row r="77" spans="1:33" x14ac:dyDescent="0.3">
      <c r="A77">
        <v>1</v>
      </c>
      <c r="B77">
        <v>117</v>
      </c>
      <c r="C77">
        <v>48</v>
      </c>
      <c r="D77">
        <v>20</v>
      </c>
      <c r="E77">
        <v>30.5</v>
      </c>
      <c r="F77">
        <v>24.7</v>
      </c>
      <c r="G77">
        <v>0.14000000000000001</v>
      </c>
      <c r="H77">
        <v>22</v>
      </c>
      <c r="I77">
        <v>0</v>
      </c>
      <c r="K77">
        <f>(1/(SQRT(2*PI())*TRAINING!$O$8))*EXP(-((A77-TRAINING!$O$3)^2)/(2*(TRAINING!$O$8^2)))</f>
        <v>0.10069314833313707</v>
      </c>
      <c r="L77">
        <f>(1/(SQRT(2*PI())*TRAINING!$O$9))*EXP(-((A77-TRAINING!$O$4)^2)/(2*(TRAINING!$O$9^2)))</f>
        <v>6.3165200316397857E-2</v>
      </c>
      <c r="M77">
        <f>(1/(SQRT(2*PI())*TRAINING!$P$8))*EXP(-((B77-TRAINING!$P$3)^2)/(2*(TRAINING!$P$8^2)))</f>
        <v>1.5743648937089565E-2</v>
      </c>
      <c r="N77">
        <f>(1/(SQRT(2*PI())*TRAINING!$P$9))*EXP(-((B77-TRAINING!$P$4)^2)/(2*(TRAINING!$P$9^2)))</f>
        <v>9.0876901701360917E-3</v>
      </c>
      <c r="O77">
        <f>(1/(SQRT(2*PI())*TRAINING!$Q$8))*EXP(-((C77-TRAINING!$Q$3)^2)/(2*(TRAINING!$Q$8^2)))</f>
        <v>4.7923966284475587E-3</v>
      </c>
      <c r="P77">
        <f>(1/(SQRT(2*PI())*TRAINING!$Q$9))*EXP(-((C77-TRAINING!$Q$4)^2)/(2*(TRAINING!$Q$9^2)))</f>
        <v>1.8455010980871079E-3</v>
      </c>
      <c r="Q77">
        <f>(1/(SQRT(2*PI())*TRAINING!$R$8))*EXP(-((D77-TRAINING!$R$3)^2)/(2*(TRAINING!$R$8^2)))</f>
        <v>3.5694917788937644E-2</v>
      </c>
      <c r="R77">
        <f>(1/(SQRT(2*PI())*TRAINING!$R$9))*EXP(-((D77-TRAINING!$R$4)^2)/(2*(TRAINING!$R$9^2)))</f>
        <v>2.4842972564379603E-2</v>
      </c>
      <c r="S77">
        <f>(1/(SQRT(2*PI())*TRAINING!$S$8))*EXP(-((E77-TRAINING!$S$3)^2)/(2*(TRAINING!$S$8^2)))</f>
        <v>3.5657055057560366E-3</v>
      </c>
      <c r="T77">
        <f>(1/(SQRT(2*PI())*TRAINING!$S$9))*EXP(-((E77-TRAINING!$S$4)^2)/(2*(TRAINING!$S$9^2)))</f>
        <v>2.5951511419773543E-3</v>
      </c>
      <c r="U77">
        <f>(1/(SQRT(2*PI())*TRAINING!$T$8))*EXP(-((F77-TRAINING!$T$3)^2)/(2*(TRAINING!$T$8^2)))</f>
        <v>3.8551245504129132E-2</v>
      </c>
      <c r="V77">
        <f>(1/(SQRT(2*PI())*TRAINING!$T$9))*EXP(-((F77-TRAINING!$T$4)^2)/(2*(TRAINING!$T$9^2)))</f>
        <v>1.6501426932753496E-2</v>
      </c>
      <c r="W77">
        <f>(1/(SQRT(2*PI())*TRAINING!$U$8))*EXP(-((G77-TRAINING!$U$3)^2)/(2*(TRAINING!$U$8^2)))</f>
        <v>0.82346567325880016</v>
      </c>
      <c r="X77">
        <f>(1/(SQRT(2*PI())*TRAINING!$U$9))*EXP(-((G77-TRAINING!$U$4)^2)/(2*(TRAINING!$U$9^2)))</f>
        <v>0.5784475196741915</v>
      </c>
      <c r="Y77">
        <f>(1/(SQRT(2*PI())*TRAINING!$V$8))*EXP(-((H77-TRAINING!$V$3)^2)/(2*(TRAINING!$V$8^2)))</f>
        <v>2.4686919742992346E-2</v>
      </c>
      <c r="Z77">
        <f>(1/(SQRT(2*PI())*TRAINING!$V$9))*EXP(-((H77-TRAINING!$V$4)^2)/(2*(TRAINING!$V$9^2)))</f>
        <v>1.4904761570265752E-2</v>
      </c>
      <c r="AA77">
        <f>PRODUCT(K77,M77,O77,Q77,S77,U77,W77,Y77)*TRAINING!$L$2</f>
        <v>4.9411723704671708E-13</v>
      </c>
      <c r="AB77">
        <f>PRODUCT(L77,N77,P77,R77,T77,V77,X77,Z77)*TRAINING!$L$3</f>
        <v>3.3037055111938386E-15</v>
      </c>
      <c r="AC77">
        <f t="shared" si="3"/>
        <v>0</v>
      </c>
      <c r="AD77">
        <f t="shared" si="4"/>
        <v>1</v>
      </c>
      <c r="AF77" s="19"/>
      <c r="AG77" t="str">
        <f t="shared" si="5"/>
        <v>TN</v>
      </c>
    </row>
    <row r="78" spans="1:33" x14ac:dyDescent="0.3">
      <c r="A78">
        <v>7</v>
      </c>
      <c r="B78">
        <v>62</v>
      </c>
      <c r="C78">
        <v>78</v>
      </c>
      <c r="D78">
        <v>23</v>
      </c>
      <c r="E78">
        <v>30.5</v>
      </c>
      <c r="F78">
        <v>32.6</v>
      </c>
      <c r="G78">
        <v>0.39100000000000001</v>
      </c>
      <c r="H78">
        <v>41</v>
      </c>
      <c r="I78">
        <v>0</v>
      </c>
      <c r="K78">
        <f>(1/(SQRT(2*PI())*TRAINING!$O$8))*EXP(-((A78-TRAINING!$O$3)^2)/(2*(TRAINING!$O$8^2)))</f>
        <v>6.0464208917336747E-2</v>
      </c>
      <c r="L78">
        <f>(1/(SQRT(2*PI())*TRAINING!$O$9))*EXP(-((A78-TRAINING!$O$4)^2)/(2*(TRAINING!$O$9^2)))</f>
        <v>9.055444669307644E-2</v>
      </c>
      <c r="M78">
        <f>(1/(SQRT(2*PI())*TRAINING!$P$8))*EXP(-((B78-TRAINING!$P$3)^2)/(2*(TRAINING!$P$8^2)))</f>
        <v>2.2014690046819239E-3</v>
      </c>
      <c r="N78">
        <f>(1/(SQRT(2*PI())*TRAINING!$P$9))*EXP(-((B78-TRAINING!$P$4)^2)/(2*(TRAINING!$P$9^2)))</f>
        <v>2.7951893121660998E-4</v>
      </c>
      <c r="O78">
        <f>(1/(SQRT(2*PI())*TRAINING!$Q$8))*EXP(-((C78-TRAINING!$Q$3)^2)/(2*(TRAINING!$Q$8^2)))</f>
        <v>2.8724564393455325E-2</v>
      </c>
      <c r="P78">
        <f>(1/(SQRT(2*PI())*TRAINING!$Q$9))*EXP(-((C78-TRAINING!$Q$4)^2)/(2*(TRAINING!$Q$9^2)))</f>
        <v>3.447108098073768E-2</v>
      </c>
      <c r="Q78">
        <f>(1/(SQRT(2*PI())*TRAINING!$R$8))*EXP(-((D78-TRAINING!$R$3)^2)/(2*(TRAINING!$R$8^2)))</f>
        <v>4.2691938231656991E-2</v>
      </c>
      <c r="R78">
        <f>(1/(SQRT(2*PI())*TRAINING!$R$9))*EXP(-((D78-TRAINING!$R$4)^2)/(2*(TRAINING!$R$9^2)))</f>
        <v>3.202065801833482E-2</v>
      </c>
      <c r="S78">
        <f>(1/(SQRT(2*PI())*TRAINING!$S$8))*EXP(-((E78-TRAINING!$S$3)^2)/(2*(TRAINING!$S$8^2)))</f>
        <v>3.5657055057560366E-3</v>
      </c>
      <c r="T78">
        <f>(1/(SQRT(2*PI())*TRAINING!$S$9))*EXP(-((E78-TRAINING!$S$4)^2)/(2*(TRAINING!$S$9^2)))</f>
        <v>2.5951511419773543E-3</v>
      </c>
      <c r="U78">
        <f>(1/(SQRT(2*PI())*TRAINING!$T$8))*EXP(-((F78-TRAINING!$T$3)^2)/(2*(TRAINING!$T$8^2)))</f>
        <v>5.922283072977378E-2</v>
      </c>
      <c r="V78">
        <f>(1/(SQRT(2*PI())*TRAINING!$T$9))*EXP(-((F78-TRAINING!$T$4)^2)/(2*(TRAINING!$T$9^2)))</f>
        <v>5.5724658823147262E-2</v>
      </c>
      <c r="W78">
        <f>(1/(SQRT(2*PI())*TRAINING!$U$8))*EXP(-((G78-TRAINING!$U$3)^2)/(2*(TRAINING!$U$8^2)))</f>
        <v>1.3112697406798008</v>
      </c>
      <c r="X78">
        <f>(1/(SQRT(2*PI())*TRAINING!$U$9))*EXP(-((G78-TRAINING!$U$4)^2)/(2*(TRAINING!$U$9^2)))</f>
        <v>1.0031209799257295</v>
      </c>
      <c r="Y78">
        <f>(1/(SQRT(2*PI())*TRAINING!$V$8))*EXP(-((H78-TRAINING!$V$3)^2)/(2*(TRAINING!$V$8^2)))</f>
        <v>2.4108534115824809E-2</v>
      </c>
      <c r="Z78">
        <f>(1/(SQRT(2*PI())*TRAINING!$V$9))*EXP(-((H78-TRAINING!$V$4)^2)/(2*(TRAINING!$V$9^2)))</f>
        <v>3.3701231447308966E-2</v>
      </c>
      <c r="AA78">
        <f>PRODUCT(K78,M78,O78,Q78,S78,U78,W78,Y78)*TRAINING!$L$2</f>
        <v>7.1052114744918425E-13</v>
      </c>
      <c r="AB78">
        <f>PRODUCT(L78,N78,P78,R78,T78,V78,X78,Z78)*TRAINING!$L$3</f>
        <v>4.6440216834251837E-14</v>
      </c>
      <c r="AC78">
        <f t="shared" si="3"/>
        <v>0</v>
      </c>
      <c r="AD78">
        <f t="shared" si="4"/>
        <v>1</v>
      </c>
      <c r="AF78" s="19"/>
      <c r="AG78" t="str">
        <f t="shared" si="5"/>
        <v>TN</v>
      </c>
    </row>
    <row r="79" spans="1:33" x14ac:dyDescent="0.3">
      <c r="A79">
        <v>5</v>
      </c>
      <c r="B79">
        <v>95</v>
      </c>
      <c r="C79">
        <v>72</v>
      </c>
      <c r="D79">
        <v>33</v>
      </c>
      <c r="E79">
        <v>30.5</v>
      </c>
      <c r="F79">
        <v>37.700000000000003</v>
      </c>
      <c r="G79">
        <v>0.37</v>
      </c>
      <c r="H79">
        <v>27</v>
      </c>
      <c r="I79">
        <v>0</v>
      </c>
      <c r="K79">
        <f>(1/(SQRT(2*PI())*TRAINING!$O$8))*EXP(-((A79-TRAINING!$O$3)^2)/(2*(TRAINING!$O$8^2)))</f>
        <v>0.11094891947307506</v>
      </c>
      <c r="L79">
        <f>(1/(SQRT(2*PI())*TRAINING!$O$9))*EXP(-((A79-TRAINING!$O$4)^2)/(2*(TRAINING!$O$9^2)))</f>
        <v>0.1073628550745119</v>
      </c>
      <c r="M79">
        <f>(1/(SQRT(2*PI())*TRAINING!$P$8))*EXP(-((B79-TRAINING!$P$3)^2)/(2*(TRAINING!$P$8^2)))</f>
        <v>1.3018480192205214E-2</v>
      </c>
      <c r="N79">
        <f>(1/(SQRT(2*PI())*TRAINING!$P$9))*EXP(-((B79-TRAINING!$P$4)^2)/(2*(TRAINING!$P$9^2)))</f>
        <v>3.4583947656656095E-3</v>
      </c>
      <c r="O79">
        <f>(1/(SQRT(2*PI())*TRAINING!$Q$8))*EXP(-((C79-TRAINING!$Q$3)^2)/(2*(TRAINING!$Q$8^2)))</f>
        <v>3.4215224205554493E-2</v>
      </c>
      <c r="P79">
        <f>(1/(SQRT(2*PI())*TRAINING!$Q$9))*EXP(-((C79-TRAINING!$Q$4)^2)/(2*(TRAINING!$Q$9^2)))</f>
        <v>3.3852206664402869E-2</v>
      </c>
      <c r="Q79">
        <f>(1/(SQRT(2*PI())*TRAINING!$R$8))*EXP(-((D79-TRAINING!$R$3)^2)/(2*(TRAINING!$R$8^2)))</f>
        <v>3.336517404102942E-2</v>
      </c>
      <c r="R79">
        <f>(1/(SQRT(2*PI())*TRAINING!$R$9))*EXP(-((D79-TRAINING!$R$4)^2)/(2*(TRAINING!$R$9^2)))</f>
        <v>3.8278756254114484E-2</v>
      </c>
      <c r="S79">
        <f>(1/(SQRT(2*PI())*TRAINING!$S$8))*EXP(-((E79-TRAINING!$S$3)^2)/(2*(TRAINING!$S$8^2)))</f>
        <v>3.5657055057560366E-3</v>
      </c>
      <c r="T79">
        <f>(1/(SQRT(2*PI())*TRAINING!$S$9))*EXP(-((E79-TRAINING!$S$4)^2)/(2*(TRAINING!$S$9^2)))</f>
        <v>2.5951511419773543E-3</v>
      </c>
      <c r="U79">
        <f>(1/(SQRT(2*PI())*TRAINING!$T$8))*EXP(-((F79-TRAINING!$T$3)^2)/(2*(TRAINING!$T$8^2)))</f>
        <v>3.5899420179315605E-2</v>
      </c>
      <c r="V79">
        <f>(1/(SQRT(2*PI())*TRAINING!$T$9))*EXP(-((F79-TRAINING!$T$4)^2)/(2*(TRAINING!$T$9^2)))</f>
        <v>5.6794353332242802E-2</v>
      </c>
      <c r="W79">
        <f>(1/(SQRT(2*PI())*TRAINING!$U$8))*EXP(-((G79-TRAINING!$U$3)^2)/(2*(TRAINING!$U$8^2)))</f>
        <v>1.2952340143414489</v>
      </c>
      <c r="X79">
        <f>(1/(SQRT(2*PI())*TRAINING!$U$9))*EXP(-((G79-TRAINING!$U$4)^2)/(2*(TRAINING!$U$9^2)))</f>
        <v>0.97592664118402883</v>
      </c>
      <c r="Y79">
        <f>(1/(SQRT(2*PI())*TRAINING!$V$8))*EXP(-((H79-TRAINING!$V$3)^2)/(2*(TRAINING!$V$8^2)))</f>
        <v>3.1451241064801919E-2</v>
      </c>
      <c r="Z79">
        <f>(1/(SQRT(2*PI())*TRAINING!$V$9))*EXP(-((H79-TRAINING!$V$4)^2)/(2*(TRAINING!$V$9^2)))</f>
        <v>2.4768154290602078E-2</v>
      </c>
      <c r="AA79">
        <f>PRODUCT(K79,M79,O79,Q79,S79,U79,W79,Y79)*TRAINING!$L$2</f>
        <v>5.606403347342097E-12</v>
      </c>
      <c r="AB79">
        <f>PRODUCT(L79,N79,P79,R79,T79,V79,X79,Z79)*TRAINING!$L$3</f>
        <v>5.8281533387731835E-13</v>
      </c>
      <c r="AC79">
        <f t="shared" si="3"/>
        <v>0</v>
      </c>
      <c r="AD79">
        <f t="shared" si="4"/>
        <v>1</v>
      </c>
      <c r="AF79" s="19"/>
      <c r="AG79" t="str">
        <f t="shared" si="5"/>
        <v>TN</v>
      </c>
    </row>
    <row r="80" spans="1:33" x14ac:dyDescent="0.3">
      <c r="A80">
        <v>0</v>
      </c>
      <c r="B80">
        <v>131</v>
      </c>
      <c r="C80">
        <v>72</v>
      </c>
      <c r="D80">
        <v>23</v>
      </c>
      <c r="E80">
        <v>30.5</v>
      </c>
      <c r="F80">
        <v>43.2</v>
      </c>
      <c r="G80">
        <v>0.27</v>
      </c>
      <c r="H80">
        <v>26</v>
      </c>
      <c r="I80">
        <v>1</v>
      </c>
      <c r="K80">
        <f>(1/(SQRT(2*PI())*TRAINING!$O$8))*EXP(-((A80-TRAINING!$O$3)^2)/(2*(TRAINING!$O$8^2)))</f>
        <v>7.4791087346963395E-2</v>
      </c>
      <c r="L80">
        <f>(1/(SQRT(2*PI())*TRAINING!$O$9))*EXP(-((A80-TRAINING!$O$4)^2)/(2*(TRAINING!$O$9^2)))</f>
        <v>4.6140116319387747E-2</v>
      </c>
      <c r="M80">
        <f>(1/(SQRT(2*PI())*TRAINING!$P$8))*EXP(-((B80-TRAINING!$P$3)^2)/(2*(TRAINING!$P$8^2)))</f>
        <v>1.1740464086677367E-2</v>
      </c>
      <c r="N80">
        <f>(1/(SQRT(2*PI())*TRAINING!$P$9))*EXP(-((B80-TRAINING!$P$4)^2)/(2*(TRAINING!$P$9^2)))</f>
        <v>1.2498656830544307E-2</v>
      </c>
      <c r="O80">
        <f>(1/(SQRT(2*PI())*TRAINING!$Q$8))*EXP(-((C80-TRAINING!$Q$3)^2)/(2*(TRAINING!$Q$8^2)))</f>
        <v>3.4215224205554493E-2</v>
      </c>
      <c r="P80">
        <f>(1/(SQRT(2*PI())*TRAINING!$Q$9))*EXP(-((C80-TRAINING!$Q$4)^2)/(2*(TRAINING!$Q$9^2)))</f>
        <v>3.3852206664402869E-2</v>
      </c>
      <c r="Q80">
        <f>(1/(SQRT(2*PI())*TRAINING!$R$8))*EXP(-((D80-TRAINING!$R$3)^2)/(2*(TRAINING!$R$8^2)))</f>
        <v>4.2691938231656991E-2</v>
      </c>
      <c r="R80">
        <f>(1/(SQRT(2*PI())*TRAINING!$R$9))*EXP(-((D80-TRAINING!$R$4)^2)/(2*(TRAINING!$R$9^2)))</f>
        <v>3.202065801833482E-2</v>
      </c>
      <c r="S80">
        <f>(1/(SQRT(2*PI())*TRAINING!$S$8))*EXP(-((E80-TRAINING!$S$3)^2)/(2*(TRAINING!$S$8^2)))</f>
        <v>3.5657055057560366E-3</v>
      </c>
      <c r="T80">
        <f>(1/(SQRT(2*PI())*TRAINING!$S$9))*EXP(-((E80-TRAINING!$S$4)^2)/(2*(TRAINING!$S$9^2)))</f>
        <v>2.5951511419773543E-3</v>
      </c>
      <c r="U80">
        <f>(1/(SQRT(2*PI())*TRAINING!$T$8))*EXP(-((F80-TRAINING!$T$3)^2)/(2*(TRAINING!$T$8^2)))</f>
        <v>1.0558988682104626E-2</v>
      </c>
      <c r="V80">
        <f>(1/(SQRT(2*PI())*TRAINING!$T$9))*EXP(-((F80-TRAINING!$T$4)^2)/(2*(TRAINING!$T$9^2)))</f>
        <v>2.954214954463999E-2</v>
      </c>
      <c r="W80">
        <f>(1/(SQRT(2*PI())*TRAINING!$U$8))*EXP(-((G80-TRAINING!$U$3)^2)/(2*(TRAINING!$U$8^2)))</f>
        <v>1.1427217947090951</v>
      </c>
      <c r="X80">
        <f>(1/(SQRT(2*PI())*TRAINING!$U$9))*EXP(-((G80-TRAINING!$U$4)^2)/(2*(TRAINING!$U$9^2)))</f>
        <v>0.81727511757012017</v>
      </c>
      <c r="Y80">
        <f>(1/(SQRT(2*PI())*TRAINING!$V$8))*EXP(-((H80-TRAINING!$V$3)^2)/(2*(TRAINING!$V$8^2)))</f>
        <v>3.039262448519801E-2</v>
      </c>
      <c r="Z80">
        <f>(1/(SQRT(2*PI())*TRAINING!$V$9))*EXP(-((H80-TRAINING!$V$4)^2)/(2*(TRAINING!$V$9^2)))</f>
        <v>2.2753892995124533E-2</v>
      </c>
      <c r="AA80">
        <f>PRODUCT(K80,M80,O80,Q80,S80,U80,W80,Y80)*TRAINING!$L$2</f>
        <v>1.0935688773950121E-12</v>
      </c>
      <c r="AB80">
        <f>PRODUCT(L80,N80,P80,R80,T80,V80,X80,Z80)*TRAINING!$L$3</f>
        <v>3.0301694732268228E-13</v>
      </c>
      <c r="AC80">
        <f t="shared" si="3"/>
        <v>0</v>
      </c>
      <c r="AD80">
        <f t="shared" si="4"/>
        <v>0</v>
      </c>
      <c r="AF80" s="19"/>
      <c r="AG80" t="str">
        <f t="shared" si="5"/>
        <v>FN</v>
      </c>
    </row>
    <row r="81" spans="1:33" x14ac:dyDescent="0.3">
      <c r="A81">
        <v>2</v>
      </c>
      <c r="B81">
        <v>112</v>
      </c>
      <c r="C81">
        <v>66</v>
      </c>
      <c r="D81">
        <v>22</v>
      </c>
      <c r="E81">
        <v>30.5</v>
      </c>
      <c r="F81">
        <v>25</v>
      </c>
      <c r="G81">
        <v>0.307</v>
      </c>
      <c r="H81">
        <v>24</v>
      </c>
      <c r="I81">
        <v>0</v>
      </c>
      <c r="K81">
        <f>(1/(SQRT(2*PI())*TRAINING!$O$8))*EXP(-((A81-TRAINING!$O$3)^2)/(2*(TRAINING!$O$8^2)))</f>
        <v>0.12153525578060927</v>
      </c>
      <c r="L81">
        <f>(1/(SQRT(2*PI())*TRAINING!$O$9))*EXP(-((A81-TRAINING!$O$4)^2)/(2*(TRAINING!$O$9^2)))</f>
        <v>8.041832272231407E-2</v>
      </c>
      <c r="M81">
        <f>(1/(SQRT(2*PI())*TRAINING!$P$8))*EXP(-((B81-TRAINING!$P$3)^2)/(2*(TRAINING!$P$8^2)))</f>
        <v>1.6169390855963448E-2</v>
      </c>
      <c r="N81">
        <f>(1/(SQRT(2*PI())*TRAINING!$P$9))*EXP(-((B81-TRAINING!$P$4)^2)/(2*(TRAINING!$P$9^2)))</f>
        <v>7.6697693060836739E-3</v>
      </c>
      <c r="O81">
        <f>(1/(SQRT(2*PI())*TRAINING!$Q$8))*EXP(-((C81-TRAINING!$Q$3)^2)/(2*(TRAINING!$Q$8^2)))</f>
        <v>3.1219956230797655E-2</v>
      </c>
      <c r="P81">
        <f>(1/(SQRT(2*PI())*TRAINING!$Q$9))*EXP(-((C81-TRAINING!$Q$4)^2)/(2*(TRAINING!$Q$9^2)))</f>
        <v>2.5033349599780073E-2</v>
      </c>
      <c r="Q81">
        <f>(1/(SQRT(2*PI())*TRAINING!$R$8))*EXP(-((D81-TRAINING!$R$3)^2)/(2*(TRAINING!$R$8^2)))</f>
        <v>4.0744248486741262E-2</v>
      </c>
      <c r="R81">
        <f>(1/(SQRT(2*PI())*TRAINING!$R$9))*EXP(-((D81-TRAINING!$R$4)^2)/(2*(TRAINING!$R$9^2)))</f>
        <v>2.9726784897491709E-2</v>
      </c>
      <c r="S81">
        <f>(1/(SQRT(2*PI())*TRAINING!$S$8))*EXP(-((E81-TRAINING!$S$3)^2)/(2*(TRAINING!$S$8^2)))</f>
        <v>3.5657055057560366E-3</v>
      </c>
      <c r="T81">
        <f>(1/(SQRT(2*PI())*TRAINING!$S$9))*EXP(-((E81-TRAINING!$S$4)^2)/(2*(TRAINING!$S$9^2)))</f>
        <v>2.5951511419773543E-3</v>
      </c>
      <c r="U81">
        <f>(1/(SQRT(2*PI())*TRAINING!$T$8))*EXP(-((F81-TRAINING!$T$3)^2)/(2*(TRAINING!$T$8^2)))</f>
        <v>4.0247081753660173E-2</v>
      </c>
      <c r="V81">
        <f>(1/(SQRT(2*PI())*TRAINING!$T$9))*EXP(-((F81-TRAINING!$T$4)^2)/(2*(TRAINING!$T$9^2)))</f>
        <v>1.7743598947740802E-2</v>
      </c>
      <c r="W81">
        <f>(1/(SQRT(2*PI())*TRAINING!$U$8))*EXP(-((G81-TRAINING!$U$3)^2)/(2*(TRAINING!$U$8^2)))</f>
        <v>1.2124129475736358</v>
      </c>
      <c r="X81">
        <f>(1/(SQRT(2*PI())*TRAINING!$U$9))*EXP(-((G81-TRAINING!$U$4)^2)/(2*(TRAINING!$U$9^2)))</f>
        <v>0.88058187598141524</v>
      </c>
      <c r="Y81">
        <f>(1/(SQRT(2*PI())*TRAINING!$V$8))*EXP(-((H81-TRAINING!$V$3)^2)/(2*(TRAINING!$V$8^2)))</f>
        <v>2.7783192496885357E-2</v>
      </c>
      <c r="Z81">
        <f>(1/(SQRT(2*PI())*TRAINING!$V$9))*EXP(-((H81-TRAINING!$V$4)^2)/(2*(TRAINING!$V$9^2)))</f>
        <v>1.8726911646419479E-2</v>
      </c>
      <c r="AA81">
        <f>PRODUCT(K81,M81,O81,Q81,S81,U81,W81,Y81)*TRAINING!$L$2</f>
        <v>7.879095748232602E-12</v>
      </c>
      <c r="AB81">
        <f>PRODUCT(L81,N81,P81,R81,T81,V81,X81,Z81)*TRAINING!$L$3</f>
        <v>1.1850137984468811E-13</v>
      </c>
      <c r="AC81">
        <f t="shared" si="3"/>
        <v>0</v>
      </c>
      <c r="AD81">
        <f t="shared" si="4"/>
        <v>1</v>
      </c>
      <c r="AF81" s="19"/>
      <c r="AG81" t="str">
        <f t="shared" si="5"/>
        <v>TN</v>
      </c>
    </row>
    <row r="82" spans="1:33" x14ac:dyDescent="0.3">
      <c r="A82">
        <v>3</v>
      </c>
      <c r="B82">
        <v>113</v>
      </c>
      <c r="C82">
        <v>44</v>
      </c>
      <c r="D82">
        <v>13</v>
      </c>
      <c r="E82">
        <v>30.5</v>
      </c>
      <c r="F82">
        <v>22.4</v>
      </c>
      <c r="G82">
        <v>0.14000000000000001</v>
      </c>
      <c r="H82">
        <v>22</v>
      </c>
      <c r="I82">
        <v>0</v>
      </c>
      <c r="K82">
        <f>(1/(SQRT(2*PI())*TRAINING!$O$8))*EXP(-((A82-TRAINING!$O$3)^2)/(2*(TRAINING!$O$8^2)))</f>
        <v>0.13150943904653345</v>
      </c>
      <c r="L82">
        <f>(1/(SQRT(2*PI())*TRAINING!$O$9))*EXP(-((A82-TRAINING!$O$4)^2)/(2*(TRAINING!$O$9^2)))</f>
        <v>9.5216033172430034E-2</v>
      </c>
      <c r="M82">
        <f>(1/(SQRT(2*PI())*TRAINING!$P$8))*EXP(-((B82-TRAINING!$P$3)^2)/(2*(TRAINING!$P$8^2)))</f>
        <v>1.61363078998456E-2</v>
      </c>
      <c r="N82">
        <f>(1/(SQRT(2*PI())*TRAINING!$P$9))*EXP(-((B82-TRAINING!$P$4)^2)/(2*(TRAINING!$P$9^2)))</f>
        <v>7.9531127295763785E-3</v>
      </c>
      <c r="O82">
        <f>(1/(SQRT(2*PI())*TRAINING!$Q$8))*EXP(-((C82-TRAINING!$Q$3)^2)/(2*(TRAINING!$Q$8^2)))</f>
        <v>2.2814696622028285E-3</v>
      </c>
      <c r="P82">
        <f>(1/(SQRT(2*PI())*TRAINING!$Q$9))*EXP(-((C82-TRAINING!$Q$4)^2)/(2*(TRAINING!$Q$9^2)))</f>
        <v>7.3095548414223253E-4</v>
      </c>
      <c r="Q82">
        <f>(1/(SQRT(2*PI())*TRAINING!$R$8))*EXP(-((D82-TRAINING!$R$3)^2)/(2*(TRAINING!$R$8^2)))</f>
        <v>1.4929257125093267E-2</v>
      </c>
      <c r="R82">
        <f>(1/(SQRT(2*PI())*TRAINING!$R$9))*EXP(-((D82-TRAINING!$R$4)^2)/(2*(TRAINING!$R$9^2)))</f>
        <v>9.5920354366538473E-3</v>
      </c>
      <c r="S82">
        <f>(1/(SQRT(2*PI())*TRAINING!$S$8))*EXP(-((E82-TRAINING!$S$3)^2)/(2*(TRAINING!$S$8^2)))</f>
        <v>3.5657055057560366E-3</v>
      </c>
      <c r="T82">
        <f>(1/(SQRT(2*PI())*TRAINING!$S$9))*EXP(-((E82-TRAINING!$S$4)^2)/(2*(TRAINING!$S$9^2)))</f>
        <v>2.5951511419773543E-3</v>
      </c>
      <c r="U82">
        <f>(1/(SQRT(2*PI())*TRAINING!$T$8))*EXP(-((F82-TRAINING!$T$3)^2)/(2*(TRAINING!$T$8^2)))</f>
        <v>2.5836705858219657E-2</v>
      </c>
      <c r="V82">
        <f>(1/(SQRT(2*PI())*TRAINING!$T$9))*EXP(-((F82-TRAINING!$T$4)^2)/(2*(TRAINING!$T$9^2)))</f>
        <v>8.8274736739188606E-3</v>
      </c>
      <c r="W82">
        <f>(1/(SQRT(2*PI())*TRAINING!$U$8))*EXP(-((G82-TRAINING!$U$3)^2)/(2*(TRAINING!$U$8^2)))</f>
        <v>0.82346567325880016</v>
      </c>
      <c r="X82">
        <f>(1/(SQRT(2*PI())*TRAINING!$U$9))*EXP(-((G82-TRAINING!$U$4)^2)/(2*(TRAINING!$U$9^2)))</f>
        <v>0.5784475196741915</v>
      </c>
      <c r="Y82">
        <f>(1/(SQRT(2*PI())*TRAINING!$V$8))*EXP(-((H82-TRAINING!$V$3)^2)/(2*(TRAINING!$V$8^2)))</f>
        <v>2.4686919742992346E-2</v>
      </c>
      <c r="Z82">
        <f>(1/(SQRT(2*PI())*TRAINING!$V$9))*EXP(-((H82-TRAINING!$V$4)^2)/(2*(TRAINING!$V$9^2)))</f>
        <v>1.4904761570265752E-2</v>
      </c>
      <c r="AA82">
        <f>PRODUCT(K82,M82,O82,Q82,S82,U82,W82,Y82)*TRAINING!$L$2</f>
        <v>8.8262915314223285E-14</v>
      </c>
      <c r="AB82">
        <f>PRODUCT(L82,N82,P82,R82,T82,V82,X82,Z82)*TRAINING!$L$3</f>
        <v>3.5654629389711237E-16</v>
      </c>
      <c r="AC82">
        <f t="shared" si="3"/>
        <v>0</v>
      </c>
      <c r="AD82">
        <f t="shared" si="4"/>
        <v>1</v>
      </c>
      <c r="AF82" s="19"/>
      <c r="AG82" t="str">
        <f t="shared" si="5"/>
        <v>TN</v>
      </c>
    </row>
    <row r="83" spans="1:33" x14ac:dyDescent="0.3">
      <c r="A83">
        <v>2</v>
      </c>
      <c r="B83">
        <v>74</v>
      </c>
      <c r="C83">
        <v>72</v>
      </c>
      <c r="D83">
        <v>23</v>
      </c>
      <c r="E83">
        <v>30.5</v>
      </c>
      <c r="F83">
        <v>32</v>
      </c>
      <c r="G83">
        <v>0.10199999999999999</v>
      </c>
      <c r="H83">
        <v>22</v>
      </c>
      <c r="I83">
        <v>0</v>
      </c>
      <c r="K83">
        <f>(1/(SQRT(2*PI())*TRAINING!$O$8))*EXP(-((A83-TRAINING!$O$3)^2)/(2*(TRAINING!$O$8^2)))</f>
        <v>0.12153525578060927</v>
      </c>
      <c r="L83">
        <f>(1/(SQRT(2*PI())*TRAINING!$O$9))*EXP(-((A83-TRAINING!$O$4)^2)/(2*(TRAINING!$O$9^2)))</f>
        <v>8.041832272231407E-2</v>
      </c>
      <c r="M83">
        <f>(1/(SQRT(2*PI())*TRAINING!$P$8))*EXP(-((B83-TRAINING!$P$3)^2)/(2*(TRAINING!$P$8^2)))</f>
        <v>5.1684329897009338E-3</v>
      </c>
      <c r="N83">
        <f>(1/(SQRT(2*PI())*TRAINING!$P$9))*EXP(-((B83-TRAINING!$P$4)^2)/(2*(TRAINING!$P$9^2)))</f>
        <v>8.0903646931685064E-4</v>
      </c>
      <c r="O83">
        <f>(1/(SQRT(2*PI())*TRAINING!$Q$8))*EXP(-((C83-TRAINING!$Q$3)^2)/(2*(TRAINING!$Q$8^2)))</f>
        <v>3.4215224205554493E-2</v>
      </c>
      <c r="P83">
        <f>(1/(SQRT(2*PI())*TRAINING!$Q$9))*EXP(-((C83-TRAINING!$Q$4)^2)/(2*(TRAINING!$Q$9^2)))</f>
        <v>3.3852206664402869E-2</v>
      </c>
      <c r="Q83">
        <f>(1/(SQRT(2*PI())*TRAINING!$R$8))*EXP(-((D83-TRAINING!$R$3)^2)/(2*(TRAINING!$R$8^2)))</f>
        <v>4.2691938231656991E-2</v>
      </c>
      <c r="R83">
        <f>(1/(SQRT(2*PI())*TRAINING!$R$9))*EXP(-((D83-TRAINING!$R$4)^2)/(2*(TRAINING!$R$9^2)))</f>
        <v>3.202065801833482E-2</v>
      </c>
      <c r="S83">
        <f>(1/(SQRT(2*PI())*TRAINING!$S$8))*EXP(-((E83-TRAINING!$S$3)^2)/(2*(TRAINING!$S$8^2)))</f>
        <v>3.5657055057560366E-3</v>
      </c>
      <c r="T83">
        <f>(1/(SQRT(2*PI())*TRAINING!$S$9))*EXP(-((E83-TRAINING!$S$4)^2)/(2*(TRAINING!$S$9^2)))</f>
        <v>2.5951511419773543E-3</v>
      </c>
      <c r="U83">
        <f>(1/(SQRT(2*PI())*TRAINING!$T$8))*EXP(-((F83-TRAINING!$T$3)^2)/(2*(TRAINING!$T$8^2)))</f>
        <v>6.0345164388641175E-2</v>
      </c>
      <c r="V83">
        <f>(1/(SQRT(2*PI())*TRAINING!$T$9))*EXP(-((F83-TRAINING!$T$4)^2)/(2*(TRAINING!$T$9^2)))</f>
        <v>5.344431412493849E-2</v>
      </c>
      <c r="W83">
        <f>(1/(SQRT(2*PI())*TRAINING!$U$8))*EXP(-((G83-TRAINING!$U$3)^2)/(2*(TRAINING!$U$8^2)))</f>
        <v>0.72238981952063341</v>
      </c>
      <c r="X83">
        <f>(1/(SQRT(2*PI())*TRAINING!$U$9))*EXP(-((G83-TRAINING!$U$4)^2)/(2*(TRAINING!$U$9^2)))</f>
        <v>0.510181120745966</v>
      </c>
      <c r="Y83">
        <f>(1/(SQRT(2*PI())*TRAINING!$V$8))*EXP(-((H83-TRAINING!$V$3)^2)/(2*(TRAINING!$V$8^2)))</f>
        <v>2.4686919742992346E-2</v>
      </c>
      <c r="Z83">
        <f>(1/(SQRT(2*PI())*TRAINING!$V$9))*EXP(-((H83-TRAINING!$V$4)^2)/(2*(TRAINING!$V$9^2)))</f>
        <v>1.4904761570265752E-2</v>
      </c>
      <c r="AA83">
        <f>PRODUCT(K83,M83,O83,Q83,S83,U83,W83,Y83)*TRAINING!$L$2</f>
        <v>2.2957371233748632E-12</v>
      </c>
      <c r="AB83">
        <f>PRODUCT(L83,N83,P83,R83,T83,V83,X83,Z83)*TRAINING!$L$3</f>
        <v>2.5289069123377892E-14</v>
      </c>
      <c r="AC83">
        <f t="shared" si="3"/>
        <v>0</v>
      </c>
      <c r="AD83">
        <f t="shared" si="4"/>
        <v>1</v>
      </c>
      <c r="AF83" s="19"/>
      <c r="AG83" t="str">
        <f t="shared" si="5"/>
        <v>TN</v>
      </c>
    </row>
    <row r="84" spans="1:33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  <c r="K84">
        <f>(1/(SQRT(2*PI())*TRAINING!$O$8))*EXP(-((A84-TRAINING!$O$3)^2)/(2*(TRAINING!$O$8^2)))</f>
        <v>6.0464208917336747E-2</v>
      </c>
      <c r="L84">
        <f>(1/(SQRT(2*PI())*TRAINING!$O$9))*EXP(-((A84-TRAINING!$O$4)^2)/(2*(TRAINING!$O$9^2)))</f>
        <v>9.055444669307644E-2</v>
      </c>
      <c r="M84">
        <f>(1/(SQRT(2*PI())*TRAINING!$P$8))*EXP(-((B84-TRAINING!$P$3)^2)/(2*(TRAINING!$P$8^2)))</f>
        <v>8.3919485227325098E-3</v>
      </c>
      <c r="N84">
        <f>(1/(SQRT(2*PI())*TRAINING!$P$9))*EXP(-((B84-TRAINING!$P$4)^2)/(2*(TRAINING!$P$9^2)))</f>
        <v>1.6066180642949756E-3</v>
      </c>
      <c r="O84">
        <f>(1/(SQRT(2*PI())*TRAINING!$Q$8))*EXP(-((C84-TRAINING!$Q$3)^2)/(2*(TRAINING!$Q$8^2)))</f>
        <v>2.8724564393455325E-2</v>
      </c>
      <c r="P84">
        <f>(1/(SQRT(2*PI())*TRAINING!$Q$9))*EXP(-((C84-TRAINING!$Q$4)^2)/(2*(TRAINING!$Q$9^2)))</f>
        <v>3.447108098073768E-2</v>
      </c>
      <c r="Q84">
        <f>(1/(SQRT(2*PI())*TRAINING!$R$8))*EXP(-((D84-TRAINING!$R$3)^2)/(2*(TRAINING!$R$8^2)))</f>
        <v>4.5434206234788249E-2</v>
      </c>
      <c r="R84">
        <f>(1/(SQRT(2*PI())*TRAINING!$R$9))*EXP(-((D84-TRAINING!$R$4)^2)/(2*(TRAINING!$R$9^2)))</f>
        <v>3.762856642633168E-2</v>
      </c>
      <c r="S84">
        <f>(1/(SQRT(2*PI())*TRAINING!$S$8))*EXP(-((E84-TRAINING!$S$3)^2)/(2*(TRAINING!$S$8^2)))</f>
        <v>4.1982744760113554E-3</v>
      </c>
      <c r="T84">
        <f>(1/(SQRT(2*PI())*TRAINING!$S$9))*EXP(-((E84-TRAINING!$S$4)^2)/(2*(TRAINING!$S$9^2)))</f>
        <v>3.090946867312796E-3</v>
      </c>
      <c r="U84">
        <f>(1/(SQRT(2*PI())*TRAINING!$T$8))*EXP(-((F84-TRAINING!$T$3)^2)/(2*(TRAINING!$T$8^2)))</f>
        <v>5.914798328766125E-2</v>
      </c>
      <c r="V84">
        <f>(1/(SQRT(2*PI())*TRAINING!$T$9))*EXP(-((F84-TRAINING!$T$4)^2)/(2*(TRAINING!$T$9^2)))</f>
        <v>3.9948552795975631E-2</v>
      </c>
      <c r="W84">
        <f>(1/(SQRT(2*PI())*TRAINING!$U$8))*EXP(-((G84-TRAINING!$U$3)^2)/(2*(TRAINING!$U$8^2)))</f>
        <v>0.71794699996165978</v>
      </c>
      <c r="X84">
        <f>(1/(SQRT(2*PI())*TRAINING!$U$9))*EXP(-((G84-TRAINING!$U$4)^2)/(2*(TRAINING!$U$9^2)))</f>
        <v>0.9241535551423784</v>
      </c>
      <c r="Y84">
        <f>(1/(SQRT(2*PI())*TRAINING!$V$8))*EXP(-((H84-TRAINING!$V$3)^2)/(2*(TRAINING!$V$8^2)))</f>
        <v>3.1100021343029624E-2</v>
      </c>
      <c r="Z84">
        <f>(1/(SQRT(2*PI())*TRAINING!$V$9))*EXP(-((H84-TRAINING!$V$4)^2)/(2*(TRAINING!$V$9^2)))</f>
        <v>3.6452706856357306E-2</v>
      </c>
      <c r="AA84">
        <f>PRODUCT(K84,M84,O84,Q84,S84,U84,W84,Y84)*TRAINING!$L$2</f>
        <v>2.3940360279726132E-12</v>
      </c>
      <c r="AB84">
        <f>PRODUCT(L84,N84,P84,R84,T84,V84,X84,Z84)*TRAINING!$L$3</f>
        <v>2.6689499634250788E-13</v>
      </c>
      <c r="AC84">
        <f t="shared" si="3"/>
        <v>0</v>
      </c>
      <c r="AD84">
        <f t="shared" si="4"/>
        <v>1</v>
      </c>
      <c r="AF84" s="19"/>
      <c r="AG84" t="str">
        <f t="shared" si="5"/>
        <v>TN</v>
      </c>
    </row>
    <row r="85" spans="1:33" x14ac:dyDescent="0.3">
      <c r="A85">
        <v>0</v>
      </c>
      <c r="B85">
        <v>101</v>
      </c>
      <c r="C85">
        <v>65</v>
      </c>
      <c r="D85">
        <v>28</v>
      </c>
      <c r="E85">
        <v>30.5</v>
      </c>
      <c r="F85">
        <v>24.6</v>
      </c>
      <c r="G85">
        <v>0.23699999999999999</v>
      </c>
      <c r="H85">
        <v>22</v>
      </c>
      <c r="I85">
        <v>0</v>
      </c>
      <c r="K85">
        <f>(1/(SQRT(2*PI())*TRAINING!$O$8))*EXP(-((A85-TRAINING!$O$3)^2)/(2*(TRAINING!$O$8^2)))</f>
        <v>7.4791087346963395E-2</v>
      </c>
      <c r="L85">
        <f>(1/(SQRT(2*PI())*TRAINING!$O$9))*EXP(-((A85-TRAINING!$O$4)^2)/(2*(TRAINING!$O$9^2)))</f>
        <v>4.6140116319387747E-2</v>
      </c>
      <c r="M85">
        <f>(1/(SQRT(2*PI())*TRAINING!$P$8))*EXP(-((B85-TRAINING!$P$3)^2)/(2*(TRAINING!$P$8^2)))</f>
        <v>1.4837084115570767E-2</v>
      </c>
      <c r="N85">
        <f>(1/(SQRT(2*PI())*TRAINING!$P$9))*EXP(-((B85-TRAINING!$P$4)^2)/(2*(TRAINING!$P$9^2)))</f>
        <v>4.7621104471177057E-3</v>
      </c>
      <c r="O85">
        <f>(1/(SQRT(2*PI())*TRAINING!$Q$8))*EXP(-((C85-TRAINING!$Q$3)^2)/(2*(TRAINING!$Q$8^2)))</f>
        <v>2.996038147484471E-2</v>
      </c>
      <c r="P85">
        <f>(1/(SQRT(2*PI())*TRAINING!$Q$9))*EXP(-((C85-TRAINING!$Q$4)^2)/(2*(TRAINING!$Q$9^2)))</f>
        <v>2.315775778345661E-2</v>
      </c>
      <c r="Q85">
        <f>(1/(SQRT(2*PI())*TRAINING!$R$8))*EXP(-((D85-TRAINING!$R$3)^2)/(2*(TRAINING!$R$8^2)))</f>
        <v>4.4385350375773444E-2</v>
      </c>
      <c r="R85">
        <f>(1/(SQRT(2*PI())*TRAINING!$R$9))*EXP(-((D85-TRAINING!$R$4)^2)/(2*(TRAINING!$R$9^2)))</f>
        <v>3.9805494575232289E-2</v>
      </c>
      <c r="S85">
        <f>(1/(SQRT(2*PI())*TRAINING!$S$8))*EXP(-((E85-TRAINING!$S$3)^2)/(2*(TRAINING!$S$8^2)))</f>
        <v>3.5657055057560366E-3</v>
      </c>
      <c r="T85">
        <f>(1/(SQRT(2*PI())*TRAINING!$S$9))*EXP(-((E85-TRAINING!$S$4)^2)/(2*(TRAINING!$S$9^2)))</f>
        <v>2.5951511419773543E-3</v>
      </c>
      <c r="U85">
        <f>(1/(SQRT(2*PI())*TRAINING!$T$8))*EXP(-((F85-TRAINING!$T$3)^2)/(2*(TRAINING!$T$8^2)))</f>
        <v>3.7984169705834972E-2</v>
      </c>
      <c r="V85">
        <f>(1/(SQRT(2*PI())*TRAINING!$T$9))*EXP(-((F85-TRAINING!$T$4)^2)/(2*(TRAINING!$T$9^2)))</f>
        <v>1.6099555778375265E-2</v>
      </c>
      <c r="W85">
        <f>(1/(SQRT(2*PI())*TRAINING!$U$8))*EXP(-((G85-TRAINING!$U$3)^2)/(2*(TRAINING!$U$8^2)))</f>
        <v>1.0702395332313013</v>
      </c>
      <c r="X85">
        <f>(1/(SQRT(2*PI())*TRAINING!$U$9))*EXP(-((G85-TRAINING!$U$4)^2)/(2*(TRAINING!$U$9^2)))</f>
        <v>0.75789906889626224</v>
      </c>
      <c r="Y85">
        <f>(1/(SQRT(2*PI())*TRAINING!$V$8))*EXP(-((H85-TRAINING!$V$3)^2)/(2*(TRAINING!$V$8^2)))</f>
        <v>2.4686919742992346E-2</v>
      </c>
      <c r="Z85">
        <f>(1/(SQRT(2*PI())*TRAINING!$V$9))*EXP(-((H85-TRAINING!$V$4)^2)/(2*(TRAINING!$V$9^2)))</f>
        <v>1.4904761570265752E-2</v>
      </c>
      <c r="AA85">
        <f>PRODUCT(K85,M85,O85,Q85,S85,U85,W85,Y85)*TRAINING!$L$2</f>
        <v>3.4431080981786165E-12</v>
      </c>
      <c r="AB85">
        <f>PRODUCT(L85,N85,P85,R85,T85,V85,X85,Z85)*TRAINING!$L$3</f>
        <v>3.2501960130729355E-14</v>
      </c>
      <c r="AC85">
        <f t="shared" si="3"/>
        <v>0</v>
      </c>
      <c r="AD85">
        <f t="shared" si="4"/>
        <v>1</v>
      </c>
      <c r="AF85" s="19"/>
      <c r="AG85" t="str">
        <f t="shared" si="5"/>
        <v>TN</v>
      </c>
    </row>
    <row r="86" spans="1:33" x14ac:dyDescent="0.3">
      <c r="A86">
        <v>5</v>
      </c>
      <c r="B86">
        <v>137</v>
      </c>
      <c r="C86">
        <v>108</v>
      </c>
      <c r="D86">
        <v>23</v>
      </c>
      <c r="E86">
        <v>30.5</v>
      </c>
      <c r="F86">
        <v>48.8</v>
      </c>
      <c r="G86">
        <v>0.22700000000000001</v>
      </c>
      <c r="H86">
        <v>37</v>
      </c>
      <c r="I86">
        <v>1</v>
      </c>
      <c r="K86">
        <f>(1/(SQRT(2*PI())*TRAINING!$O$8))*EXP(-((A86-TRAINING!$O$3)^2)/(2*(TRAINING!$O$8^2)))</f>
        <v>0.11094891947307506</v>
      </c>
      <c r="L86">
        <f>(1/(SQRT(2*PI())*TRAINING!$O$9))*EXP(-((A86-TRAINING!$O$4)^2)/(2*(TRAINING!$O$9^2)))</f>
        <v>0.1073628550745119</v>
      </c>
      <c r="M86">
        <f>(1/(SQRT(2*PI())*TRAINING!$P$8))*EXP(-((B86-TRAINING!$P$3)^2)/(2*(TRAINING!$P$8^2)))</f>
        <v>9.3806228289489875E-3</v>
      </c>
      <c r="N86">
        <f>(1/(SQRT(2*PI())*TRAINING!$P$9))*EXP(-((B86-TRAINING!$P$4)^2)/(2*(TRAINING!$P$9^2)))</f>
        <v>1.335254338070632E-2</v>
      </c>
      <c r="O86">
        <f>(1/(SQRT(2*PI())*TRAINING!$Q$8))*EXP(-((C86-TRAINING!$Q$3)^2)/(2*(TRAINING!$Q$8^2)))</f>
        <v>2.1985086054441297E-4</v>
      </c>
      <c r="P86">
        <f>(1/(SQRT(2*PI())*TRAINING!$Q$9))*EXP(-((C86-TRAINING!$Q$4)^2)/(2*(TRAINING!$Q$9^2)))</f>
        <v>5.3554133882836993E-4</v>
      </c>
      <c r="Q86">
        <f>(1/(SQRT(2*PI())*TRAINING!$R$8))*EXP(-((D86-TRAINING!$R$3)^2)/(2*(TRAINING!$R$8^2)))</f>
        <v>4.2691938231656991E-2</v>
      </c>
      <c r="R86">
        <f>(1/(SQRT(2*PI())*TRAINING!$R$9))*EXP(-((D86-TRAINING!$R$4)^2)/(2*(TRAINING!$R$9^2)))</f>
        <v>3.202065801833482E-2</v>
      </c>
      <c r="S86">
        <f>(1/(SQRT(2*PI())*TRAINING!$S$8))*EXP(-((E86-TRAINING!$S$3)^2)/(2*(TRAINING!$S$8^2)))</f>
        <v>3.5657055057560366E-3</v>
      </c>
      <c r="T86">
        <f>(1/(SQRT(2*PI())*TRAINING!$S$9))*EXP(-((E86-TRAINING!$S$4)^2)/(2*(TRAINING!$S$9^2)))</f>
        <v>2.5951511419773543E-3</v>
      </c>
      <c r="U86">
        <f>(1/(SQRT(2*PI())*TRAINING!$T$8))*EXP(-((F86-TRAINING!$T$3)^2)/(2*(TRAINING!$T$8^2)))</f>
        <v>1.4649303718494273E-3</v>
      </c>
      <c r="V86">
        <f>(1/(SQRT(2*PI())*TRAINING!$T$9))*EXP(-((F86-TRAINING!$T$4)^2)/(2*(TRAINING!$T$9^2)))</f>
        <v>7.4005742568554363E-3</v>
      </c>
      <c r="W86">
        <f>(1/(SQRT(2*PI())*TRAINING!$U$8))*EXP(-((G86-TRAINING!$U$3)^2)/(2*(TRAINING!$U$8^2)))</f>
        <v>1.0467131895464297</v>
      </c>
      <c r="X86">
        <f>(1/(SQRT(2*PI())*TRAINING!$U$9))*EXP(-((G86-TRAINING!$U$4)^2)/(2*(TRAINING!$U$9^2)))</f>
        <v>0.73954878479842112</v>
      </c>
      <c r="Y86">
        <f>(1/(SQRT(2*PI())*TRAINING!$V$8))*EXP(-((H86-TRAINING!$V$3)^2)/(2*(TRAINING!$V$8^2)))</f>
        <v>2.9978320878549729E-2</v>
      </c>
      <c r="Z86">
        <f>(1/(SQRT(2*PI())*TRAINING!$V$9))*EXP(-((H86-TRAINING!$V$4)^2)/(2*(TRAINING!$V$9^2)))</f>
        <v>3.6491252481358191E-2</v>
      </c>
      <c r="AA86">
        <f>PRODUCT(K86,M86,O86,Q86,S86,U86,W86,Y86)*TRAINING!$L$2</f>
        <v>1.0439879979851788E-15</v>
      </c>
      <c r="AB86">
        <f>PRODUCT(L86,N86,P86,R86,T86,V86,X86,Z86)*TRAINING!$L$3</f>
        <v>4.3321540698904036E-15</v>
      </c>
      <c r="AC86">
        <f t="shared" si="3"/>
        <v>1</v>
      </c>
      <c r="AD86">
        <f t="shared" si="4"/>
        <v>1</v>
      </c>
      <c r="AF86" s="19"/>
      <c r="AG86" t="str">
        <f t="shared" si="5"/>
        <v>TP</v>
      </c>
    </row>
    <row r="87" spans="1:33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  <c r="K87">
        <f>(1/(SQRT(2*PI())*TRAINING!$O$8))*EXP(-((A87-TRAINING!$O$3)^2)/(2*(TRAINING!$O$8^2)))</f>
        <v>0.12153525578060927</v>
      </c>
      <c r="L87">
        <f>(1/(SQRT(2*PI())*TRAINING!$O$9))*EXP(-((A87-TRAINING!$O$4)^2)/(2*(TRAINING!$O$9^2)))</f>
        <v>8.041832272231407E-2</v>
      </c>
      <c r="M87">
        <f>(1/(SQRT(2*PI())*TRAINING!$P$8))*EXP(-((B87-TRAINING!$P$3)^2)/(2*(TRAINING!$P$8^2)))</f>
        <v>1.6155871312478309E-2</v>
      </c>
      <c r="N87">
        <f>(1/(SQRT(2*PI())*TRAINING!$P$9))*EXP(-((B87-TRAINING!$P$4)^2)/(2*(TRAINING!$P$9^2)))</f>
        <v>7.1079069691615893E-3</v>
      </c>
      <c r="O87">
        <f>(1/(SQRT(2*PI())*TRAINING!$Q$8))*EXP(-((C87-TRAINING!$Q$3)^2)/(2*(TRAINING!$Q$8^2)))</f>
        <v>3.3247489640615996E-2</v>
      </c>
      <c r="P87">
        <f>(1/(SQRT(2*PI())*TRAINING!$Q$9))*EXP(-((C87-TRAINING!$Q$4)^2)/(2*(TRAINING!$Q$9^2)))</f>
        <v>3.5147830490959445E-2</v>
      </c>
      <c r="Q87">
        <f>(1/(SQRT(2*PI())*TRAINING!$R$8))*EXP(-((D87-TRAINING!$R$3)^2)/(2*(TRAINING!$R$8^2)))</f>
        <v>4.3024675549764052E-2</v>
      </c>
      <c r="R87">
        <f>(1/(SQRT(2*PI())*TRAINING!$R$9))*EXP(-((D87-TRAINING!$R$4)^2)/(2*(TRAINING!$R$9^2)))</f>
        <v>4.0314921765277678E-2</v>
      </c>
      <c r="S87">
        <f>(1/(SQRT(2*PI())*TRAINING!$S$8))*EXP(-((E87-TRAINING!$S$3)^2)/(2*(TRAINING!$S$8^2)))</f>
        <v>3.9052491266197008E-3</v>
      </c>
      <c r="T87">
        <f>(1/(SQRT(2*PI())*TRAINING!$S$9))*EXP(-((E87-TRAINING!$S$4)^2)/(2*(TRAINING!$S$9^2)))</f>
        <v>3.2796867017317348E-3</v>
      </c>
      <c r="U87">
        <f>(1/(SQRT(2*PI())*TRAINING!$T$8))*EXP(-((F87-TRAINING!$T$3)^2)/(2*(TRAINING!$T$8^2)))</f>
        <v>5.9650556109461531E-2</v>
      </c>
      <c r="V87">
        <f>(1/(SQRT(2*PI())*TRAINING!$T$9))*EXP(-((F87-TRAINING!$T$4)^2)/(2*(TRAINING!$T$9^2)))</f>
        <v>5.500479140540257E-2</v>
      </c>
      <c r="W87">
        <f>(1/(SQRT(2*PI())*TRAINING!$U$8))*EXP(-((G87-TRAINING!$U$3)^2)/(2*(TRAINING!$U$8^2)))</f>
        <v>0.90115547800608631</v>
      </c>
      <c r="X87">
        <f>(1/(SQRT(2*PI())*TRAINING!$U$9))*EXP(-((G87-TRAINING!$U$4)^2)/(2*(TRAINING!$U$9^2)))</f>
        <v>1.0177940316705945</v>
      </c>
      <c r="Y87">
        <f>(1/(SQRT(2*PI())*TRAINING!$V$8))*EXP(-((H87-TRAINING!$V$3)^2)/(2*(TRAINING!$V$8^2)))</f>
        <v>3.1451241064801919E-2</v>
      </c>
      <c r="Z87">
        <f>(1/(SQRT(2*PI())*TRAINING!$V$9))*EXP(-((H87-TRAINING!$V$4)^2)/(2*(TRAINING!$V$9^2)))</f>
        <v>2.4768154290602078E-2</v>
      </c>
      <c r="AA87">
        <f>PRODUCT(K87,M87,O87,Q87,S87,U87,W87,Y87)*TRAINING!$L$2</f>
        <v>1.2091471037768753E-11</v>
      </c>
      <c r="AB87">
        <f>PRODUCT(L87,N87,P87,R87,T87,V87,X87,Z87)*TRAINING!$L$3</f>
        <v>1.2523520546011534E-12</v>
      </c>
      <c r="AC87">
        <f t="shared" si="3"/>
        <v>0</v>
      </c>
      <c r="AD87">
        <f t="shared" si="4"/>
        <v>1</v>
      </c>
      <c r="AF87" s="19"/>
      <c r="AG87" t="str">
        <f t="shared" si="5"/>
        <v>TN</v>
      </c>
    </row>
    <row r="88" spans="1:33" x14ac:dyDescent="0.3">
      <c r="A88">
        <v>13</v>
      </c>
      <c r="B88">
        <v>106</v>
      </c>
      <c r="C88">
        <v>72</v>
      </c>
      <c r="D88">
        <v>54</v>
      </c>
      <c r="E88">
        <v>30.5</v>
      </c>
      <c r="F88">
        <v>36.6</v>
      </c>
      <c r="G88">
        <v>0.17799999999999999</v>
      </c>
      <c r="H88">
        <v>45</v>
      </c>
      <c r="I88">
        <v>0</v>
      </c>
      <c r="K88">
        <f>(1/(SQRT(2*PI())*TRAINING!$O$8))*EXP(-((A88-TRAINING!$O$3)^2)/(2*(TRAINING!$O$8^2)))</f>
        <v>7.1101563058902962E-4</v>
      </c>
      <c r="L88">
        <f>(1/(SQRT(2*PI())*TRAINING!$O$9))*EXP(-((A88-TRAINING!$O$4)^2)/(2*(TRAINING!$O$9^2)))</f>
        <v>9.5180402541082624E-3</v>
      </c>
      <c r="M88">
        <f>(1/(SQRT(2*PI())*TRAINING!$P$8))*EXP(-((B88-TRAINING!$P$3)^2)/(2*(TRAINING!$P$8^2)))</f>
        <v>1.5813749130868766E-2</v>
      </c>
      <c r="N88">
        <f>(1/(SQRT(2*PI())*TRAINING!$P$9))*EXP(-((B88-TRAINING!$P$4)^2)/(2*(TRAINING!$P$9^2)))</f>
        <v>6.0191758743566E-3</v>
      </c>
      <c r="O88">
        <f>(1/(SQRT(2*PI())*TRAINING!$Q$8))*EXP(-((C88-TRAINING!$Q$3)^2)/(2*(TRAINING!$Q$8^2)))</f>
        <v>3.4215224205554493E-2</v>
      </c>
      <c r="P88">
        <f>(1/(SQRT(2*PI())*TRAINING!$Q$9))*EXP(-((C88-TRAINING!$Q$4)^2)/(2*(TRAINING!$Q$9^2)))</f>
        <v>3.3852206664402869E-2</v>
      </c>
      <c r="Q88">
        <f>(1/(SQRT(2*PI())*TRAINING!$R$8))*EXP(-((D88-TRAINING!$R$3)^2)/(2*(TRAINING!$R$8^2)))</f>
        <v>2.915720534095908E-4</v>
      </c>
      <c r="R88">
        <f>(1/(SQRT(2*PI())*TRAINING!$R$9))*EXP(-((D88-TRAINING!$R$4)^2)/(2*(TRAINING!$R$9^2)))</f>
        <v>1.9681673994224333E-3</v>
      </c>
      <c r="S88">
        <f>(1/(SQRT(2*PI())*TRAINING!$S$8))*EXP(-((E88-TRAINING!$S$3)^2)/(2*(TRAINING!$S$8^2)))</f>
        <v>3.5657055057560366E-3</v>
      </c>
      <c r="T88">
        <f>(1/(SQRT(2*PI())*TRAINING!$S$9))*EXP(-((E88-TRAINING!$S$4)^2)/(2*(TRAINING!$S$9^2)))</f>
        <v>2.5951511419773543E-3</v>
      </c>
      <c r="U88">
        <f>(1/(SQRT(2*PI())*TRAINING!$T$8))*EXP(-((F88-TRAINING!$T$3)^2)/(2*(TRAINING!$T$8^2)))</f>
        <v>4.2110851491673797E-2</v>
      </c>
      <c r="V88">
        <f>(1/(SQRT(2*PI())*TRAINING!$T$9))*EXP(-((F88-TRAINING!$T$4)^2)/(2*(TRAINING!$T$9^2)))</f>
        <v>5.9514091927754045E-2</v>
      </c>
      <c r="W88">
        <f>(1/(SQRT(2*PI())*TRAINING!$U$8))*EXP(-((G88-TRAINING!$U$3)^2)/(2*(TRAINING!$U$8^2)))</f>
        <v>0.92386182433686526</v>
      </c>
      <c r="X88">
        <f>(1/(SQRT(2*PI())*TRAINING!$U$9))*EXP(-((G88-TRAINING!$U$4)^2)/(2*(TRAINING!$U$9^2)))</f>
        <v>0.64860431645841476</v>
      </c>
      <c r="Y88">
        <f>(1/(SQRT(2*PI())*TRAINING!$V$8))*EXP(-((H88-TRAINING!$V$3)^2)/(2*(TRAINING!$V$8^2)))</f>
        <v>1.7306831245760355E-2</v>
      </c>
      <c r="Z88">
        <f>(1/(SQRT(2*PI())*TRAINING!$V$9))*EXP(-((H88-TRAINING!$V$4)^2)/(2*(TRAINING!$V$9^2)))</f>
        <v>2.7220522469493365E-2</v>
      </c>
      <c r="AA88">
        <f>PRODUCT(K88,M88,O88,Q88,S88,U88,W88,Y88)*TRAINING!$L$2</f>
        <v>1.7559518815983929E-16</v>
      </c>
      <c r="AB88">
        <f>PRODUCT(L88,N88,P88,R88,T88,V88,X88,Z88)*TRAINING!$L$3</f>
        <v>3.5389242274155011E-15</v>
      </c>
      <c r="AC88">
        <f t="shared" si="3"/>
        <v>1</v>
      </c>
      <c r="AD88">
        <f t="shared" si="4"/>
        <v>0</v>
      </c>
      <c r="AF88" s="19"/>
      <c r="AG88" t="str">
        <f t="shared" si="5"/>
        <v>FP</v>
      </c>
    </row>
    <row r="89" spans="1:33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  <c r="K89">
        <f>(1/(SQRT(2*PI())*TRAINING!$O$8))*EXP(-((A89-TRAINING!$O$3)^2)/(2*(TRAINING!$O$8^2)))</f>
        <v>0.12153525578060927</v>
      </c>
      <c r="L89">
        <f>(1/(SQRT(2*PI())*TRAINING!$O$9))*EXP(-((A89-TRAINING!$O$4)^2)/(2*(TRAINING!$O$9^2)))</f>
        <v>8.041832272231407E-2</v>
      </c>
      <c r="M89">
        <f>(1/(SQRT(2*PI())*TRAINING!$P$8))*EXP(-((B89-TRAINING!$P$3)^2)/(2*(TRAINING!$P$8^2)))</f>
        <v>1.4577030200080695E-2</v>
      </c>
      <c r="N89">
        <f>(1/(SQRT(2*PI())*TRAINING!$P$9))*EXP(-((B89-TRAINING!$P$4)^2)/(2*(TRAINING!$P$9^2)))</f>
        <v>4.5281526342230783E-3</v>
      </c>
      <c r="O89">
        <f>(1/(SQRT(2*PI())*TRAINING!$Q$8))*EXP(-((C89-TRAINING!$Q$3)^2)/(2*(TRAINING!$Q$8^2)))</f>
        <v>3.3155539986898921E-2</v>
      </c>
      <c r="P89">
        <f>(1/(SQRT(2*PI())*TRAINING!$Q$9))*EXP(-((C89-TRAINING!$Q$4)^2)/(2*(TRAINING!$Q$9^2)))</f>
        <v>2.8569142426681692E-2</v>
      </c>
      <c r="Q89">
        <f>(1/(SQRT(2*PI())*TRAINING!$R$8))*EXP(-((D89-TRAINING!$R$3)^2)/(2*(TRAINING!$R$8^2)))</f>
        <v>4.5082105295013108E-2</v>
      </c>
      <c r="R89">
        <f>(1/(SQRT(2*PI())*TRAINING!$R$9))*EXP(-((D89-TRAINING!$R$4)^2)/(2*(TRAINING!$R$9^2)))</f>
        <v>3.6025923169209731E-2</v>
      </c>
      <c r="S89">
        <f>(1/(SQRT(2*PI())*TRAINING!$S$8))*EXP(-((E89-TRAINING!$S$3)^2)/(2*(TRAINING!$S$8^2)))</f>
        <v>4.1982744760113554E-3</v>
      </c>
      <c r="T89">
        <f>(1/(SQRT(2*PI())*TRAINING!$S$9))*EXP(-((E89-TRAINING!$S$4)^2)/(2*(TRAINING!$S$9^2)))</f>
        <v>3.090946867312796E-3</v>
      </c>
      <c r="U89">
        <f>(1/(SQRT(2*PI())*TRAINING!$T$8))*EXP(-((F89-TRAINING!$T$3)^2)/(2*(TRAINING!$T$8^2)))</f>
        <v>3.1400670836407026E-2</v>
      </c>
      <c r="V89">
        <f>(1/(SQRT(2*PI())*TRAINING!$T$9))*EXP(-((F89-TRAINING!$T$4)^2)/(2*(TRAINING!$T$9^2)))</f>
        <v>5.3938367078891609E-2</v>
      </c>
      <c r="W89">
        <f>(1/(SQRT(2*PI())*TRAINING!$U$8))*EXP(-((G89-TRAINING!$U$3)^2)/(2*(TRAINING!$U$8^2)))</f>
        <v>1.2395557999075988</v>
      </c>
      <c r="X89">
        <f>(1/(SQRT(2*PI())*TRAINING!$U$9))*EXP(-((G89-TRAINING!$U$4)^2)/(2*(TRAINING!$U$9^2)))</f>
        <v>0.90807894215456608</v>
      </c>
      <c r="Y89">
        <f>(1/(SQRT(2*PI())*TRAINING!$V$8))*EXP(-((H89-TRAINING!$V$3)^2)/(2*(TRAINING!$V$8^2)))</f>
        <v>3.039262448519801E-2</v>
      </c>
      <c r="Z89">
        <f>(1/(SQRT(2*PI())*TRAINING!$V$9))*EXP(-((H89-TRAINING!$V$4)^2)/(2*(TRAINING!$V$9^2)))</f>
        <v>2.2753892995124533E-2</v>
      </c>
      <c r="AA89">
        <f>PRODUCT(K89,M89,O89,Q89,S89,U89,W89,Y89)*TRAINING!$L$2</f>
        <v>8.5752131732169132E-12</v>
      </c>
      <c r="AB89">
        <f>PRODUCT(L89,N89,P89,R89,T89,V89,X89,Z89)*TRAINING!$L$3</f>
        <v>4.3897112970381414E-13</v>
      </c>
      <c r="AC89">
        <f t="shared" si="3"/>
        <v>0</v>
      </c>
      <c r="AD89">
        <f t="shared" si="4"/>
        <v>1</v>
      </c>
      <c r="AF89" s="19"/>
      <c r="AG89" t="str">
        <f t="shared" si="5"/>
        <v>TN</v>
      </c>
    </row>
    <row r="90" spans="1:33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  <c r="K90">
        <f>(1/(SQRT(2*PI())*TRAINING!$O$8))*EXP(-((A90-TRAINING!$O$3)^2)/(2*(TRAINING!$O$8^2)))</f>
        <v>6.7466942956348889E-5</v>
      </c>
      <c r="L90">
        <f>(1/(SQRT(2*PI())*TRAINING!$O$9))*EXP(-((A90-TRAINING!$O$4)^2)/(2*(TRAINING!$O$9^2)))</f>
        <v>2.5133346110246695E-3</v>
      </c>
      <c r="M90">
        <f>(1/(SQRT(2*PI())*TRAINING!$P$8))*EXP(-((B90-TRAINING!$P$3)^2)/(2*(TRAINING!$P$8^2)))</f>
        <v>9.778205183769581E-3</v>
      </c>
      <c r="N90">
        <f>(1/(SQRT(2*PI())*TRAINING!$P$9))*EXP(-((B90-TRAINING!$P$4)^2)/(2*(TRAINING!$P$9^2)))</f>
        <v>1.3245132247605894E-2</v>
      </c>
      <c r="O90">
        <f>(1/(SQRT(2*PI())*TRAINING!$Q$8))*EXP(-((C90-TRAINING!$Q$3)^2)/(2*(TRAINING!$Q$8^2)))</f>
        <v>3.4183653072486359E-2</v>
      </c>
      <c r="P90">
        <f>(1/(SQRT(2*PI())*TRAINING!$Q$9))*EXP(-((C90-TRAINING!$Q$4)^2)/(2*(TRAINING!$Q$9^2)))</f>
        <v>3.159268547546501E-2</v>
      </c>
      <c r="Q90">
        <f>(1/(SQRT(2*PI())*TRAINING!$R$8))*EXP(-((D90-TRAINING!$R$3)^2)/(2*(TRAINING!$R$8^2)))</f>
        <v>3.6253492357915126E-2</v>
      </c>
      <c r="R90">
        <f>(1/(SQRT(2*PI())*TRAINING!$R$9))*EXP(-((D90-TRAINING!$R$4)^2)/(2*(TRAINING!$R$9^2)))</f>
        <v>3.937990805069122E-2</v>
      </c>
      <c r="S90">
        <f>(1/(SQRT(2*PI())*TRAINING!$S$8))*EXP(-((E90-TRAINING!$S$3)^2)/(2*(TRAINING!$S$8^2)))</f>
        <v>4.1192704865141158E-3</v>
      </c>
      <c r="T90">
        <f>(1/(SQRT(2*PI())*TRAINING!$S$9))*EXP(-((E90-TRAINING!$S$4)^2)/(2*(TRAINING!$S$9^2)))</f>
        <v>3.2910696202043902E-3</v>
      </c>
      <c r="U90">
        <f>(1/(SQRT(2*PI())*TRAINING!$T$8))*EXP(-((F90-TRAINING!$T$3)^2)/(2*(TRAINING!$T$8^2)))</f>
        <v>3.9302429119606783E-2</v>
      </c>
      <c r="V90">
        <f>(1/(SQRT(2*PI())*TRAINING!$T$9))*EXP(-((F90-TRAINING!$T$4)^2)/(2*(TRAINING!$T$9^2)))</f>
        <v>5.8464522342419632E-2</v>
      </c>
      <c r="W90">
        <f>(1/(SQRT(2*PI())*TRAINING!$U$8))*EXP(-((G90-TRAINING!$U$3)^2)/(2*(TRAINING!$U$8^2)))</f>
        <v>0.85805569779848878</v>
      </c>
      <c r="X90">
        <f>(1/(SQRT(2*PI())*TRAINING!$U$9))*EXP(-((G90-TRAINING!$U$4)^2)/(2*(TRAINING!$U$9^2)))</f>
        <v>0.60230276746342992</v>
      </c>
      <c r="Y90">
        <f>(1/(SQRT(2*PI())*TRAINING!$V$8))*EXP(-((H90-TRAINING!$V$3)^2)/(2*(TRAINING!$V$8^2)))</f>
        <v>2.0718522200304627E-2</v>
      </c>
      <c r="Z90">
        <f>(1/(SQRT(2*PI())*TRAINING!$V$9))*EXP(-((H90-TRAINING!$V$4)^2)/(2*(TRAINING!$V$9^2)))</f>
        <v>3.0799729536203371E-2</v>
      </c>
      <c r="AA90">
        <f>PRODUCT(K90,M90,O90,Q90,S90,U90,W90,Y90)*TRAINING!$L$2</f>
        <v>1.5342697214444312E-15</v>
      </c>
      <c r="AB90">
        <f>PRODUCT(L90,N90,P90,R90,T90,V90,X90,Z90)*TRAINING!$L$3</f>
        <v>5.026179637605273E-14</v>
      </c>
      <c r="AC90">
        <f t="shared" si="3"/>
        <v>1</v>
      </c>
      <c r="AD90">
        <f t="shared" si="4"/>
        <v>1</v>
      </c>
      <c r="AF90" s="19"/>
      <c r="AG90" t="str">
        <f t="shared" si="5"/>
        <v>TP</v>
      </c>
    </row>
    <row r="91" spans="1:33" x14ac:dyDescent="0.3">
      <c r="A91">
        <v>1</v>
      </c>
      <c r="B91">
        <v>107</v>
      </c>
      <c r="C91">
        <v>68</v>
      </c>
      <c r="D91">
        <v>19</v>
      </c>
      <c r="E91">
        <v>30.5</v>
      </c>
      <c r="F91">
        <v>26.5</v>
      </c>
      <c r="G91">
        <v>0.16500000000000001</v>
      </c>
      <c r="H91">
        <v>24</v>
      </c>
      <c r="I91">
        <v>0</v>
      </c>
      <c r="K91">
        <f>(1/(SQRT(2*PI())*TRAINING!$O$8))*EXP(-((A91-TRAINING!$O$3)^2)/(2*(TRAINING!$O$8^2)))</f>
        <v>0.10069314833313707</v>
      </c>
      <c r="L91">
        <f>(1/(SQRT(2*PI())*TRAINING!$O$9))*EXP(-((A91-TRAINING!$O$4)^2)/(2*(TRAINING!$O$9^2)))</f>
        <v>6.3165200316397857E-2</v>
      </c>
      <c r="M91">
        <f>(1/(SQRT(2*PI())*TRAINING!$P$8))*EXP(-((B91-TRAINING!$P$3)^2)/(2*(TRAINING!$P$8^2)))</f>
        <v>1.5937854362536651E-2</v>
      </c>
      <c r="N91">
        <f>(1/(SQRT(2*PI())*TRAINING!$P$9))*EXP(-((B91-TRAINING!$P$4)^2)/(2*(TRAINING!$P$9^2)))</f>
        <v>6.2857000770420741E-3</v>
      </c>
      <c r="O91">
        <f>(1/(SQRT(2*PI())*TRAINING!$Q$8))*EXP(-((C91-TRAINING!$Q$3)^2)/(2*(TRAINING!$Q$8^2)))</f>
        <v>3.3155539986898921E-2</v>
      </c>
      <c r="P91">
        <f>(1/(SQRT(2*PI())*TRAINING!$Q$9))*EXP(-((C91-TRAINING!$Q$4)^2)/(2*(TRAINING!$Q$9^2)))</f>
        <v>2.8569142426681692E-2</v>
      </c>
      <c r="Q91">
        <f>(1/(SQRT(2*PI())*TRAINING!$R$8))*EXP(-((D91-TRAINING!$R$3)^2)/(2*(TRAINING!$R$8^2)))</f>
        <v>3.2766195706041425E-2</v>
      </c>
      <c r="R91">
        <f>(1/(SQRT(2*PI())*TRAINING!$R$9))*EXP(-((D91-TRAINING!$R$4)^2)/(2*(TRAINING!$R$9^2)))</f>
        <v>2.2363588406971651E-2</v>
      </c>
      <c r="S91">
        <f>(1/(SQRT(2*PI())*TRAINING!$S$8))*EXP(-((E91-TRAINING!$S$3)^2)/(2*(TRAINING!$S$8^2)))</f>
        <v>3.5657055057560366E-3</v>
      </c>
      <c r="T91">
        <f>(1/(SQRT(2*PI())*TRAINING!$S$9))*EXP(-((E91-TRAINING!$S$4)^2)/(2*(TRAINING!$S$9^2)))</f>
        <v>2.5951511419773543E-3</v>
      </c>
      <c r="U91">
        <f>(1/(SQRT(2*PI())*TRAINING!$T$8))*EXP(-((F91-TRAINING!$T$3)^2)/(2*(TRAINING!$T$8^2)))</f>
        <v>4.8356963466168357E-2</v>
      </c>
      <c r="V91">
        <f>(1/(SQRT(2*PI())*TRAINING!$T$9))*EXP(-((F91-TRAINING!$T$4)^2)/(2*(TRAINING!$T$9^2)))</f>
        <v>2.4722024184473841E-2</v>
      </c>
      <c r="W91">
        <f>(1/(SQRT(2*PI())*TRAINING!$U$8))*EXP(-((G91-TRAINING!$U$3)^2)/(2*(TRAINING!$U$8^2)))</f>
        <v>0.88980082104049674</v>
      </c>
      <c r="X91">
        <f>(1/(SQRT(2*PI())*TRAINING!$U$9))*EXP(-((G91-TRAINING!$U$4)^2)/(2*(TRAINING!$U$9^2)))</f>
        <v>0.62447435416951891</v>
      </c>
      <c r="Y91">
        <f>(1/(SQRT(2*PI())*TRAINING!$V$8))*EXP(-((H91-TRAINING!$V$3)^2)/(2*(TRAINING!$V$8^2)))</f>
        <v>2.7783192496885357E-2</v>
      </c>
      <c r="Z91">
        <f>(1/(SQRT(2*PI())*TRAINING!$V$9))*EXP(-((H91-TRAINING!$V$4)^2)/(2*(TRAINING!$V$9^2)))</f>
        <v>1.8726911646419479E-2</v>
      </c>
      <c r="AA91">
        <f>PRODUCT(K91,M91,O91,Q91,S91,U91,W91,Y91)*TRAINING!$L$2</f>
        <v>4.8457454959348026E-12</v>
      </c>
      <c r="AB91">
        <f>PRODUCT(L91,N91,P91,R91,T91,V91,X91,Z91)*TRAINING!$L$3</f>
        <v>6.4710774328518002E-14</v>
      </c>
      <c r="AC91">
        <f t="shared" si="3"/>
        <v>0</v>
      </c>
      <c r="AD91">
        <f t="shared" si="4"/>
        <v>1</v>
      </c>
      <c r="AF91" s="19"/>
      <c r="AG91" t="str">
        <f t="shared" si="5"/>
        <v>TN</v>
      </c>
    </row>
    <row r="92" spans="1:33" x14ac:dyDescent="0.3">
      <c r="A92">
        <v>1</v>
      </c>
      <c r="B92">
        <v>80</v>
      </c>
      <c r="C92">
        <v>55</v>
      </c>
      <c r="D92">
        <v>23</v>
      </c>
      <c r="E92">
        <v>30.5</v>
      </c>
      <c r="F92">
        <v>19.100000000000001</v>
      </c>
      <c r="G92">
        <v>0.25800000000000001</v>
      </c>
      <c r="H92">
        <v>21</v>
      </c>
      <c r="I92">
        <v>0</v>
      </c>
      <c r="K92">
        <f>(1/(SQRT(2*PI())*TRAINING!$O$8))*EXP(-((A92-TRAINING!$O$3)^2)/(2*(TRAINING!$O$8^2)))</f>
        <v>0.10069314833313707</v>
      </c>
      <c r="L92">
        <f>(1/(SQRT(2*PI())*TRAINING!$O$9))*EXP(-((A92-TRAINING!$O$4)^2)/(2*(TRAINING!$O$9^2)))</f>
        <v>6.3165200316397857E-2</v>
      </c>
      <c r="M92">
        <f>(1/(SQRT(2*PI())*TRAINING!$P$8))*EXP(-((B92-TRAINING!$P$3)^2)/(2*(TRAINING!$P$8^2)))</f>
        <v>7.2463879586356352E-3</v>
      </c>
      <c r="N92">
        <f>(1/(SQRT(2*PI())*TRAINING!$P$9))*EXP(-((B92-TRAINING!$P$4)^2)/(2*(TRAINING!$P$9^2)))</f>
        <v>1.291785703131781E-3</v>
      </c>
      <c r="O92">
        <f>(1/(SQRT(2*PI())*TRAINING!$Q$8))*EXP(-((C92-TRAINING!$Q$3)^2)/(2*(TRAINING!$Q$8^2)))</f>
        <v>1.3208481949168516E-2</v>
      </c>
      <c r="P92">
        <f>(1/(SQRT(2*PI())*TRAINING!$Q$9))*EXP(-((C92-TRAINING!$Q$4)^2)/(2*(TRAINING!$Q$9^2)))</f>
        <v>6.8904813088696872E-3</v>
      </c>
      <c r="Q92">
        <f>(1/(SQRT(2*PI())*TRAINING!$R$8))*EXP(-((D92-TRAINING!$R$3)^2)/(2*(TRAINING!$R$8^2)))</f>
        <v>4.2691938231656991E-2</v>
      </c>
      <c r="R92">
        <f>(1/(SQRT(2*PI())*TRAINING!$R$9))*EXP(-((D92-TRAINING!$R$4)^2)/(2*(TRAINING!$R$9^2)))</f>
        <v>3.202065801833482E-2</v>
      </c>
      <c r="S92">
        <f>(1/(SQRT(2*PI())*TRAINING!$S$8))*EXP(-((E92-TRAINING!$S$3)^2)/(2*(TRAINING!$S$8^2)))</f>
        <v>3.5657055057560366E-3</v>
      </c>
      <c r="T92">
        <f>(1/(SQRT(2*PI())*TRAINING!$S$9))*EXP(-((E92-TRAINING!$S$4)^2)/(2*(TRAINING!$S$9^2)))</f>
        <v>2.5951511419773543E-3</v>
      </c>
      <c r="U92">
        <f>(1/(SQRT(2*PI())*TRAINING!$T$8))*EXP(-((F92-TRAINING!$T$3)^2)/(2*(TRAINING!$T$8^2)))</f>
        <v>1.1714474546016053E-2</v>
      </c>
      <c r="V92">
        <f>(1/(SQRT(2*PI())*TRAINING!$T$9))*EXP(-((F92-TRAINING!$T$4)^2)/(2*(TRAINING!$T$9^2)))</f>
        <v>2.9055298122398054E-3</v>
      </c>
      <c r="W92">
        <f>(1/(SQRT(2*PI())*TRAINING!$U$8))*EXP(-((G92-TRAINING!$U$3)^2)/(2*(TRAINING!$U$8^2)))</f>
        <v>1.1173641931332374</v>
      </c>
      <c r="X92">
        <f>(1/(SQRT(2*PI())*TRAINING!$U$9))*EXP(-((G92-TRAINING!$U$4)^2)/(2*(TRAINING!$U$9^2)))</f>
        <v>0.79593496030036592</v>
      </c>
      <c r="Y92">
        <f>(1/(SQRT(2*PI())*TRAINING!$V$8))*EXP(-((H92-TRAINING!$V$3)^2)/(2*(TRAINING!$V$8^2)))</f>
        <v>2.3024268373034226E-2</v>
      </c>
      <c r="Z92">
        <f>(1/(SQRT(2*PI())*TRAINING!$V$9))*EXP(-((H92-TRAINING!$V$4)^2)/(2*(TRAINING!$V$9^2)))</f>
        <v>1.3130994726231127E-2</v>
      </c>
      <c r="AA92">
        <f>PRODUCT(K92,M92,O92,Q92,S92,U92,W92,Y92)*TRAINING!$L$2</f>
        <v>2.8829586361327007E-13</v>
      </c>
      <c r="AB92">
        <f>PRODUCT(L92,N92,P92,R92,T92,V92,X92,Z92)*TRAINING!$L$3</f>
        <v>4.8238109582596573E-16</v>
      </c>
      <c r="AC92">
        <f t="shared" si="3"/>
        <v>0</v>
      </c>
      <c r="AD92">
        <f t="shared" si="4"/>
        <v>1</v>
      </c>
      <c r="AF92" s="19"/>
      <c r="AG92" t="str">
        <f t="shared" si="5"/>
        <v>TN</v>
      </c>
    </row>
    <row r="93" spans="1:33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  <c r="K93">
        <f>(1/(SQRT(2*PI())*TRAINING!$O$8))*EXP(-((A93-TRAINING!$O$3)^2)/(2*(TRAINING!$O$8^2)))</f>
        <v>0.12757449499469867</v>
      </c>
      <c r="L93">
        <f>(1/(SQRT(2*PI())*TRAINING!$O$9))*EXP(-((A93-TRAINING!$O$4)^2)/(2*(TRAINING!$O$9^2)))</f>
        <v>0.10484388320832955</v>
      </c>
      <c r="M93">
        <f>(1/(SQRT(2*PI())*TRAINING!$P$8))*EXP(-((B93-TRAINING!$P$3)^2)/(2*(TRAINING!$P$8^2)))</f>
        <v>1.444224650565348E-2</v>
      </c>
      <c r="N93">
        <f>(1/(SQRT(2*PI())*TRAINING!$P$9))*EXP(-((B93-TRAINING!$P$4)^2)/(2*(TRAINING!$P$9^2)))</f>
        <v>1.0715665538857643E-2</v>
      </c>
      <c r="O93">
        <f>(1/(SQRT(2*PI())*TRAINING!$Q$8))*EXP(-((C93-TRAINING!$Q$3)^2)/(2*(TRAINING!$Q$8^2)))</f>
        <v>2.5539275567719948E-2</v>
      </c>
      <c r="P93">
        <f>(1/(SQRT(2*PI())*TRAINING!$Q$9))*EXP(-((C93-TRAINING!$Q$4)^2)/(2*(TRAINING!$Q$9^2)))</f>
        <v>3.2561150559118943E-2</v>
      </c>
      <c r="Q93">
        <f>(1/(SQRT(2*PI())*TRAINING!$R$8))*EXP(-((D93-TRAINING!$R$3)^2)/(2*(TRAINING!$R$8^2)))</f>
        <v>2.0434713115401574E-2</v>
      </c>
      <c r="R93">
        <f>(1/(SQRT(2*PI())*TRAINING!$R$9))*EXP(-((D93-TRAINING!$R$4)^2)/(2*(TRAINING!$R$9^2)))</f>
        <v>1.3252384353220969E-2</v>
      </c>
      <c r="S93">
        <f>(1/(SQRT(2*PI())*TRAINING!$S$8))*EXP(-((E93-TRAINING!$S$3)^2)/(2*(TRAINING!$S$8^2)))</f>
        <v>2.690056570546781E-3</v>
      </c>
      <c r="T93">
        <f>(1/(SQRT(2*PI())*TRAINING!$S$9))*EXP(-((E93-TRAINING!$S$4)^2)/(2*(TRAINING!$S$9^2)))</f>
        <v>2.8901285453264351E-3</v>
      </c>
      <c r="U93">
        <f>(1/(SQRT(2*PI())*TRAINING!$T$8))*EXP(-((F93-TRAINING!$T$3)^2)/(2*(TRAINING!$T$8^2)))</f>
        <v>6.0345164388641175E-2</v>
      </c>
      <c r="V93">
        <f>(1/(SQRT(2*PI())*TRAINING!$T$9))*EXP(-((F93-TRAINING!$T$4)^2)/(2*(TRAINING!$T$9^2)))</f>
        <v>5.344431412493849E-2</v>
      </c>
      <c r="W93">
        <f>(1/(SQRT(2*PI())*TRAINING!$U$8))*EXP(-((G93-TRAINING!$U$3)^2)/(2*(TRAINING!$U$8^2)))</f>
        <v>1.3238496459341174</v>
      </c>
      <c r="X93">
        <f>(1/(SQRT(2*PI())*TRAINING!$U$9))*EXP(-((G93-TRAINING!$U$4)^2)/(2*(TRAINING!$U$9^2)))</f>
        <v>1.0582034328396297</v>
      </c>
      <c r="Y93">
        <f>(1/(SQRT(2*PI())*TRAINING!$V$8))*EXP(-((H93-TRAINING!$V$3)^2)/(2*(TRAINING!$V$8^2)))</f>
        <v>3.2765783973993455E-2</v>
      </c>
      <c r="Z93">
        <f>(1/(SQRT(2*PI())*TRAINING!$V$9))*EXP(-((H93-TRAINING!$V$4)^2)/(2*(TRAINING!$V$9^2)))</f>
        <v>3.5473016900051758E-2</v>
      </c>
      <c r="AA93">
        <f>PRODUCT(K93,M93,O93,Q93,S93,U93,W93,Y93)*TRAINING!$L$2</f>
        <v>4.4147701992096345E-12</v>
      </c>
      <c r="AB93">
        <f>PRODUCT(L93,N93,P93,R93,T93,V93,X93,Z93)*TRAINING!$L$3</f>
        <v>9.556984674254328E-13</v>
      </c>
      <c r="AC93">
        <f t="shared" si="3"/>
        <v>0</v>
      </c>
      <c r="AD93">
        <f t="shared" si="4"/>
        <v>1</v>
      </c>
      <c r="AF93" s="19"/>
      <c r="AG93" t="str">
        <f t="shared" si="5"/>
        <v>TN</v>
      </c>
    </row>
    <row r="94" spans="1:33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  <c r="K94">
        <f>(1/(SQRT(2*PI())*TRAINING!$O$8))*EXP(-((A94-TRAINING!$O$3)^2)/(2*(TRAINING!$O$8^2)))</f>
        <v>6.0464208917336747E-2</v>
      </c>
      <c r="L94">
        <f>(1/(SQRT(2*PI())*TRAINING!$O$9))*EXP(-((A94-TRAINING!$O$4)^2)/(2*(TRAINING!$O$9^2)))</f>
        <v>9.055444669307644E-2</v>
      </c>
      <c r="M94">
        <f>(1/(SQRT(2*PI())*TRAINING!$P$8))*EXP(-((B94-TRAINING!$P$3)^2)/(2*(TRAINING!$P$8^2)))</f>
        <v>7.6222421354011621E-3</v>
      </c>
      <c r="N94">
        <f>(1/(SQRT(2*PI())*TRAINING!$P$9))*EXP(-((B94-TRAINING!$P$4)^2)/(2*(TRAINING!$P$9^2)))</f>
        <v>1.3908324936951994E-3</v>
      </c>
      <c r="O94">
        <f>(1/(SQRT(2*PI())*TRAINING!$Q$8))*EXP(-((C94-TRAINING!$Q$3)^2)/(2*(TRAINING!$Q$8^2)))</f>
        <v>2.8724564393455325E-2</v>
      </c>
      <c r="P94">
        <f>(1/(SQRT(2*PI())*TRAINING!$Q$9))*EXP(-((C94-TRAINING!$Q$4)^2)/(2*(TRAINING!$Q$9^2)))</f>
        <v>3.447108098073768E-2</v>
      </c>
      <c r="Q94">
        <f>(1/(SQRT(2*PI())*TRAINING!$R$8))*EXP(-((D94-TRAINING!$R$3)^2)/(2*(TRAINING!$R$8^2)))</f>
        <v>1.2976493976590005E-2</v>
      </c>
      <c r="R94">
        <f>(1/(SQRT(2*PI())*TRAINING!$R$9))*EXP(-((D94-TRAINING!$R$4)^2)/(2*(TRAINING!$R$9^2)))</f>
        <v>2.3543006741258726E-2</v>
      </c>
      <c r="S94">
        <f>(1/(SQRT(2*PI())*TRAINING!$S$8))*EXP(-((E94-TRAINING!$S$3)^2)/(2*(TRAINING!$S$8^2)))</f>
        <v>3.9149809460631985E-3</v>
      </c>
      <c r="T94">
        <f>(1/(SQRT(2*PI())*TRAINING!$S$9))*EXP(-((E94-TRAINING!$S$4)^2)/(2*(TRAINING!$S$9^2)))</f>
        <v>2.8374376459636159E-3</v>
      </c>
      <c r="U94">
        <f>(1/(SQRT(2*PI())*TRAINING!$T$8))*EXP(-((F94-TRAINING!$T$3)^2)/(2*(TRAINING!$T$8^2)))</f>
        <v>3.3491833906195566E-3</v>
      </c>
      <c r="V94">
        <f>(1/(SQRT(2*PI())*TRAINING!$T$9))*EXP(-((F94-TRAINING!$T$4)^2)/(2*(TRAINING!$T$9^2)))</f>
        <v>1.3539935376407099E-2</v>
      </c>
      <c r="W94">
        <f>(1/(SQRT(2*PI())*TRAINING!$U$8))*EXP(-((G94-TRAINING!$U$3)^2)/(2*(TRAINING!$U$8^2)))</f>
        <v>1.1238175604332921</v>
      </c>
      <c r="X94">
        <f>(1/(SQRT(2*PI())*TRAINING!$U$9))*EXP(-((G94-TRAINING!$U$4)^2)/(2*(TRAINING!$U$9^2)))</f>
        <v>0.80130038581752527</v>
      </c>
      <c r="Y94">
        <f>(1/(SQRT(2*PI())*TRAINING!$V$8))*EXP(-((H94-TRAINING!$V$3)^2)/(2*(TRAINING!$V$8^2)))</f>
        <v>2.2428794825873569E-2</v>
      </c>
      <c r="Z94">
        <f>(1/(SQRT(2*PI())*TRAINING!$V$9))*EXP(-((H94-TRAINING!$V$4)^2)/(2*(TRAINING!$V$9^2)))</f>
        <v>3.2353054095022447E-2</v>
      </c>
      <c r="AA94">
        <f>PRODUCT(K94,M94,O94,Q94,S94,U94,W94,Y94)*TRAINING!$L$2</f>
        <v>3.701958341498723E-14</v>
      </c>
      <c r="AB94">
        <f>PRODUCT(L94,N94,P94,R94,T94,V94,X94,Z94)*TRAINING!$L$3</f>
        <v>3.4612575032545404E-14</v>
      </c>
      <c r="AC94">
        <f t="shared" si="3"/>
        <v>0</v>
      </c>
      <c r="AD94">
        <f t="shared" si="4"/>
        <v>1</v>
      </c>
      <c r="AF94" s="19"/>
      <c r="AG94" t="str">
        <f t="shared" si="5"/>
        <v>TN</v>
      </c>
    </row>
    <row r="95" spans="1:33" x14ac:dyDescent="0.3">
      <c r="A95">
        <v>4</v>
      </c>
      <c r="B95">
        <v>134</v>
      </c>
      <c r="C95">
        <v>72</v>
      </c>
      <c r="D95">
        <v>23</v>
      </c>
      <c r="E95">
        <v>30.5</v>
      </c>
      <c r="F95">
        <v>23.8</v>
      </c>
      <c r="G95">
        <v>0.27700000000000002</v>
      </c>
      <c r="H95">
        <v>60</v>
      </c>
      <c r="I95">
        <v>1</v>
      </c>
      <c r="K95">
        <f>(1/(SQRT(2*PI())*TRAINING!$O$8))*EXP(-((A95-TRAINING!$O$3)^2)/(2*(TRAINING!$O$8^2)))</f>
        <v>0.12757449499469867</v>
      </c>
      <c r="L95">
        <f>(1/(SQRT(2*PI())*TRAINING!$O$9))*EXP(-((A95-TRAINING!$O$4)^2)/(2*(TRAINING!$O$9^2)))</f>
        <v>0.10484388320832955</v>
      </c>
      <c r="M95">
        <f>(1/(SQRT(2*PI())*TRAINING!$P$8))*EXP(-((B95-TRAINING!$P$3)^2)/(2*(TRAINING!$P$8^2)))</f>
        <v>1.0572357532721998E-2</v>
      </c>
      <c r="N95">
        <f>(1/(SQRT(2*PI())*TRAINING!$P$9))*EXP(-((B95-TRAINING!$P$4)^2)/(2*(TRAINING!$P$9^2)))</f>
        <v>1.298703494892881E-2</v>
      </c>
      <c r="O95">
        <f>(1/(SQRT(2*PI())*TRAINING!$Q$8))*EXP(-((C95-TRAINING!$Q$3)^2)/(2*(TRAINING!$Q$8^2)))</f>
        <v>3.4215224205554493E-2</v>
      </c>
      <c r="P95">
        <f>(1/(SQRT(2*PI())*TRAINING!$Q$9))*EXP(-((C95-TRAINING!$Q$4)^2)/(2*(TRAINING!$Q$9^2)))</f>
        <v>3.3852206664402869E-2</v>
      </c>
      <c r="Q95">
        <f>(1/(SQRT(2*PI())*TRAINING!$R$8))*EXP(-((D95-TRAINING!$R$3)^2)/(2*(TRAINING!$R$8^2)))</f>
        <v>4.2691938231656991E-2</v>
      </c>
      <c r="R95">
        <f>(1/(SQRT(2*PI())*TRAINING!$R$9))*EXP(-((D95-TRAINING!$R$4)^2)/(2*(TRAINING!$R$9^2)))</f>
        <v>3.202065801833482E-2</v>
      </c>
      <c r="S95">
        <f>(1/(SQRT(2*PI())*TRAINING!$S$8))*EXP(-((E95-TRAINING!$S$3)^2)/(2*(TRAINING!$S$8^2)))</f>
        <v>3.5657055057560366E-3</v>
      </c>
      <c r="T95">
        <f>(1/(SQRT(2*PI())*TRAINING!$S$9))*EXP(-((E95-TRAINING!$S$4)^2)/(2*(TRAINING!$S$9^2)))</f>
        <v>2.5951511419773543E-3</v>
      </c>
      <c r="U95">
        <f>(1/(SQRT(2*PI())*TRAINING!$T$8))*EXP(-((F95-TRAINING!$T$3)^2)/(2*(TRAINING!$T$8^2)))</f>
        <v>3.3454023145281835E-2</v>
      </c>
      <c r="V95">
        <f>(1/(SQRT(2*PI())*TRAINING!$T$9))*EXP(-((F95-TRAINING!$T$4)^2)/(2*(TRAINING!$T$9^2)))</f>
        <v>1.3108028181069252E-2</v>
      </c>
      <c r="W95">
        <f>(1/(SQRT(2*PI())*TRAINING!$U$8))*EXP(-((G95-TRAINING!$U$3)^2)/(2*(TRAINING!$U$8^2)))</f>
        <v>1.1569303261888546</v>
      </c>
      <c r="X95">
        <f>(1/(SQRT(2*PI())*TRAINING!$U$9))*EXP(-((G95-TRAINING!$U$4)^2)/(2*(TRAINING!$U$9^2)))</f>
        <v>0.82956235959688407</v>
      </c>
      <c r="Y95">
        <f>(1/(SQRT(2*PI())*TRAINING!$V$8))*EXP(-((H95-TRAINING!$V$3)^2)/(2*(TRAINING!$V$8^2)))</f>
        <v>1.8162081375363486E-3</v>
      </c>
      <c r="Z95">
        <f>(1/(SQRT(2*PI())*TRAINING!$V$9))*EXP(-((H95-TRAINING!$V$4)^2)/(2*(TRAINING!$V$9^2)))</f>
        <v>3.7041327793533815E-3</v>
      </c>
      <c r="AA95">
        <f>PRODUCT(K95,M95,O95,Q95,S95,U95,W95,Y95)*TRAINING!$L$2</f>
        <v>3.2198590880306326E-13</v>
      </c>
      <c r="AB95">
        <f>PRODUCT(L95,N95,P95,R95,T95,V95,X95,Z95)*TRAINING!$L$3</f>
        <v>5.2454755518124312E-14</v>
      </c>
      <c r="AC95">
        <f t="shared" si="3"/>
        <v>0</v>
      </c>
      <c r="AD95">
        <f t="shared" si="4"/>
        <v>0</v>
      </c>
      <c r="AF95" s="19"/>
      <c r="AG95" t="str">
        <f t="shared" si="5"/>
        <v>FN</v>
      </c>
    </row>
    <row r="96" spans="1:33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  <c r="K96">
        <f>(1/(SQRT(2*PI())*TRAINING!$O$8))*EXP(-((A96-TRAINING!$O$3)^2)/(2*(TRAINING!$O$8^2)))</f>
        <v>0.12153525578060927</v>
      </c>
      <c r="L96">
        <f>(1/(SQRT(2*PI())*TRAINING!$O$9))*EXP(-((A96-TRAINING!$O$4)^2)/(2*(TRAINING!$O$9^2)))</f>
        <v>8.041832272231407E-2</v>
      </c>
      <c r="M96">
        <f>(1/(SQRT(2*PI())*TRAINING!$P$8))*EXP(-((B96-TRAINING!$P$3)^2)/(2*(TRAINING!$P$8^2)))</f>
        <v>7.4367481715175831E-3</v>
      </c>
      <c r="N96">
        <f>(1/(SQRT(2*PI())*TRAINING!$P$9))*EXP(-((B96-TRAINING!$P$4)^2)/(2*(TRAINING!$P$9^2)))</f>
        <v>1.3659916028272089E-2</v>
      </c>
      <c r="O96">
        <f>(1/(SQRT(2*PI())*TRAINING!$Q$8))*EXP(-((C96-TRAINING!$Q$3)^2)/(2*(TRAINING!$Q$8^2)))</f>
        <v>2.2044601279935228E-2</v>
      </c>
      <c r="P96">
        <f>(1/(SQRT(2*PI())*TRAINING!$Q$9))*EXP(-((C96-TRAINING!$Q$4)^2)/(2*(TRAINING!$Q$9^2)))</f>
        <v>2.9802704876182827E-2</v>
      </c>
      <c r="Q96">
        <f>(1/(SQRT(2*PI())*TRAINING!$R$8))*EXP(-((D96-TRAINING!$R$3)^2)/(2*(TRAINING!$R$8^2)))</f>
        <v>2.9690126924352758E-2</v>
      </c>
      <c r="R96">
        <f>(1/(SQRT(2*PI())*TRAINING!$R$9))*EXP(-((D96-TRAINING!$R$4)^2)/(2*(TRAINING!$R$9^2)))</f>
        <v>1.9925971390208779E-2</v>
      </c>
      <c r="S96">
        <f>(1/(SQRT(2*PI())*TRAINING!$S$8))*EXP(-((E96-TRAINING!$S$3)^2)/(2*(TRAINING!$S$8^2)))</f>
        <v>4.1362021244729114E-3</v>
      </c>
      <c r="T96">
        <f>(1/(SQRT(2*PI())*TRAINING!$S$9))*EXP(-((E96-TRAINING!$S$4)^2)/(2*(TRAINING!$S$9^2)))</f>
        <v>3.0229948107254657E-3</v>
      </c>
      <c r="U96">
        <f>(1/(SQRT(2*PI())*TRAINING!$T$8))*EXP(-((F96-TRAINING!$T$3)^2)/(2*(TRAINING!$T$8^2)))</f>
        <v>3.8551245504129132E-2</v>
      </c>
      <c r="V96">
        <f>(1/(SQRT(2*PI())*TRAINING!$T$9))*EXP(-((F96-TRAINING!$T$4)^2)/(2*(TRAINING!$T$9^2)))</f>
        <v>1.6501426932753496E-2</v>
      </c>
      <c r="W96">
        <f>(1/(SQRT(2*PI())*TRAINING!$U$8))*EXP(-((G96-TRAINING!$U$3)^2)/(2*(TRAINING!$U$8^2)))</f>
        <v>0.73380449290402172</v>
      </c>
      <c r="X96">
        <f>(1/(SQRT(2*PI())*TRAINING!$U$9))*EXP(-((G96-TRAINING!$U$4)^2)/(2*(TRAINING!$U$9^2)))</f>
        <v>0.93329802178827392</v>
      </c>
      <c r="Y96">
        <f>(1/(SQRT(2*PI())*TRAINING!$V$8))*EXP(-((H96-TRAINING!$V$3)^2)/(2*(TRAINING!$V$8^2)))</f>
        <v>2.3024268373034226E-2</v>
      </c>
      <c r="Z96">
        <f>(1/(SQRT(2*PI())*TRAINING!$V$9))*EXP(-((H96-TRAINING!$V$4)^2)/(2*(TRAINING!$V$9^2)))</f>
        <v>1.3130994726231127E-2</v>
      </c>
      <c r="AA96">
        <f>PRODUCT(K96,M96,O96,Q96,S96,U96,W96,Y96)*TRAINING!$L$2</f>
        <v>1.0391429277739373E-12</v>
      </c>
      <c r="AB96">
        <f>PRODUCT(L96,N96,P96,R96,T96,V96,X96,Z96)*TRAINING!$L$3</f>
        <v>1.355919843843213E-13</v>
      </c>
      <c r="AC96">
        <f t="shared" si="3"/>
        <v>0</v>
      </c>
      <c r="AD96">
        <f t="shared" si="4"/>
        <v>1</v>
      </c>
      <c r="AF96" s="19"/>
      <c r="AG96" t="str">
        <f t="shared" si="5"/>
        <v>TN</v>
      </c>
    </row>
    <row r="97" spans="1:33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  <c r="K97">
        <f>(1/(SQRT(2*PI())*TRAINING!$O$8))*EXP(-((A97-TRAINING!$O$3)^2)/(2*(TRAINING!$O$8^2)))</f>
        <v>8.6503679874208927E-2</v>
      </c>
      <c r="L97">
        <f>(1/(SQRT(2*PI())*TRAINING!$O$9))*EXP(-((A97-TRAINING!$O$4)^2)/(2*(TRAINING!$O$9^2)))</f>
        <v>0.10224520417214994</v>
      </c>
      <c r="M97">
        <f>(1/(SQRT(2*PI())*TRAINING!$P$8))*EXP(-((B97-TRAINING!$P$3)^2)/(2*(TRAINING!$P$8^2)))</f>
        <v>6.6995411168750338E-3</v>
      </c>
      <c r="N97">
        <f>(1/(SQRT(2*PI())*TRAINING!$P$9))*EXP(-((B97-TRAINING!$P$4)^2)/(2*(TRAINING!$P$9^2)))</f>
        <v>1.3671921634318185E-2</v>
      </c>
      <c r="O97">
        <f>(1/(SQRT(2*PI())*TRAINING!$Q$8))*EXP(-((C97-TRAINING!$Q$3)^2)/(2*(TRAINING!$Q$8^2)))</f>
        <v>3.4215224205554493E-2</v>
      </c>
      <c r="P97">
        <f>(1/(SQRT(2*PI())*TRAINING!$Q$9))*EXP(-((C97-TRAINING!$Q$4)^2)/(2*(TRAINING!$Q$9^2)))</f>
        <v>3.3852206664402869E-2</v>
      </c>
      <c r="Q97">
        <f>(1/(SQRT(2*PI())*TRAINING!$R$8))*EXP(-((D97-TRAINING!$R$3)^2)/(2*(TRAINING!$R$8^2)))</f>
        <v>4.5198924351348924E-2</v>
      </c>
      <c r="R97">
        <f>(1/(SQRT(2*PI())*TRAINING!$R$9))*EXP(-((D97-TRAINING!$R$4)^2)/(2*(TRAINING!$R$9^2)))</f>
        <v>3.8900959028324751E-2</v>
      </c>
      <c r="S97">
        <f>(1/(SQRT(2*PI())*TRAINING!$S$8))*EXP(-((E97-TRAINING!$S$3)^2)/(2*(TRAINING!$S$8^2)))</f>
        <v>1.3566387384324283E-3</v>
      </c>
      <c r="T97">
        <f>(1/(SQRT(2*PI())*TRAINING!$S$9))*EXP(-((E97-TRAINING!$S$4)^2)/(2*(TRAINING!$S$9^2)))</f>
        <v>2.1168224049596478E-3</v>
      </c>
      <c r="U97">
        <f>(1/(SQRT(2*PI())*TRAINING!$T$8))*EXP(-((F97-TRAINING!$T$3)^2)/(2*(TRAINING!$T$8^2)))</f>
        <v>5.5238275579120096E-2</v>
      </c>
      <c r="V97">
        <f>(1/(SQRT(2*PI())*TRAINING!$T$9))*EXP(-((F97-TRAINING!$T$4)^2)/(2*(TRAINING!$T$9^2)))</f>
        <v>5.9287046478189942E-2</v>
      </c>
      <c r="W97">
        <f>(1/(SQRT(2*PI())*TRAINING!$U$8))*EXP(-((G97-TRAINING!$U$3)^2)/(2*(TRAINING!$U$8^2)))</f>
        <v>1.1108376813758292</v>
      </c>
      <c r="X97">
        <f>(1/(SQRT(2*PI())*TRAINING!$U$9))*EXP(-((G97-TRAINING!$U$4)^2)/(2*(TRAINING!$U$9^2)))</f>
        <v>0.79055073221133576</v>
      </c>
      <c r="Y97">
        <f>(1/(SQRT(2*PI())*TRAINING!$V$8))*EXP(-((H97-TRAINING!$V$3)^2)/(2*(TRAINING!$V$8^2)))</f>
        <v>2.573080504735293E-2</v>
      </c>
      <c r="Z97">
        <f>(1/(SQRT(2*PI())*TRAINING!$V$9))*EXP(-((H97-TRAINING!$V$4)^2)/(2*(TRAINING!$V$9^2)))</f>
        <v>3.4812752471643706E-2</v>
      </c>
      <c r="AA97">
        <f>PRODUCT(K97,M97,O97,Q97,S97,U97,W97,Y97)*TRAINING!$L$2</f>
        <v>1.2517127910902176E-12</v>
      </c>
      <c r="AB97">
        <f>PRODUCT(L97,N97,P97,R97,T97,V97,X97,Z97)*TRAINING!$L$3</f>
        <v>2.1617778471071504E-12</v>
      </c>
      <c r="AC97">
        <f t="shared" si="3"/>
        <v>1</v>
      </c>
      <c r="AD97">
        <f t="shared" si="4"/>
        <v>0</v>
      </c>
      <c r="AF97" s="19"/>
      <c r="AG97" t="str">
        <f t="shared" si="5"/>
        <v>FP</v>
      </c>
    </row>
    <row r="98" spans="1:33" x14ac:dyDescent="0.3">
      <c r="A98">
        <v>2</v>
      </c>
      <c r="B98">
        <v>92</v>
      </c>
      <c r="C98">
        <v>62</v>
      </c>
      <c r="D98">
        <v>28</v>
      </c>
      <c r="E98">
        <v>30.5</v>
      </c>
      <c r="F98">
        <v>31.6</v>
      </c>
      <c r="G98">
        <v>0.13</v>
      </c>
      <c r="H98">
        <v>24</v>
      </c>
      <c r="I98">
        <v>0</v>
      </c>
      <c r="K98">
        <f>(1/(SQRT(2*PI())*TRAINING!$O$8))*EXP(-((A98-TRAINING!$O$3)^2)/(2*(TRAINING!$O$8^2)))</f>
        <v>0.12153525578060927</v>
      </c>
      <c r="L98">
        <f>(1/(SQRT(2*PI())*TRAINING!$O$9))*EXP(-((A98-TRAINING!$O$4)^2)/(2*(TRAINING!$O$9^2)))</f>
        <v>8.041832272231407E-2</v>
      </c>
      <c r="M98">
        <f>(1/(SQRT(2*PI())*TRAINING!$P$8))*EXP(-((B98-TRAINING!$P$3)^2)/(2*(TRAINING!$P$8^2)))</f>
        <v>1.1926857602917434E-2</v>
      </c>
      <c r="N98">
        <f>(1/(SQRT(2*PI())*TRAINING!$P$9))*EXP(-((B98-TRAINING!$P$4)^2)/(2*(TRAINING!$P$9^2)))</f>
        <v>2.9008354935389298E-3</v>
      </c>
      <c r="O98">
        <f>(1/(SQRT(2*PI())*TRAINING!$Q$8))*EXP(-((C98-TRAINING!$Q$3)^2)/(2*(TRAINING!$Q$8^2)))</f>
        <v>2.5327965872361573E-2</v>
      </c>
      <c r="P98">
        <f>(1/(SQRT(2*PI())*TRAINING!$Q$9))*EXP(-((C98-TRAINING!$Q$4)^2)/(2*(TRAINING!$Q$9^2)))</f>
        <v>1.7486213843021708E-2</v>
      </c>
      <c r="Q98">
        <f>(1/(SQRT(2*PI())*TRAINING!$R$8))*EXP(-((D98-TRAINING!$R$3)^2)/(2*(TRAINING!$R$8^2)))</f>
        <v>4.4385350375773444E-2</v>
      </c>
      <c r="R98">
        <f>(1/(SQRT(2*PI())*TRAINING!$R$9))*EXP(-((D98-TRAINING!$R$4)^2)/(2*(TRAINING!$R$9^2)))</f>
        <v>3.9805494575232289E-2</v>
      </c>
      <c r="S98">
        <f>(1/(SQRT(2*PI())*TRAINING!$S$8))*EXP(-((E98-TRAINING!$S$3)^2)/(2*(TRAINING!$S$8^2)))</f>
        <v>3.5657055057560366E-3</v>
      </c>
      <c r="T98">
        <f>(1/(SQRT(2*PI())*TRAINING!$S$9))*EXP(-((E98-TRAINING!$S$4)^2)/(2*(TRAINING!$S$9^2)))</f>
        <v>2.5951511419773543E-3</v>
      </c>
      <c r="U98">
        <f>(1/(SQRT(2*PI())*TRAINING!$T$8))*EXP(-((F98-TRAINING!$T$3)^2)/(2*(TRAINING!$T$8^2)))</f>
        <v>6.0819129040875899E-2</v>
      </c>
      <c r="V98">
        <f>(1/(SQRT(2*PI())*TRAINING!$T$9))*EXP(-((F98-TRAINING!$T$4)^2)/(2*(TRAINING!$T$9^2)))</f>
        <v>5.173631967040012E-2</v>
      </c>
      <c r="W98">
        <f>(1/(SQRT(2*PI())*TRAINING!$U$8))*EXP(-((G98-TRAINING!$U$3)^2)/(2*(TRAINING!$U$8^2)))</f>
        <v>0.7967991501865499</v>
      </c>
      <c r="X98">
        <f>(1/(SQRT(2*PI())*TRAINING!$U$9))*EXP(-((G98-TRAINING!$U$4)^2)/(2*(TRAINING!$U$9^2)))</f>
        <v>0.56024645189706412</v>
      </c>
      <c r="Y98">
        <f>(1/(SQRT(2*PI())*TRAINING!$V$8))*EXP(-((H98-TRAINING!$V$3)^2)/(2*(TRAINING!$V$8^2)))</f>
        <v>2.7783192496885357E-2</v>
      </c>
      <c r="Z98">
        <f>(1/(SQRT(2*PI())*TRAINING!$V$9))*EXP(-((H98-TRAINING!$V$4)^2)/(2*(TRAINING!$V$9^2)))</f>
        <v>1.8726911646419479E-2</v>
      </c>
      <c r="AA98">
        <f>PRODUCT(K98,M98,O98,Q98,S98,U98,W98,Y98)*TRAINING!$L$2</f>
        <v>5.1009869627780017E-12</v>
      </c>
      <c r="AB98">
        <f>PRODUCT(L98,N98,P98,R98,T98,V98,X98,Z98)*TRAINING!$L$3</f>
        <v>7.7767708447063166E-14</v>
      </c>
      <c r="AC98">
        <f t="shared" si="3"/>
        <v>0</v>
      </c>
      <c r="AD98">
        <f t="shared" si="4"/>
        <v>1</v>
      </c>
      <c r="AF98" s="19"/>
      <c r="AG98" t="str">
        <f t="shared" si="5"/>
        <v>TN</v>
      </c>
    </row>
    <row r="99" spans="1:33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  <c r="K99">
        <f>(1/(SQRT(2*PI())*TRAINING!$O$8))*EXP(-((A99-TRAINING!$O$3)^2)/(2*(TRAINING!$O$8^2)))</f>
        <v>0.10069314833313707</v>
      </c>
      <c r="L99">
        <f>(1/(SQRT(2*PI())*TRAINING!$O$9))*EXP(-((A99-TRAINING!$O$4)^2)/(2*(TRAINING!$O$9^2)))</f>
        <v>6.3165200316397857E-2</v>
      </c>
      <c r="M99">
        <f>(1/(SQRT(2*PI())*TRAINING!$P$8))*EXP(-((B99-TRAINING!$P$3)^2)/(2*(TRAINING!$P$8^2)))</f>
        <v>4.2691108101441883E-3</v>
      </c>
      <c r="N99">
        <f>(1/(SQRT(2*PI())*TRAINING!$P$9))*EXP(-((B99-TRAINING!$P$4)^2)/(2*(TRAINING!$P$9^2)))</f>
        <v>6.301847600402523E-4</v>
      </c>
      <c r="O99">
        <f>(1/(SQRT(2*PI())*TRAINING!$Q$8))*EXP(-((C99-TRAINING!$Q$3)^2)/(2*(TRAINING!$Q$8^2)))</f>
        <v>4.7923966284475587E-3</v>
      </c>
      <c r="P99">
        <f>(1/(SQRT(2*PI())*TRAINING!$Q$9))*EXP(-((C99-TRAINING!$Q$4)^2)/(2*(TRAINING!$Q$9^2)))</f>
        <v>1.8455010980871079E-3</v>
      </c>
      <c r="Q99">
        <f>(1/(SQRT(2*PI())*TRAINING!$R$8))*EXP(-((D99-TRAINING!$R$3)^2)/(2*(TRAINING!$R$8^2)))</f>
        <v>2.9690126924352758E-2</v>
      </c>
      <c r="R99">
        <f>(1/(SQRT(2*PI())*TRAINING!$R$9))*EXP(-((D99-TRAINING!$R$4)^2)/(2*(TRAINING!$R$9^2)))</f>
        <v>1.9925971390208779E-2</v>
      </c>
      <c r="S99">
        <f>(1/(SQRT(2*PI())*TRAINING!$S$8))*EXP(-((E99-TRAINING!$S$3)^2)/(2*(TRAINING!$S$8^2)))</f>
        <v>4.2287327755200022E-3</v>
      </c>
      <c r="T99">
        <f>(1/(SQRT(2*PI())*TRAINING!$S$9))*EXP(-((E99-TRAINING!$S$4)^2)/(2*(TRAINING!$S$9^2)))</f>
        <v>3.1340048672388616E-3</v>
      </c>
      <c r="U99">
        <f>(1/(SQRT(2*PI())*TRAINING!$T$8))*EXP(-((F99-TRAINING!$T$3)^2)/(2*(TRAINING!$T$8^2)))</f>
        <v>1.6492726961181533E-2</v>
      </c>
      <c r="V99">
        <f>(1/(SQRT(2*PI())*TRAINING!$T$9))*EXP(-((F99-TRAINING!$T$4)^2)/(2*(TRAINING!$T$9^2)))</f>
        <v>4.6387549225474795E-3</v>
      </c>
      <c r="W99">
        <f>(1/(SQRT(2*PI())*TRAINING!$U$8))*EXP(-((G99-TRAINING!$U$3)^2)/(2*(TRAINING!$U$8^2)))</f>
        <v>1.2380516371864723</v>
      </c>
      <c r="X99">
        <f>(1/(SQRT(2*PI())*TRAINING!$U$9))*EXP(-((G99-TRAINING!$U$4)^2)/(2*(TRAINING!$U$9^2)))</f>
        <v>0.90649373638540831</v>
      </c>
      <c r="Y99">
        <f>(1/(SQRT(2*PI())*TRAINING!$V$8))*EXP(-((H99-TRAINING!$V$3)^2)/(2*(TRAINING!$V$8^2)))</f>
        <v>2.4686919742992346E-2</v>
      </c>
      <c r="Z99">
        <f>(1/(SQRT(2*PI())*TRAINING!$V$9))*EXP(-((H99-TRAINING!$V$4)^2)/(2*(TRAINING!$V$9^2)))</f>
        <v>1.4904761570265752E-2</v>
      </c>
      <c r="AA99">
        <f>PRODUCT(K99,M99,O99,Q99,S99,U99,W99,Y99)*TRAINING!$L$2</f>
        <v>8.5011912712411403E-14</v>
      </c>
      <c r="AB99">
        <f>PRODUCT(L99,N99,P99,R99,T99,V99,X99,Z99)*TRAINING!$L$3</f>
        <v>9.775735375969216E-17</v>
      </c>
      <c r="AC99">
        <f t="shared" si="3"/>
        <v>0</v>
      </c>
      <c r="AD99">
        <f t="shared" si="4"/>
        <v>1</v>
      </c>
      <c r="AF99" s="19"/>
      <c r="AG99" t="str">
        <f t="shared" si="5"/>
        <v>TN</v>
      </c>
    </row>
    <row r="100" spans="1:33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  <c r="K100">
        <f>(1/(SQRT(2*PI())*TRAINING!$O$8))*EXP(-((A100-TRAINING!$O$3)^2)/(2*(TRAINING!$O$8^2)))</f>
        <v>8.6503679874208927E-2</v>
      </c>
      <c r="L100">
        <f>(1/(SQRT(2*PI())*TRAINING!$O$9))*EXP(-((A100-TRAINING!$O$4)^2)/(2*(TRAINING!$O$9^2)))</f>
        <v>0.10224520417214994</v>
      </c>
      <c r="M100">
        <f>(1/(SQRT(2*PI())*TRAINING!$P$8))*EXP(-((B100-TRAINING!$P$3)^2)/(2*(TRAINING!$P$8^2)))</f>
        <v>1.2300370725843647E-2</v>
      </c>
      <c r="N100">
        <f>(1/(SQRT(2*PI())*TRAINING!$P$9))*EXP(-((B100-TRAINING!$P$4)^2)/(2*(TRAINING!$P$9^2)))</f>
        <v>3.0795260789878618E-3</v>
      </c>
      <c r="O100">
        <f>(1/(SQRT(2*PI())*TRAINING!$Q$8))*EXP(-((C100-TRAINING!$Q$3)^2)/(2*(TRAINING!$Q$8^2)))</f>
        <v>6.6439997690656187E-3</v>
      </c>
      <c r="P100">
        <f>(1/(SQRT(2*PI())*TRAINING!$Q$9))*EXP(-((C100-TRAINING!$Q$4)^2)/(2*(TRAINING!$Q$9^2)))</f>
        <v>2.7970011666003701E-3</v>
      </c>
      <c r="Q100">
        <f>(1/(SQRT(2*PI())*TRAINING!$R$8))*EXP(-((D100-TRAINING!$R$3)^2)/(2*(TRAINING!$R$8^2)))</f>
        <v>4.1168207127831397E-2</v>
      </c>
      <c r="R100">
        <f>(1/(SQRT(2*PI())*TRAINING!$R$9))*EXP(-((D100-TRAINING!$R$4)^2)/(2*(TRAINING!$R$9^2)))</f>
        <v>4.041370800237605E-2</v>
      </c>
      <c r="S100">
        <f>(1/(SQRT(2*PI())*TRAINING!$S$8))*EXP(-((E100-TRAINING!$S$3)^2)/(2*(TRAINING!$S$8^2)))</f>
        <v>4.1362021244729114E-3</v>
      </c>
      <c r="T100">
        <f>(1/(SQRT(2*PI())*TRAINING!$S$9))*EXP(-((E100-TRAINING!$S$4)^2)/(2*(TRAINING!$S$9^2)))</f>
        <v>3.0229948107254657E-3</v>
      </c>
      <c r="U100">
        <f>(1/(SQRT(2*PI())*TRAINING!$T$8))*EXP(-((F100-TRAINING!$T$3)^2)/(2*(TRAINING!$T$8^2)))</f>
        <v>5.7533240536953863E-2</v>
      </c>
      <c r="V100">
        <f>(1/(SQRT(2*PI())*TRAINING!$T$9))*EXP(-((F100-TRAINING!$T$4)^2)/(2*(TRAINING!$T$9^2)))</f>
        <v>3.6598979852896389E-2</v>
      </c>
      <c r="W100">
        <f>(1/(SQRT(2*PI())*TRAINING!$U$8))*EXP(-((G100-TRAINING!$U$3)^2)/(2*(TRAINING!$U$8^2)))</f>
        <v>1.2811881259724056</v>
      </c>
      <c r="X100">
        <f>(1/(SQRT(2*PI())*TRAINING!$U$9))*EXP(-((G100-TRAINING!$U$4)^2)/(2*(TRAINING!$U$9^2)))</f>
        <v>0.95640385967552155</v>
      </c>
      <c r="Y100">
        <f>(1/(SQRT(2*PI())*TRAINING!$V$8))*EXP(-((H100-TRAINING!$V$3)^2)/(2*(TRAINING!$V$8^2)))</f>
        <v>2.6282439590781519E-2</v>
      </c>
      <c r="Z100">
        <f>(1/(SQRT(2*PI())*TRAINING!$V$9))*EXP(-((H100-TRAINING!$V$4)^2)/(2*(TRAINING!$V$9^2)))</f>
        <v>1.6777009273758671E-2</v>
      </c>
      <c r="AA100">
        <f>PRODUCT(K100,M100,O100,Q100,S100,U100,W100,Y100)*TRAINING!$L$2</f>
        <v>1.5205922497700076E-12</v>
      </c>
      <c r="AB100">
        <f>PRODUCT(L100,N100,P100,R100,T100,V100,X100,Z100)*TRAINING!$L$3</f>
        <v>2.1482723716580536E-14</v>
      </c>
      <c r="AC100">
        <f t="shared" si="3"/>
        <v>0</v>
      </c>
      <c r="AD100">
        <f t="shared" si="4"/>
        <v>1</v>
      </c>
      <c r="AF100" s="19"/>
      <c r="AG100" t="str">
        <f t="shared" si="5"/>
        <v>TN</v>
      </c>
    </row>
    <row r="101" spans="1:33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  <c r="K101">
        <f>(1/(SQRT(2*PI())*TRAINING!$O$8))*EXP(-((A101-TRAINING!$O$3)^2)/(2*(TRAINING!$O$8^2)))</f>
        <v>0.10069314833313707</v>
      </c>
      <c r="L101">
        <f>(1/(SQRT(2*PI())*TRAINING!$O$9))*EXP(-((A101-TRAINING!$O$4)^2)/(2*(TRAINING!$O$9^2)))</f>
        <v>6.3165200316397857E-2</v>
      </c>
      <c r="M101">
        <f>(1/(SQRT(2*PI())*TRAINING!$P$8))*EXP(-((B101-TRAINING!$P$3)^2)/(2*(TRAINING!$P$8^2)))</f>
        <v>1.4711774769147989E-2</v>
      </c>
      <c r="N101">
        <f>(1/(SQRT(2*PI())*TRAINING!$P$9))*EXP(-((B101-TRAINING!$P$4)^2)/(2*(TRAINING!$P$9^2)))</f>
        <v>1.0456041230157254E-2</v>
      </c>
      <c r="O101">
        <f>(1/(SQRT(2*PI())*TRAINING!$Q$8))*EXP(-((C101-TRAINING!$Q$3)^2)/(2*(TRAINING!$Q$8^2)))</f>
        <v>9.1004413738675835E-3</v>
      </c>
      <c r="P101">
        <f>(1/(SQRT(2*PI())*TRAINING!$Q$9))*EXP(-((C101-TRAINING!$Q$4)^2)/(2*(TRAINING!$Q$9^2)))</f>
        <v>1.5261261756373781E-2</v>
      </c>
      <c r="Q101">
        <f>(1/(SQRT(2*PI())*TRAINING!$R$8))*EXP(-((D101-TRAINING!$R$3)^2)/(2*(TRAINING!$R$8^2)))</f>
        <v>8.1457551317231367E-4</v>
      </c>
      <c r="R101">
        <f>(1/(SQRT(2*PI())*TRAINING!$R$9))*EXP(-((D101-TRAINING!$R$4)^2)/(2*(TRAINING!$R$9^2)))</f>
        <v>3.9683303571008592E-3</v>
      </c>
      <c r="S101">
        <f>(1/(SQRT(2*PI())*TRAINING!$S$8))*EXP(-((E101-TRAINING!$S$3)^2)/(2*(TRAINING!$S$8^2)))</f>
        <v>1.5377752245884461E-3</v>
      </c>
      <c r="T101">
        <f>(1/(SQRT(2*PI())*TRAINING!$S$9))*EXP(-((E101-TRAINING!$S$4)^2)/(2*(TRAINING!$S$9^2)))</f>
        <v>2.2474871511118893E-3</v>
      </c>
      <c r="U101">
        <f>(1/(SQRT(2*PI())*TRAINING!$T$8))*EXP(-((F101-TRAINING!$T$3)^2)/(2*(TRAINING!$T$8^2)))</f>
        <v>9.9575453461268524E-4</v>
      </c>
      <c r="V101">
        <f>(1/(SQRT(2*PI())*TRAINING!$T$9))*EXP(-((F101-TRAINING!$T$4)^2)/(2*(TRAINING!$T$9^2)))</f>
        <v>5.5369481775674155E-3</v>
      </c>
      <c r="W101">
        <f>(1/(SQRT(2*PI())*TRAINING!$U$8))*EXP(-((G101-TRAINING!$U$3)^2)/(2*(TRAINING!$U$8^2)))</f>
        <v>1.2410481107360782</v>
      </c>
      <c r="X101">
        <f>(1/(SQRT(2*PI())*TRAINING!$U$9))*EXP(-((G101-TRAINING!$U$4)^2)/(2*(TRAINING!$U$9^2)))</f>
        <v>0.90965992303422172</v>
      </c>
      <c r="Y101">
        <f>(1/(SQRT(2*PI())*TRAINING!$V$8))*EXP(-((H101-TRAINING!$V$3)^2)/(2*(TRAINING!$V$8^2)))</f>
        <v>3.3596431738612473E-2</v>
      </c>
      <c r="Z101">
        <f>(1/(SQRT(2*PI())*TRAINING!$V$9))*EXP(-((H101-TRAINING!$V$4)^2)/(2*(TRAINING!$V$9^2)))</f>
        <v>3.1979114216098517E-2</v>
      </c>
      <c r="AA101">
        <f>PRODUCT(K101,M101,O101,Q101,S101,U101,W101,Y101)*TRAINING!$L$2</f>
        <v>4.5714605363980241E-16</v>
      </c>
      <c r="AB101">
        <f>PRODUCT(L101,N101,P101,R101,T101,V101,X101,Z101)*TRAINING!$L$3</f>
        <v>4.923064325284352E-15</v>
      </c>
      <c r="AC101">
        <f t="shared" si="3"/>
        <v>1</v>
      </c>
      <c r="AD101">
        <f t="shared" si="4"/>
        <v>1</v>
      </c>
      <c r="AF101" s="19"/>
      <c r="AG101" t="str">
        <f t="shared" si="5"/>
        <v>TP</v>
      </c>
    </row>
    <row r="102" spans="1:33" x14ac:dyDescent="0.3">
      <c r="A102">
        <v>1</v>
      </c>
      <c r="B102">
        <v>163</v>
      </c>
      <c r="C102">
        <v>72</v>
      </c>
      <c r="D102">
        <v>23</v>
      </c>
      <c r="E102">
        <v>30.5</v>
      </c>
      <c r="F102">
        <v>39</v>
      </c>
      <c r="G102">
        <v>1.222</v>
      </c>
      <c r="H102">
        <v>33</v>
      </c>
      <c r="I102">
        <v>1</v>
      </c>
      <c r="K102">
        <f>(1/(SQRT(2*PI())*TRAINING!$O$8))*EXP(-((A102-TRAINING!$O$3)^2)/(2*(TRAINING!$O$8^2)))</f>
        <v>0.10069314833313707</v>
      </c>
      <c r="L102">
        <f>(1/(SQRT(2*PI())*TRAINING!$O$9))*EXP(-((A102-TRAINING!$O$4)^2)/(2*(TRAINING!$O$9^2)))</f>
        <v>6.3165200316397857E-2</v>
      </c>
      <c r="M102">
        <f>(1/(SQRT(2*PI())*TRAINING!$P$8))*EXP(-((B102-TRAINING!$P$3)^2)/(2*(TRAINING!$P$8^2)))</f>
        <v>1.7900880088665527E-3</v>
      </c>
      <c r="N102">
        <f>(1/(SQRT(2*PI())*TRAINING!$P$9))*EXP(-((B102-TRAINING!$P$4)^2)/(2*(TRAINING!$P$9^2)))</f>
        <v>1.0905605051310325E-2</v>
      </c>
      <c r="O102">
        <f>(1/(SQRT(2*PI())*TRAINING!$Q$8))*EXP(-((C102-TRAINING!$Q$3)^2)/(2*(TRAINING!$Q$8^2)))</f>
        <v>3.4215224205554493E-2</v>
      </c>
      <c r="P102">
        <f>(1/(SQRT(2*PI())*TRAINING!$Q$9))*EXP(-((C102-TRAINING!$Q$4)^2)/(2*(TRAINING!$Q$9^2)))</f>
        <v>3.3852206664402869E-2</v>
      </c>
      <c r="Q102">
        <f>(1/(SQRT(2*PI())*TRAINING!$R$8))*EXP(-((D102-TRAINING!$R$3)^2)/(2*(TRAINING!$R$8^2)))</f>
        <v>4.2691938231656991E-2</v>
      </c>
      <c r="R102">
        <f>(1/(SQRT(2*PI())*TRAINING!$R$9))*EXP(-((D102-TRAINING!$R$4)^2)/(2*(TRAINING!$R$9^2)))</f>
        <v>3.202065801833482E-2</v>
      </c>
      <c r="S102">
        <f>(1/(SQRT(2*PI())*TRAINING!$S$8))*EXP(-((E102-TRAINING!$S$3)^2)/(2*(TRAINING!$S$8^2)))</f>
        <v>3.5657055057560366E-3</v>
      </c>
      <c r="T102">
        <f>(1/(SQRT(2*PI())*TRAINING!$S$9))*EXP(-((E102-TRAINING!$S$4)^2)/(2*(TRAINING!$S$9^2)))</f>
        <v>2.5951511419773543E-3</v>
      </c>
      <c r="U102">
        <f>(1/(SQRT(2*PI())*TRAINING!$T$8))*EXP(-((F102-TRAINING!$T$3)^2)/(2*(TRAINING!$T$8^2)))</f>
        <v>2.8660558649827392E-2</v>
      </c>
      <c r="V102">
        <f>(1/(SQRT(2*PI())*TRAINING!$T$9))*EXP(-((F102-TRAINING!$T$4)^2)/(2*(TRAINING!$T$9^2)))</f>
        <v>5.1835709737310789E-2</v>
      </c>
      <c r="W102">
        <f>(1/(SQRT(2*PI())*TRAINING!$U$8))*EXP(-((G102-TRAINING!$U$3)^2)/(2*(TRAINING!$U$8^2)))</f>
        <v>4.310656011639017E-2</v>
      </c>
      <c r="X102">
        <f>(1/(SQRT(2*PI())*TRAINING!$U$9))*EXP(-((G102-TRAINING!$U$4)^2)/(2*(TRAINING!$U$9^2)))</f>
        <v>0.19548791987907005</v>
      </c>
      <c r="Y102">
        <f>(1/(SQRT(2*PI())*TRAINING!$V$8))*EXP(-((H102-TRAINING!$V$3)^2)/(2*(TRAINING!$V$8^2)))</f>
        <v>3.3275689020108933E-2</v>
      </c>
      <c r="Z102">
        <f>(1/(SQRT(2*PI())*TRAINING!$V$9))*EXP(-((H102-TRAINING!$V$4)^2)/(2*(TRAINING!$V$9^2)))</f>
        <v>3.4556158331369637E-2</v>
      </c>
      <c r="AA102">
        <f>PRODUCT(K102,M102,O102,Q102,S102,U102,W102,Y102)*TRAINING!$L$2</f>
        <v>2.5165720593800739E-14</v>
      </c>
      <c r="AB102">
        <f>PRODUCT(L102,N102,P102,R102,T102,V102,X102,Z102)*TRAINING!$L$3</f>
        <v>2.3070705877405879E-13</v>
      </c>
      <c r="AC102">
        <f t="shared" si="3"/>
        <v>1</v>
      </c>
      <c r="AD102">
        <f t="shared" si="4"/>
        <v>1</v>
      </c>
      <c r="AF102" s="19"/>
      <c r="AG102" t="str">
        <f t="shared" si="5"/>
        <v>TP</v>
      </c>
    </row>
    <row r="103" spans="1:33" x14ac:dyDescent="0.3">
      <c r="A103">
        <v>1</v>
      </c>
      <c r="B103">
        <v>151</v>
      </c>
      <c r="C103">
        <v>60</v>
      </c>
      <c r="D103">
        <v>23</v>
      </c>
      <c r="E103">
        <v>30.5</v>
      </c>
      <c r="F103">
        <v>26.1</v>
      </c>
      <c r="G103">
        <v>0.17899999999999999</v>
      </c>
      <c r="H103">
        <v>22</v>
      </c>
      <c r="I103">
        <v>0</v>
      </c>
      <c r="K103">
        <f>(1/(SQRT(2*PI())*TRAINING!$O$8))*EXP(-((A103-TRAINING!$O$3)^2)/(2*(TRAINING!$O$8^2)))</f>
        <v>0.10069314833313707</v>
      </c>
      <c r="L103">
        <f>(1/(SQRT(2*PI())*TRAINING!$O$9))*EXP(-((A103-TRAINING!$O$4)^2)/(2*(TRAINING!$O$9^2)))</f>
        <v>6.3165200316397857E-2</v>
      </c>
      <c r="M103">
        <f>(1/(SQRT(2*PI())*TRAINING!$P$8))*EXP(-((B103-TRAINING!$P$3)^2)/(2*(TRAINING!$P$8^2)))</f>
        <v>4.4143664984155496E-3</v>
      </c>
      <c r="N103">
        <f>(1/(SQRT(2*PI())*TRAINING!$P$9))*EXP(-((B103-TRAINING!$P$4)^2)/(2*(TRAINING!$P$9^2)))</f>
        <v>1.3215711491260426E-2</v>
      </c>
      <c r="O103">
        <f>(1/(SQRT(2*PI())*TRAINING!$Q$8))*EXP(-((C103-TRAINING!$Q$3)^2)/(2*(TRAINING!$Q$8^2)))</f>
        <v>2.1821879354468197E-2</v>
      </c>
      <c r="P103">
        <f>(1/(SQRT(2*PI())*TRAINING!$Q$9))*EXP(-((C103-TRAINING!$Q$4)^2)/(2*(TRAINING!$Q$9^2)))</f>
        <v>1.3939617132614638E-2</v>
      </c>
      <c r="Q103">
        <f>(1/(SQRT(2*PI())*TRAINING!$R$8))*EXP(-((D103-TRAINING!$R$3)^2)/(2*(TRAINING!$R$8^2)))</f>
        <v>4.2691938231656991E-2</v>
      </c>
      <c r="R103">
        <f>(1/(SQRT(2*PI())*TRAINING!$R$9))*EXP(-((D103-TRAINING!$R$4)^2)/(2*(TRAINING!$R$9^2)))</f>
        <v>3.202065801833482E-2</v>
      </c>
      <c r="S103">
        <f>(1/(SQRT(2*PI())*TRAINING!$S$8))*EXP(-((E103-TRAINING!$S$3)^2)/(2*(TRAINING!$S$8^2)))</f>
        <v>3.5657055057560366E-3</v>
      </c>
      <c r="T103">
        <f>(1/(SQRT(2*PI())*TRAINING!$S$9))*EXP(-((E103-TRAINING!$S$4)^2)/(2*(TRAINING!$S$9^2)))</f>
        <v>2.5951511419773543E-3</v>
      </c>
      <c r="U103">
        <f>(1/(SQRT(2*PI())*TRAINING!$T$8))*EXP(-((F103-TRAINING!$T$3)^2)/(2*(TRAINING!$T$8^2)))</f>
        <v>4.6285048553157862E-2</v>
      </c>
      <c r="V103">
        <f>(1/(SQRT(2*PI())*TRAINING!$T$9))*EXP(-((F103-TRAINING!$T$4)^2)/(2*(TRAINING!$T$9^2)))</f>
        <v>2.2744810170350141E-2</v>
      </c>
      <c r="W103">
        <f>(1/(SQRT(2*PI())*TRAINING!$U$8))*EXP(-((G103-TRAINING!$U$3)^2)/(2*(TRAINING!$U$8^2)))</f>
        <v>0.92646379627278985</v>
      </c>
      <c r="X103">
        <f>(1/(SQRT(2*PI())*TRAINING!$U$9))*EXP(-((G103-TRAINING!$U$4)^2)/(2*(TRAINING!$U$9^2)))</f>
        <v>0.65046361266014829</v>
      </c>
      <c r="Y103">
        <f>(1/(SQRT(2*PI())*TRAINING!$V$8))*EXP(-((H103-TRAINING!$V$3)^2)/(2*(TRAINING!$V$8^2)))</f>
        <v>2.4686919742992346E-2</v>
      </c>
      <c r="Z103">
        <f>(1/(SQRT(2*PI())*TRAINING!$V$9))*EXP(-((H103-TRAINING!$V$4)^2)/(2*(TRAINING!$V$9^2)))</f>
        <v>1.4904761570265752E-2</v>
      </c>
      <c r="AA103">
        <f>PRODUCT(K103,M103,O103,Q103,S103,U103,W103,Y103)*TRAINING!$L$2</f>
        <v>1.0191946614135735E-12</v>
      </c>
      <c r="AB103">
        <f>PRODUCT(L103,N103,P103,R103,T103,V103,X103,Z103)*TRAINING!$L$3</f>
        <v>7.2497236902048851E-14</v>
      </c>
      <c r="AC103">
        <f t="shared" si="3"/>
        <v>0</v>
      </c>
      <c r="AD103">
        <f t="shared" si="4"/>
        <v>1</v>
      </c>
      <c r="AF103" s="19"/>
      <c r="AG103" t="str">
        <f t="shared" si="5"/>
        <v>TN</v>
      </c>
    </row>
    <row r="104" spans="1:33" x14ac:dyDescent="0.3">
      <c r="A104">
        <v>0</v>
      </c>
      <c r="B104">
        <v>125</v>
      </c>
      <c r="C104">
        <v>96</v>
      </c>
      <c r="D104">
        <v>23</v>
      </c>
      <c r="E104">
        <v>30.5</v>
      </c>
      <c r="F104">
        <v>22.5</v>
      </c>
      <c r="G104">
        <v>0.26200000000000001</v>
      </c>
      <c r="H104">
        <v>21</v>
      </c>
      <c r="I104">
        <v>0</v>
      </c>
      <c r="K104">
        <f>(1/(SQRT(2*PI())*TRAINING!$O$8))*EXP(-((A104-TRAINING!$O$3)^2)/(2*(TRAINING!$O$8^2)))</f>
        <v>7.4791087346963395E-2</v>
      </c>
      <c r="L104">
        <f>(1/(SQRT(2*PI())*TRAINING!$O$9))*EXP(-((A104-TRAINING!$O$4)^2)/(2*(TRAINING!$O$9^2)))</f>
        <v>4.6140116319387747E-2</v>
      </c>
      <c r="M104">
        <f>(1/(SQRT(2*PI())*TRAINING!$P$8))*EXP(-((B104-TRAINING!$P$3)^2)/(2*(TRAINING!$P$8^2)))</f>
        <v>1.3849429291927092E-2</v>
      </c>
      <c r="N104">
        <f>(1/(SQRT(2*PI())*TRAINING!$P$9))*EXP(-((B104-TRAINING!$P$4)^2)/(2*(TRAINING!$P$9^2)))</f>
        <v>1.1214811619511168E-2</v>
      </c>
      <c r="O104">
        <f>(1/(SQRT(2*PI())*TRAINING!$Q$8))*EXP(-((C104-TRAINING!$Q$3)^2)/(2*(TRAINING!$Q$8^2)))</f>
        <v>3.4342934371503994E-3</v>
      </c>
      <c r="P104">
        <f>(1/(SQRT(2*PI())*TRAINING!$Q$9))*EXP(-((C104-TRAINING!$Q$4)^2)/(2*(TRAINING!$Q$9^2)))</f>
        <v>6.6352617656347986E-3</v>
      </c>
      <c r="Q104">
        <f>(1/(SQRT(2*PI())*TRAINING!$R$8))*EXP(-((D104-TRAINING!$R$3)^2)/(2*(TRAINING!$R$8^2)))</f>
        <v>4.2691938231656991E-2</v>
      </c>
      <c r="R104">
        <f>(1/(SQRT(2*PI())*TRAINING!$R$9))*EXP(-((D104-TRAINING!$R$4)^2)/(2*(TRAINING!$R$9^2)))</f>
        <v>3.202065801833482E-2</v>
      </c>
      <c r="S104">
        <f>(1/(SQRT(2*PI())*TRAINING!$S$8))*EXP(-((E104-TRAINING!$S$3)^2)/(2*(TRAINING!$S$8^2)))</f>
        <v>3.5657055057560366E-3</v>
      </c>
      <c r="T104">
        <f>(1/(SQRT(2*PI())*TRAINING!$S$9))*EXP(-((E104-TRAINING!$S$4)^2)/(2*(TRAINING!$S$9^2)))</f>
        <v>2.5951511419773543E-3</v>
      </c>
      <c r="U104">
        <f>(1/(SQRT(2*PI())*TRAINING!$T$8))*EXP(-((F104-TRAINING!$T$3)^2)/(2*(TRAINING!$T$8^2)))</f>
        <v>2.6358125351401644E-2</v>
      </c>
      <c r="V104">
        <f>(1/(SQRT(2*PI())*TRAINING!$T$9))*EXP(-((F104-TRAINING!$T$4)^2)/(2*(TRAINING!$T$9^2)))</f>
        <v>9.0939719869403222E-3</v>
      </c>
      <c r="W104">
        <f>(1/(SQRT(2*PI())*TRAINING!$U$8))*EXP(-((G104-TRAINING!$U$3)^2)/(2*(TRAINING!$U$8^2)))</f>
        <v>1.1259521332465225</v>
      </c>
      <c r="X104">
        <f>(1/(SQRT(2*PI())*TRAINING!$U$9))*EXP(-((G104-TRAINING!$U$4)^2)/(2*(TRAINING!$U$9^2)))</f>
        <v>0.80308453196236285</v>
      </c>
      <c r="Y104">
        <f>(1/(SQRT(2*PI())*TRAINING!$V$8))*EXP(-((H104-TRAINING!$V$3)^2)/(2*(TRAINING!$V$8^2)))</f>
        <v>2.3024268373034226E-2</v>
      </c>
      <c r="Z104">
        <f>(1/(SQRT(2*PI())*TRAINING!$V$9))*EXP(-((H104-TRAINING!$V$4)^2)/(2*(TRAINING!$V$9^2)))</f>
        <v>1.3130994726231127E-2</v>
      </c>
      <c r="AA104">
        <f>PRODUCT(K104,M104,O104,Q104,S104,U104,W104,Y104)*TRAINING!$L$2</f>
        <v>2.4126815952703699E-13</v>
      </c>
      <c r="AB104">
        <f>PRODUCT(L104,N104,P104,R104,T104,V104,X104,Z104)*TRAINING!$L$3</f>
        <v>9.3027865119641947E-15</v>
      </c>
      <c r="AC104">
        <f t="shared" si="3"/>
        <v>0</v>
      </c>
      <c r="AD104">
        <f t="shared" si="4"/>
        <v>1</v>
      </c>
      <c r="AF104" s="19"/>
      <c r="AG104" t="str">
        <f t="shared" si="5"/>
        <v>TN</v>
      </c>
    </row>
    <row r="105" spans="1:33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  <c r="K105">
        <f>(1/(SQRT(2*PI())*TRAINING!$O$8))*EXP(-((A105-TRAINING!$O$3)^2)/(2*(TRAINING!$O$8^2)))</f>
        <v>0.10069314833313707</v>
      </c>
      <c r="L105">
        <f>(1/(SQRT(2*PI())*TRAINING!$O$9))*EXP(-((A105-TRAINING!$O$4)^2)/(2*(TRAINING!$O$9^2)))</f>
        <v>6.3165200316397857E-2</v>
      </c>
      <c r="M105">
        <f>(1/(SQRT(2*PI())*TRAINING!$P$8))*EXP(-((B105-TRAINING!$P$3)^2)/(2*(TRAINING!$P$8^2)))</f>
        <v>7.6222421354011621E-3</v>
      </c>
      <c r="N105">
        <f>(1/(SQRT(2*PI())*TRAINING!$P$9))*EXP(-((B105-TRAINING!$P$4)^2)/(2*(TRAINING!$P$9^2)))</f>
        <v>1.3908324936951994E-3</v>
      </c>
      <c r="O105">
        <f>(1/(SQRT(2*PI())*TRAINING!$Q$8))*EXP(-((C105-TRAINING!$Q$3)^2)/(2*(TRAINING!$Q$8^2)))</f>
        <v>3.4215224205554493E-2</v>
      </c>
      <c r="P105">
        <f>(1/(SQRT(2*PI())*TRAINING!$Q$9))*EXP(-((C105-TRAINING!$Q$4)^2)/(2*(TRAINING!$Q$9^2)))</f>
        <v>3.3852206664402869E-2</v>
      </c>
      <c r="Q105">
        <f>(1/(SQRT(2*PI())*TRAINING!$R$8))*EXP(-((D105-TRAINING!$R$3)^2)/(2*(TRAINING!$R$8^2)))</f>
        <v>2.9690126924352758E-2</v>
      </c>
      <c r="R105">
        <f>(1/(SQRT(2*PI())*TRAINING!$R$9))*EXP(-((D105-TRAINING!$R$4)^2)/(2*(TRAINING!$R$9^2)))</f>
        <v>1.9925971390208779E-2</v>
      </c>
      <c r="S105">
        <f>(1/(SQRT(2*PI())*TRAINING!$S$8))*EXP(-((E105-TRAINING!$S$3)^2)/(2*(TRAINING!$S$8^2)))</f>
        <v>3.767500052044848E-3</v>
      </c>
      <c r="T105">
        <f>(1/(SQRT(2*PI())*TRAINING!$S$9))*EXP(-((E105-TRAINING!$S$4)^2)/(2*(TRAINING!$S$9^2)))</f>
        <v>2.7310534115275995E-3</v>
      </c>
      <c r="U105">
        <f>(1/(SQRT(2*PI())*TRAINING!$T$8))*EXP(-((F105-TRAINING!$T$3)^2)/(2*(TRAINING!$T$8^2)))</f>
        <v>4.8860608238382792E-2</v>
      </c>
      <c r="V105">
        <f>(1/(SQRT(2*PI())*TRAINING!$T$9))*EXP(-((F105-TRAINING!$T$4)^2)/(2*(TRAINING!$T$9^2)))</f>
        <v>2.5228031620371412E-2</v>
      </c>
      <c r="W105">
        <f>(1/(SQRT(2*PI())*TRAINING!$U$8))*EXP(-((G105-TRAINING!$U$3)^2)/(2*(TRAINING!$U$8^2)))</f>
        <v>1.1687470777057172</v>
      </c>
      <c r="X105">
        <f>(1/(SQRT(2*PI())*TRAINING!$U$9))*EXP(-((G105-TRAINING!$U$4)^2)/(2*(TRAINING!$U$9^2)))</f>
        <v>0.83998918875239714</v>
      </c>
      <c r="Y105">
        <f>(1/(SQRT(2*PI())*TRAINING!$V$8))*EXP(-((H105-TRAINING!$V$3)^2)/(2*(TRAINING!$V$8^2)))</f>
        <v>2.7783192496885357E-2</v>
      </c>
      <c r="Z105">
        <f>(1/(SQRT(2*PI())*TRAINING!$V$9))*EXP(-((H105-TRAINING!$V$4)^2)/(2*(TRAINING!$V$9^2)))</f>
        <v>1.8726911646419479E-2</v>
      </c>
      <c r="AA105">
        <f>PRODUCT(K105,M105,O105,Q105,S105,U105,W105,Y105)*TRAINING!$L$2</f>
        <v>3.0387724752083144E-12</v>
      </c>
      <c r="AB105">
        <f>PRODUCT(L105,N105,P105,R105,T105,V105,X105,Z105)*TRAINING!$L$3</f>
        <v>2.1836927265593806E-14</v>
      </c>
      <c r="AC105">
        <f t="shared" si="3"/>
        <v>0</v>
      </c>
      <c r="AD105">
        <f t="shared" si="4"/>
        <v>1</v>
      </c>
      <c r="AF105" s="19"/>
      <c r="AG105" t="str">
        <f t="shared" si="5"/>
        <v>TN</v>
      </c>
    </row>
    <row r="106" spans="1:33" x14ac:dyDescent="0.3">
      <c r="A106">
        <v>2</v>
      </c>
      <c r="B106">
        <v>85</v>
      </c>
      <c r="C106">
        <v>65</v>
      </c>
      <c r="D106">
        <v>23</v>
      </c>
      <c r="E106">
        <v>30.5</v>
      </c>
      <c r="F106">
        <v>39.6</v>
      </c>
      <c r="G106">
        <v>0.93</v>
      </c>
      <c r="H106">
        <v>27</v>
      </c>
      <c r="I106">
        <v>0</v>
      </c>
      <c r="K106">
        <f>(1/(SQRT(2*PI())*TRAINING!$O$8))*EXP(-((A106-TRAINING!$O$3)^2)/(2*(TRAINING!$O$8^2)))</f>
        <v>0.12153525578060927</v>
      </c>
      <c r="L106">
        <f>(1/(SQRT(2*PI())*TRAINING!$O$9))*EXP(-((A106-TRAINING!$O$4)^2)/(2*(TRAINING!$O$9^2)))</f>
        <v>8.041832272231407E-2</v>
      </c>
      <c r="M106">
        <f>(1/(SQRT(2*PI())*TRAINING!$P$8))*EXP(-((B106-TRAINING!$P$3)^2)/(2*(TRAINING!$P$8^2)))</f>
        <v>9.1788136053396092E-3</v>
      </c>
      <c r="N106">
        <f>(1/(SQRT(2*PI())*TRAINING!$P$9))*EXP(-((B106-TRAINING!$P$4)^2)/(2*(TRAINING!$P$9^2)))</f>
        <v>1.8471802364025524E-3</v>
      </c>
      <c r="O106">
        <f>(1/(SQRT(2*PI())*TRAINING!$Q$8))*EXP(-((C106-TRAINING!$Q$3)^2)/(2*(TRAINING!$Q$8^2)))</f>
        <v>2.996038147484471E-2</v>
      </c>
      <c r="P106">
        <f>(1/(SQRT(2*PI())*TRAINING!$Q$9))*EXP(-((C106-TRAINING!$Q$4)^2)/(2*(TRAINING!$Q$9^2)))</f>
        <v>2.315775778345661E-2</v>
      </c>
      <c r="Q106">
        <f>(1/(SQRT(2*PI())*TRAINING!$R$8))*EXP(-((D106-TRAINING!$R$3)^2)/(2*(TRAINING!$R$8^2)))</f>
        <v>4.2691938231656991E-2</v>
      </c>
      <c r="R106">
        <f>(1/(SQRT(2*PI())*TRAINING!$R$9))*EXP(-((D106-TRAINING!$R$4)^2)/(2*(TRAINING!$R$9^2)))</f>
        <v>3.202065801833482E-2</v>
      </c>
      <c r="S106">
        <f>(1/(SQRT(2*PI())*TRAINING!$S$8))*EXP(-((E106-TRAINING!$S$3)^2)/(2*(TRAINING!$S$8^2)))</f>
        <v>3.5657055057560366E-3</v>
      </c>
      <c r="T106">
        <f>(1/(SQRT(2*PI())*TRAINING!$S$9))*EXP(-((E106-TRAINING!$S$4)^2)/(2*(TRAINING!$S$9^2)))</f>
        <v>2.5951511419773543E-3</v>
      </c>
      <c r="U106">
        <f>(1/(SQRT(2*PI())*TRAINING!$T$8))*EXP(-((F106-TRAINING!$T$3)^2)/(2*(TRAINING!$T$8^2)))</f>
        <v>2.5488079814593282E-2</v>
      </c>
      <c r="V106">
        <f>(1/(SQRT(2*PI())*TRAINING!$T$9))*EXP(-((F106-TRAINING!$T$4)^2)/(2*(TRAINING!$T$9^2)))</f>
        <v>4.904471271003899E-2</v>
      </c>
      <c r="W106">
        <f>(1/(SQRT(2*PI())*TRAINING!$U$8))*EXP(-((G106-TRAINING!$U$3)^2)/(2*(TRAINING!$U$8^2)))</f>
        <v>0.34072378121075708</v>
      </c>
      <c r="X106">
        <f>(1/(SQRT(2*PI())*TRAINING!$U$9))*EXP(-((G106-TRAINING!$U$4)^2)/(2*(TRAINING!$U$9^2)))</f>
        <v>0.63615541339370685</v>
      </c>
      <c r="Y106">
        <f>(1/(SQRT(2*PI())*TRAINING!$V$8))*EXP(-((H106-TRAINING!$V$3)^2)/(2*(TRAINING!$V$8^2)))</f>
        <v>3.1451241064801919E-2</v>
      </c>
      <c r="Z106">
        <f>(1/(SQRT(2*PI())*TRAINING!$V$9))*EXP(-((H106-TRAINING!$V$4)^2)/(2*(TRAINING!$V$9^2)))</f>
        <v>2.4768154290602078E-2</v>
      </c>
      <c r="AA106">
        <f>PRODUCT(K106,M106,O106,Q106,S106,U106,W106,Y106)*TRAINING!$L$2</f>
        <v>9.0609581012084413E-13</v>
      </c>
      <c r="AB106">
        <f>PRODUCT(L106,N106,P106,R106,T106,V106,X106,Z106)*TRAINING!$L$3</f>
        <v>7.5107219308759436E-14</v>
      </c>
      <c r="AC106">
        <f t="shared" si="3"/>
        <v>0</v>
      </c>
      <c r="AD106">
        <f t="shared" si="4"/>
        <v>1</v>
      </c>
      <c r="AF106" s="19"/>
      <c r="AG106" t="str">
        <f t="shared" si="5"/>
        <v>TN</v>
      </c>
    </row>
    <row r="107" spans="1:33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  <c r="K107">
        <f>(1/(SQRT(2*PI())*TRAINING!$O$8))*EXP(-((A107-TRAINING!$O$3)^2)/(2*(TRAINING!$O$8^2)))</f>
        <v>0.10069314833313707</v>
      </c>
      <c r="L107">
        <f>(1/(SQRT(2*PI())*TRAINING!$O$9))*EXP(-((A107-TRAINING!$O$4)^2)/(2*(TRAINING!$O$9^2)))</f>
        <v>6.3165200316397857E-2</v>
      </c>
      <c r="M107">
        <f>(1/(SQRT(2*PI())*TRAINING!$P$8))*EXP(-((B107-TRAINING!$P$3)^2)/(2*(TRAINING!$P$8^2)))</f>
        <v>1.3528801206188113E-2</v>
      </c>
      <c r="N107">
        <f>(1/(SQRT(2*PI())*TRAINING!$P$9))*EXP(-((B107-TRAINING!$P$4)^2)/(2*(TRAINING!$P$9^2)))</f>
        <v>1.1452833666473249E-2</v>
      </c>
      <c r="O107">
        <f>(1/(SQRT(2*PI())*TRAINING!$Q$8))*EXP(-((C107-TRAINING!$Q$3)^2)/(2*(TRAINING!$Q$8^2)))</f>
        <v>1.4821476852450924E-2</v>
      </c>
      <c r="P107">
        <f>(1/(SQRT(2*PI())*TRAINING!$Q$9))*EXP(-((C107-TRAINING!$Q$4)^2)/(2*(TRAINING!$Q$9^2)))</f>
        <v>8.059243289471477E-3</v>
      </c>
      <c r="Q107">
        <f>(1/(SQRT(2*PI())*TRAINING!$R$8))*EXP(-((D107-TRAINING!$R$3)^2)/(2*(TRAINING!$R$8^2)))</f>
        <v>4.3024675549764052E-2</v>
      </c>
      <c r="R107">
        <f>(1/(SQRT(2*PI())*TRAINING!$R$9))*EXP(-((D107-TRAINING!$R$4)^2)/(2*(TRAINING!$R$9^2)))</f>
        <v>4.0314921765277678E-2</v>
      </c>
      <c r="S107">
        <f>(1/(SQRT(2*PI())*TRAINING!$S$8))*EXP(-((E107-TRAINING!$S$3)^2)/(2*(TRAINING!$S$8^2)))</f>
        <v>3.3261537350964547E-3</v>
      </c>
      <c r="T107">
        <f>(1/(SQRT(2*PI())*TRAINING!$S$9))*EXP(-((E107-TRAINING!$S$4)^2)/(2*(TRAINING!$S$9^2)))</f>
        <v>3.1357874291361616E-3</v>
      </c>
      <c r="U107">
        <f>(1/(SQRT(2*PI())*TRAINING!$T$8))*EXP(-((F107-TRAINING!$T$3)^2)/(2*(TRAINING!$T$8^2)))</f>
        <v>5.7533240536953863E-2</v>
      </c>
      <c r="V107">
        <f>(1/(SQRT(2*PI())*TRAINING!$T$9))*EXP(-((F107-TRAINING!$T$4)^2)/(2*(TRAINING!$T$9^2)))</f>
        <v>3.6598979852896389E-2</v>
      </c>
      <c r="W107">
        <f>(1/(SQRT(2*PI())*TRAINING!$U$8))*EXP(-((G107-TRAINING!$U$3)^2)/(2*(TRAINING!$U$8^2)))</f>
        <v>0.62961059604022052</v>
      </c>
      <c r="X107">
        <f>(1/(SQRT(2*PI())*TRAINING!$U$9))*EXP(-((G107-TRAINING!$U$4)^2)/(2*(TRAINING!$U$9^2)))</f>
        <v>0.86944226449090312</v>
      </c>
      <c r="Y107">
        <f>(1/(SQRT(2*PI())*TRAINING!$V$8))*EXP(-((H107-TRAINING!$V$3)^2)/(2*(TRAINING!$V$8^2)))</f>
        <v>2.3024268373034226E-2</v>
      </c>
      <c r="Z107">
        <f>(1/(SQRT(2*PI())*TRAINING!$V$9))*EXP(-((H107-TRAINING!$V$4)^2)/(2*(TRAINING!$V$9^2)))</f>
        <v>1.3130994726231127E-2</v>
      </c>
      <c r="AA107">
        <f>PRODUCT(K107,M107,O107,Q107,S107,U107,W107,Y107)*TRAINING!$L$2</f>
        <v>1.5712909095945255E-12</v>
      </c>
      <c r="AB107">
        <f>PRODUCT(L107,N107,P107,R107,T107,V107,X107,Z107)*TRAINING!$L$3</f>
        <v>1.0470895022603185E-13</v>
      </c>
      <c r="AC107">
        <f t="shared" si="3"/>
        <v>0</v>
      </c>
      <c r="AD107">
        <f t="shared" si="4"/>
        <v>1</v>
      </c>
      <c r="AF107" s="19"/>
      <c r="AG107" t="str">
        <f t="shared" si="5"/>
        <v>TN</v>
      </c>
    </row>
    <row r="108" spans="1:33" x14ac:dyDescent="0.3">
      <c r="A108">
        <v>1</v>
      </c>
      <c r="B108">
        <v>96</v>
      </c>
      <c r="C108">
        <v>122</v>
      </c>
      <c r="D108">
        <v>23</v>
      </c>
      <c r="E108">
        <v>30.5</v>
      </c>
      <c r="F108">
        <v>22.4</v>
      </c>
      <c r="G108">
        <v>0.20699999999999999</v>
      </c>
      <c r="H108">
        <v>27</v>
      </c>
      <c r="I108">
        <v>0</v>
      </c>
      <c r="K108">
        <f>(1/(SQRT(2*PI())*TRAINING!$O$8))*EXP(-((A108-TRAINING!$O$3)^2)/(2*(TRAINING!$O$8^2)))</f>
        <v>0.10069314833313707</v>
      </c>
      <c r="L108">
        <f>(1/(SQRT(2*PI())*TRAINING!$O$9))*EXP(-((A108-TRAINING!$O$4)^2)/(2*(TRAINING!$O$9^2)))</f>
        <v>6.3165200316397857E-2</v>
      </c>
      <c r="M108">
        <f>(1/(SQRT(2*PI())*TRAINING!$P$8))*EXP(-((B108-TRAINING!$P$3)^2)/(2*(TRAINING!$P$8^2)))</f>
        <v>1.3360115276005629E-2</v>
      </c>
      <c r="N108">
        <f>(1/(SQRT(2*PI())*TRAINING!$P$9))*EXP(-((B108-TRAINING!$P$4)^2)/(2*(TRAINING!$P$9^2)))</f>
        <v>3.6585117866664266E-3</v>
      </c>
      <c r="O108">
        <f>(1/(SQRT(2*PI())*TRAINING!$Q$8))*EXP(-((C108-TRAINING!$Q$3)^2)/(2*(TRAINING!$Q$8^2)))</f>
        <v>2.3135105341127353E-6</v>
      </c>
      <c r="P108">
        <f>(1/(SQRT(2*PI())*TRAINING!$Q$9))*EXP(-((C108-TRAINING!$Q$4)^2)/(2*(TRAINING!$Q$9^2)))</f>
        <v>6.7718211515086902E-6</v>
      </c>
      <c r="Q108">
        <f>(1/(SQRT(2*PI())*TRAINING!$R$8))*EXP(-((D108-TRAINING!$R$3)^2)/(2*(TRAINING!$R$8^2)))</f>
        <v>4.2691938231656991E-2</v>
      </c>
      <c r="R108">
        <f>(1/(SQRT(2*PI())*TRAINING!$R$9))*EXP(-((D108-TRAINING!$R$4)^2)/(2*(TRAINING!$R$9^2)))</f>
        <v>3.202065801833482E-2</v>
      </c>
      <c r="S108">
        <f>(1/(SQRT(2*PI())*TRAINING!$S$8))*EXP(-((E108-TRAINING!$S$3)^2)/(2*(TRAINING!$S$8^2)))</f>
        <v>3.5657055057560366E-3</v>
      </c>
      <c r="T108">
        <f>(1/(SQRT(2*PI())*TRAINING!$S$9))*EXP(-((E108-TRAINING!$S$4)^2)/(2*(TRAINING!$S$9^2)))</f>
        <v>2.5951511419773543E-3</v>
      </c>
      <c r="U108">
        <f>(1/(SQRT(2*PI())*TRAINING!$T$8))*EXP(-((F108-TRAINING!$T$3)^2)/(2*(TRAINING!$T$8^2)))</f>
        <v>2.5836705858219657E-2</v>
      </c>
      <c r="V108">
        <f>(1/(SQRT(2*PI())*TRAINING!$T$9))*EXP(-((F108-TRAINING!$T$4)^2)/(2*(TRAINING!$T$9^2)))</f>
        <v>8.8274736739188606E-3</v>
      </c>
      <c r="W108">
        <f>(1/(SQRT(2*PI())*TRAINING!$U$8))*EXP(-((G108-TRAINING!$U$3)^2)/(2*(TRAINING!$U$8^2)))</f>
        <v>0.99789541125815229</v>
      </c>
      <c r="X108">
        <f>(1/(SQRT(2*PI())*TRAINING!$U$9))*EXP(-((G108-TRAINING!$U$4)^2)/(2*(TRAINING!$U$9^2)))</f>
        <v>0.70254731906579604</v>
      </c>
      <c r="Y108">
        <f>(1/(SQRT(2*PI())*TRAINING!$V$8))*EXP(-((H108-TRAINING!$V$3)^2)/(2*(TRAINING!$V$8^2)))</f>
        <v>3.1451241064801919E-2</v>
      </c>
      <c r="Z108">
        <f>(1/(SQRT(2*PI())*TRAINING!$V$9))*EXP(-((H108-TRAINING!$V$4)^2)/(2*(TRAINING!$V$9^2)))</f>
        <v>2.4768154290602078E-2</v>
      </c>
      <c r="AA108">
        <f>PRODUCT(K108,M108,O108,Q108,S108,U108,W108,Y108)*TRAINING!$L$2</f>
        <v>2.5049678797523985E-16</v>
      </c>
      <c r="AB108">
        <f>PRODUCT(L108,N108,P108,R108,T108,V108,X108,Z108)*TRAINING!$L$3</f>
        <v>6.7914936324524466E-18</v>
      </c>
      <c r="AC108">
        <f t="shared" si="3"/>
        <v>0</v>
      </c>
      <c r="AD108">
        <f t="shared" si="4"/>
        <v>1</v>
      </c>
      <c r="AF108" s="19"/>
      <c r="AG108" t="str">
        <f t="shared" si="5"/>
        <v>TN</v>
      </c>
    </row>
    <row r="109" spans="1:33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  <c r="K109">
        <f>(1/(SQRT(2*PI())*TRAINING!$O$8))*EXP(-((A109-TRAINING!$O$3)^2)/(2*(TRAINING!$O$8^2)))</f>
        <v>0.12757449499469867</v>
      </c>
      <c r="L109">
        <f>(1/(SQRT(2*PI())*TRAINING!$O$9))*EXP(-((A109-TRAINING!$O$4)^2)/(2*(TRAINING!$O$9^2)))</f>
        <v>0.10484388320832955</v>
      </c>
      <c r="M109">
        <f>(1/(SQRT(2*PI())*TRAINING!$P$8))*EXP(-((B109-TRAINING!$P$3)^2)/(2*(TRAINING!$P$8^2)))</f>
        <v>6.6995411168750338E-3</v>
      </c>
      <c r="N109">
        <f>(1/(SQRT(2*PI())*TRAINING!$P$9))*EXP(-((B109-TRAINING!$P$4)^2)/(2*(TRAINING!$P$9^2)))</f>
        <v>1.3671921634318185E-2</v>
      </c>
      <c r="O109">
        <f>(1/(SQRT(2*PI())*TRAINING!$Q$8))*EXP(-((C109-TRAINING!$Q$3)^2)/(2*(TRAINING!$Q$8^2)))</f>
        <v>1.8252507670949096E-2</v>
      </c>
      <c r="P109">
        <f>(1/(SQRT(2*PI())*TRAINING!$Q$9))*EXP(-((C109-TRAINING!$Q$4)^2)/(2*(TRAINING!$Q$9^2)))</f>
        <v>1.0767552697175626E-2</v>
      </c>
      <c r="Q109">
        <f>(1/(SQRT(2*PI())*TRAINING!$R$8))*EXP(-((D109-TRAINING!$R$3)^2)/(2*(TRAINING!$R$8^2)))</f>
        <v>4.4385350375773444E-2</v>
      </c>
      <c r="R109">
        <f>(1/(SQRT(2*PI())*TRAINING!$R$9))*EXP(-((D109-TRAINING!$R$4)^2)/(2*(TRAINING!$R$9^2)))</f>
        <v>3.9805494575232289E-2</v>
      </c>
      <c r="S109">
        <f>(1/(SQRT(2*PI())*TRAINING!$S$8))*EXP(-((E109-TRAINING!$S$3)^2)/(2*(TRAINING!$S$8^2)))</f>
        <v>3.6088349201393584E-3</v>
      </c>
      <c r="T109">
        <f>(1/(SQRT(2*PI())*TRAINING!$S$9))*EXP(-((E109-TRAINING!$S$4)^2)/(2*(TRAINING!$S$9^2)))</f>
        <v>3.2186222071415426E-3</v>
      </c>
      <c r="U109">
        <f>(1/(SQRT(2*PI())*TRAINING!$T$8))*EXP(-((F109-TRAINING!$T$3)^2)/(2*(TRAINING!$T$8^2)))</f>
        <v>5.9584300960383862E-2</v>
      </c>
      <c r="V109">
        <f>(1/(SQRT(2*PI())*TRAINING!$T$9))*EXP(-((F109-TRAINING!$T$4)^2)/(2*(TRAINING!$T$9^2)))</f>
        <v>4.1055838520698926E-2</v>
      </c>
      <c r="W109">
        <f>(1/(SQRT(2*PI())*TRAINING!$U$8))*EXP(-((G109-TRAINING!$U$3)^2)/(2*(TRAINING!$U$8^2)))</f>
        <v>1.1764325188984985</v>
      </c>
      <c r="X109">
        <f>(1/(SQRT(2*PI())*TRAINING!$U$9))*EXP(-((G109-TRAINING!$U$4)^2)/(2*(TRAINING!$U$9^2)))</f>
        <v>0.8468828240267583</v>
      </c>
      <c r="Y109">
        <f>(1/(SQRT(2*PI())*TRAINING!$V$8))*EXP(-((H109-TRAINING!$V$3)^2)/(2*(TRAINING!$V$8^2)))</f>
        <v>2.9978320878549729E-2</v>
      </c>
      <c r="Z109">
        <f>(1/(SQRT(2*PI())*TRAINING!$V$9))*EXP(-((H109-TRAINING!$V$4)^2)/(2*(TRAINING!$V$9^2)))</f>
        <v>3.6491252481358191E-2</v>
      </c>
      <c r="AA109">
        <f>PRODUCT(K109,M109,O109,Q109,S109,U109,W109,Y109)*TRAINING!$L$2</f>
        <v>3.4238407249763136E-12</v>
      </c>
      <c r="AB109">
        <f>PRODUCT(L109,N109,P109,R109,T109,V109,X109,Z109)*TRAINING!$L$3</f>
        <v>8.5303849554339927E-13</v>
      </c>
      <c r="AC109">
        <f t="shared" si="3"/>
        <v>0</v>
      </c>
      <c r="AD109">
        <f t="shared" si="4"/>
        <v>1</v>
      </c>
      <c r="AF109" s="19"/>
      <c r="AG109" t="str">
        <f t="shared" si="5"/>
        <v>TN</v>
      </c>
    </row>
    <row r="110" spans="1:33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  <c r="K110">
        <f>(1/(SQRT(2*PI())*TRAINING!$O$8))*EXP(-((A110-TRAINING!$O$3)^2)/(2*(TRAINING!$O$8^2)))</f>
        <v>0.13150943904653345</v>
      </c>
      <c r="L110">
        <f>(1/(SQRT(2*PI())*TRAINING!$O$9))*EXP(-((A110-TRAINING!$O$4)^2)/(2*(TRAINING!$O$9^2)))</f>
        <v>9.5216033172430034E-2</v>
      </c>
      <c r="M110">
        <f>(1/(SQRT(2*PI())*TRAINING!$P$8))*EXP(-((B110-TRAINING!$P$3)^2)/(2*(TRAINING!$P$8^2)))</f>
        <v>8.3919485227325098E-3</v>
      </c>
      <c r="N110">
        <f>(1/(SQRT(2*PI())*TRAINING!$P$9))*EXP(-((B110-TRAINING!$P$4)^2)/(2*(TRAINING!$P$9^2)))</f>
        <v>1.6066180642949756E-3</v>
      </c>
      <c r="O110">
        <f>(1/(SQRT(2*PI())*TRAINING!$Q$8))*EXP(-((C110-TRAINING!$Q$3)^2)/(2*(TRAINING!$Q$8^2)))</f>
        <v>1.8252507670949096E-2</v>
      </c>
      <c r="P110">
        <f>(1/(SQRT(2*PI())*TRAINING!$Q$9))*EXP(-((C110-TRAINING!$Q$4)^2)/(2*(TRAINING!$Q$9^2)))</f>
        <v>1.0767552697175626E-2</v>
      </c>
      <c r="Q110">
        <f>(1/(SQRT(2*PI())*TRAINING!$R$8))*EXP(-((D110-TRAINING!$R$3)^2)/(2*(TRAINING!$R$8^2)))</f>
        <v>3.8884158284381701E-2</v>
      </c>
      <c r="R110">
        <f>(1/(SQRT(2*PI())*TRAINING!$R$9))*EXP(-((D110-TRAINING!$R$4)^2)/(2*(TRAINING!$R$9^2)))</f>
        <v>4.009882603638542E-2</v>
      </c>
      <c r="S110">
        <f>(1/(SQRT(2*PI())*TRAINING!$S$8))*EXP(-((E110-TRAINING!$S$3)^2)/(2*(TRAINING!$S$8^2)))</f>
        <v>3.2651136552495873E-3</v>
      </c>
      <c r="T110">
        <f>(1/(SQRT(2*PI())*TRAINING!$S$9))*EXP(-((E110-TRAINING!$S$4)^2)/(2*(TRAINING!$S$9^2)))</f>
        <v>2.4039547195453975E-3</v>
      </c>
      <c r="U110">
        <f>(1/(SQRT(2*PI())*TRAINING!$T$8))*EXP(-((F110-TRAINING!$T$3)^2)/(2*(TRAINING!$T$8^2)))</f>
        <v>5.3637486532078164E-2</v>
      </c>
      <c r="V110">
        <f>(1/(SQRT(2*PI())*TRAINING!$T$9))*EXP(-((F110-TRAINING!$T$4)^2)/(2*(TRAINING!$T$9^2)))</f>
        <v>5.9955048399190879E-2</v>
      </c>
      <c r="W110">
        <f>(1/(SQRT(2*PI())*TRAINING!$U$8))*EXP(-((G110-TRAINING!$U$3)^2)/(2*(TRAINING!$U$8^2)))</f>
        <v>1.2566680540092989</v>
      </c>
      <c r="X110">
        <f>(1/(SQRT(2*PI())*TRAINING!$U$9))*EXP(-((G110-TRAINING!$U$4)^2)/(2*(TRAINING!$U$9^2)))</f>
        <v>0.92676283666042703</v>
      </c>
      <c r="Y110">
        <f>(1/(SQRT(2*PI())*TRAINING!$V$8))*EXP(-((H110-TRAINING!$V$3)^2)/(2*(TRAINING!$V$8^2)))</f>
        <v>2.9161934112625271E-2</v>
      </c>
      <c r="Z110">
        <f>(1/(SQRT(2*PI())*TRAINING!$V$9))*EXP(-((H110-TRAINING!$V$4)^2)/(2*(TRAINING!$V$9^2)))</f>
        <v>2.0729073133302325E-2</v>
      </c>
      <c r="AA110">
        <f>PRODUCT(K110,M110,O110,Q110,S110,U110,W110,Y110)*TRAINING!$L$2</f>
        <v>3.277840797224184E-12</v>
      </c>
      <c r="AB110">
        <f>PRODUCT(L110,N110,P110,R110,T110,V110,X110,Z110)*TRAINING!$L$3</f>
        <v>6.2180018359051117E-14</v>
      </c>
      <c r="AC110">
        <f t="shared" si="3"/>
        <v>0</v>
      </c>
      <c r="AD110">
        <f t="shared" si="4"/>
        <v>1</v>
      </c>
      <c r="AF110" s="19"/>
      <c r="AG110" t="str">
        <f t="shared" si="5"/>
        <v>TN</v>
      </c>
    </row>
    <row r="111" spans="1:33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  <c r="K111">
        <f>(1/(SQRT(2*PI())*TRAINING!$O$8))*EXP(-((A111-TRAINING!$O$3)^2)/(2*(TRAINING!$O$8^2)))</f>
        <v>7.4791087346963395E-2</v>
      </c>
      <c r="L111">
        <f>(1/(SQRT(2*PI())*TRAINING!$O$9))*EXP(-((A111-TRAINING!$O$4)^2)/(2*(TRAINING!$O$9^2)))</f>
        <v>4.6140116319387747E-2</v>
      </c>
      <c r="M111">
        <f>(1/(SQRT(2*PI())*TRAINING!$P$8))*EXP(-((B111-TRAINING!$P$3)^2)/(2*(TRAINING!$P$8^2)))</f>
        <v>1.3018480192205214E-2</v>
      </c>
      <c r="N111">
        <f>(1/(SQRT(2*PI())*TRAINING!$P$9))*EXP(-((B111-TRAINING!$P$4)^2)/(2*(TRAINING!$P$9^2)))</f>
        <v>3.4583947656656095E-3</v>
      </c>
      <c r="O111">
        <f>(1/(SQRT(2*PI())*TRAINING!$Q$8))*EXP(-((C111-TRAINING!$Q$3)^2)/(2*(TRAINING!$Q$8^2)))</f>
        <v>1.6723514176968789E-2</v>
      </c>
      <c r="P111">
        <f>(1/(SQRT(2*PI())*TRAINING!$Q$9))*EXP(-((C111-TRAINING!$Q$4)^2)/(2*(TRAINING!$Q$9^2)))</f>
        <v>2.4599308800663213E-2</v>
      </c>
      <c r="Q111">
        <f>(1/(SQRT(2*PI())*TRAINING!$R$8))*EXP(-((D111-TRAINING!$R$3)^2)/(2*(TRAINING!$R$8^2)))</f>
        <v>4.5082105295013108E-2</v>
      </c>
      <c r="R111">
        <f>(1/(SQRT(2*PI())*TRAINING!$R$9))*EXP(-((D111-TRAINING!$R$4)^2)/(2*(TRAINING!$R$9^2)))</f>
        <v>3.6025923169209731E-2</v>
      </c>
      <c r="S111">
        <f>(1/(SQRT(2*PI())*TRAINING!$S$8))*EXP(-((E111-TRAINING!$S$3)^2)/(2*(TRAINING!$S$8^2)))</f>
        <v>3.6857849321218143E-3</v>
      </c>
      <c r="T111">
        <f>(1/(SQRT(2*PI())*TRAINING!$S$9))*EXP(-((E111-TRAINING!$S$4)^2)/(2*(TRAINING!$S$9^2)))</f>
        <v>2.6749888655252596E-3</v>
      </c>
      <c r="U111">
        <f>(1/(SQRT(2*PI())*TRAINING!$T$8))*EXP(-((F111-TRAINING!$T$3)^2)/(2*(TRAINING!$T$8^2)))</f>
        <v>3.7602084686216022E-2</v>
      </c>
      <c r="V111">
        <f>(1/(SQRT(2*PI())*TRAINING!$T$9))*EXP(-((F111-TRAINING!$T$4)^2)/(2*(TRAINING!$T$9^2)))</f>
        <v>5.76833853571126E-2</v>
      </c>
      <c r="W111">
        <f>(1/(SQRT(2*PI())*TRAINING!$U$8))*EXP(-((G111-TRAINING!$U$3)^2)/(2*(TRAINING!$U$8^2)))</f>
        <v>1.0930891569824965</v>
      </c>
      <c r="X111">
        <f>(1/(SQRT(2*PI())*TRAINING!$U$9))*EXP(-((G111-TRAINING!$U$4)^2)/(2*(TRAINING!$U$9^2)))</f>
        <v>0.77610747699214022</v>
      </c>
      <c r="Y111">
        <f>(1/(SQRT(2*PI())*TRAINING!$V$8))*EXP(-((H111-TRAINING!$V$3)^2)/(2*(TRAINING!$V$8^2)))</f>
        <v>2.7783192496885357E-2</v>
      </c>
      <c r="Z111">
        <f>(1/(SQRT(2*PI())*TRAINING!$V$9))*EXP(-((H111-TRAINING!$V$4)^2)/(2*(TRAINING!$V$9^2)))</f>
        <v>1.8726911646419479E-2</v>
      </c>
      <c r="AA111">
        <f>PRODUCT(K111,M111,O111,Q111,S111,U111,W111,Y111)*TRAINING!$L$2</f>
        <v>2.014609001648177E-12</v>
      </c>
      <c r="AB111">
        <f>PRODUCT(L111,N111,P111,R111,T111,V111,X111,Z111)*TRAINING!$L$3</f>
        <v>1.0782784812659504E-13</v>
      </c>
      <c r="AC111">
        <f t="shared" si="3"/>
        <v>0</v>
      </c>
      <c r="AD111">
        <f t="shared" si="4"/>
        <v>0</v>
      </c>
      <c r="AF111" s="19"/>
      <c r="AG111" t="str">
        <f t="shared" si="5"/>
        <v>FN</v>
      </c>
    </row>
    <row r="112" spans="1:33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  <c r="K112">
        <f>(1/(SQRT(2*PI())*TRAINING!$O$8))*EXP(-((A112-TRAINING!$O$3)^2)/(2*(TRAINING!$O$8^2)))</f>
        <v>0.13150943904653345</v>
      </c>
      <c r="L112">
        <f>(1/(SQRT(2*PI())*TRAINING!$O$9))*EXP(-((A112-TRAINING!$O$4)^2)/(2*(TRAINING!$O$9^2)))</f>
        <v>9.5216033172430034E-2</v>
      </c>
      <c r="M112">
        <f>(1/(SQRT(2*PI())*TRAINING!$P$8))*EXP(-((B112-TRAINING!$P$3)^2)/(2*(TRAINING!$P$8^2)))</f>
        <v>8.5984155847490789E-4</v>
      </c>
      <c r="N112">
        <f>(1/(SQRT(2*PI())*TRAINING!$P$9))*EXP(-((B112-TRAINING!$P$4)^2)/(2*(TRAINING!$P$9^2)))</f>
        <v>8.7337102999594709E-3</v>
      </c>
      <c r="O112">
        <f>(1/(SQRT(2*PI())*TRAINING!$Q$8))*EXP(-((C112-TRAINING!$Q$3)^2)/(2*(TRAINING!$Q$8^2)))</f>
        <v>3.4215224205554493E-2</v>
      </c>
      <c r="P112">
        <f>(1/(SQRT(2*PI())*TRAINING!$Q$9))*EXP(-((C112-TRAINING!$Q$4)^2)/(2*(TRAINING!$Q$9^2)))</f>
        <v>3.3852206664402869E-2</v>
      </c>
      <c r="Q112">
        <f>(1/(SQRT(2*PI())*TRAINING!$R$8))*EXP(-((D112-TRAINING!$R$3)^2)/(2*(TRAINING!$R$8^2)))</f>
        <v>3.336517404102942E-2</v>
      </c>
      <c r="R112">
        <f>(1/(SQRT(2*PI())*TRAINING!$R$9))*EXP(-((D112-TRAINING!$R$4)^2)/(2*(TRAINING!$R$9^2)))</f>
        <v>3.8278756254114484E-2</v>
      </c>
      <c r="S112">
        <f>(1/(SQRT(2*PI())*TRAINING!$S$8))*EXP(-((E112-TRAINING!$S$3)^2)/(2*(TRAINING!$S$8^2)))</f>
        <v>3.7155980074481901E-3</v>
      </c>
      <c r="T112">
        <f>(1/(SQRT(2*PI())*TRAINING!$S$9))*EXP(-((E112-TRAINING!$S$4)^2)/(2*(TRAINING!$S$9^2)))</f>
        <v>3.2443711202772684E-3</v>
      </c>
      <c r="U112">
        <f>(1/(SQRT(2*PI())*TRAINING!$T$8))*EXP(-((F112-TRAINING!$T$3)^2)/(2*(TRAINING!$T$8^2)))</f>
        <v>5.7324585505679884E-2</v>
      </c>
      <c r="V112">
        <f>(1/(SQRT(2*PI())*TRAINING!$T$9))*EXP(-((F112-TRAINING!$T$4)^2)/(2*(TRAINING!$T$9^2)))</f>
        <v>5.7895905036615992E-2</v>
      </c>
      <c r="W112">
        <f>(1/(SQRT(2*PI())*TRAINING!$U$8))*EXP(-((G112-TRAINING!$U$3)^2)/(2*(TRAINING!$U$8^2)))</f>
        <v>0.97780401963420849</v>
      </c>
      <c r="X112">
        <f>(1/(SQRT(2*PI())*TRAINING!$U$9))*EXP(-((G112-TRAINING!$U$4)^2)/(2*(TRAINING!$U$9^2)))</f>
        <v>0.68767770435125175</v>
      </c>
      <c r="Y112">
        <f>(1/(SQRT(2*PI())*TRAINING!$V$8))*EXP(-((H112-TRAINING!$V$3)^2)/(2*(TRAINING!$V$8^2)))</f>
        <v>2.7783192496885357E-2</v>
      </c>
      <c r="Z112">
        <f>(1/(SQRT(2*PI())*TRAINING!$V$9))*EXP(-((H112-TRAINING!$V$4)^2)/(2*(TRAINING!$V$9^2)))</f>
        <v>1.8726911646419479E-2</v>
      </c>
      <c r="AA112">
        <f>PRODUCT(K112,M112,O112,Q112,S112,U112,W112,Y112)*TRAINING!$L$2</f>
        <v>4.8703593898865216E-13</v>
      </c>
      <c r="AB112">
        <f>PRODUCT(L112,N112,P112,R112,T112,V112,X112,Z112)*TRAINING!$L$3</f>
        <v>8.8626187009170217E-13</v>
      </c>
      <c r="AC112">
        <f t="shared" si="3"/>
        <v>1</v>
      </c>
      <c r="AD112">
        <f t="shared" si="4"/>
        <v>1</v>
      </c>
      <c r="AF112" s="19"/>
      <c r="AG112" t="str">
        <f t="shared" si="5"/>
        <v>TP</v>
      </c>
    </row>
    <row r="113" spans="1:33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  <c r="K113">
        <f>(1/(SQRT(2*PI())*TRAINING!$O$8))*EXP(-((A113-TRAINING!$O$3)^2)/(2*(TRAINING!$O$8^2)))</f>
        <v>3.7889114375245843E-2</v>
      </c>
      <c r="L113">
        <f>(1/(SQRT(2*PI())*TRAINING!$O$9))*EXP(-((A113-TRAINING!$O$4)^2)/(2*(TRAINING!$O$9^2)))</f>
        <v>7.4585525924131008E-2</v>
      </c>
      <c r="M113">
        <f>(1/(SQRT(2*PI())*TRAINING!$P$8))*EXP(-((B113-TRAINING!$P$3)^2)/(2*(TRAINING!$P$8^2)))</f>
        <v>3.3545096254685375E-3</v>
      </c>
      <c r="N113">
        <f>(1/(SQRT(2*PI())*TRAINING!$P$9))*EXP(-((B113-TRAINING!$P$4)^2)/(2*(TRAINING!$P$9^2)))</f>
        <v>1.2631115706445647E-2</v>
      </c>
      <c r="O113">
        <f>(1/(SQRT(2*PI())*TRAINING!$Q$8))*EXP(-((C113-TRAINING!$Q$3)^2)/(2*(TRAINING!$Q$8^2)))</f>
        <v>2.5327965872361573E-2</v>
      </c>
      <c r="P113">
        <f>(1/(SQRT(2*PI())*TRAINING!$Q$9))*EXP(-((C113-TRAINING!$Q$4)^2)/(2*(TRAINING!$Q$9^2)))</f>
        <v>1.7486213843021708E-2</v>
      </c>
      <c r="Q113">
        <f>(1/(SQRT(2*PI())*TRAINING!$R$8))*EXP(-((D113-TRAINING!$R$3)^2)/(2*(TRAINING!$R$8^2)))</f>
        <v>4.5434206234788249E-2</v>
      </c>
      <c r="R113">
        <f>(1/(SQRT(2*PI())*TRAINING!$R$9))*EXP(-((D113-TRAINING!$R$4)^2)/(2*(TRAINING!$R$9^2)))</f>
        <v>3.762856642633168E-2</v>
      </c>
      <c r="S113">
        <f>(1/(SQRT(2*PI())*TRAINING!$S$8))*EXP(-((E113-TRAINING!$S$3)^2)/(2*(TRAINING!$S$8^2)))</f>
        <v>3.1849323310842976E-7</v>
      </c>
      <c r="T113">
        <f>(1/(SQRT(2*PI())*TRAINING!$S$9))*EXP(-((E113-TRAINING!$S$4)^2)/(2*(TRAINING!$S$9^2)))</f>
        <v>2.3507243930577347E-5</v>
      </c>
      <c r="U113">
        <f>(1/(SQRT(2*PI())*TRAINING!$T$8))*EXP(-((F113-TRAINING!$T$3)^2)/(2*(TRAINING!$T$8^2)))</f>
        <v>5.4852954602683239E-2</v>
      </c>
      <c r="V113">
        <f>(1/(SQRT(2*PI())*TRAINING!$T$9))*EXP(-((F113-TRAINING!$T$4)^2)/(2*(TRAINING!$T$9^2)))</f>
        <v>5.9473973339221858E-2</v>
      </c>
      <c r="W113">
        <f>(1/(SQRT(2*PI())*TRAINING!$U$8))*EXP(-((G113-TRAINING!$U$3)^2)/(2*(TRAINING!$U$8^2)))</f>
        <v>1.2400297116746541</v>
      </c>
      <c r="X113">
        <f>(1/(SQRT(2*PI())*TRAINING!$U$9))*EXP(-((G113-TRAINING!$U$4)^2)/(2*(TRAINING!$U$9^2)))</f>
        <v>1.1061832997727268</v>
      </c>
      <c r="Y113">
        <f>(1/(SQRT(2*PI())*TRAINING!$V$8))*EXP(-((H113-TRAINING!$V$3)^2)/(2*(TRAINING!$V$8^2)))</f>
        <v>1.5650330237733365E-2</v>
      </c>
      <c r="Z113">
        <f>(1/(SQRT(2*PI())*TRAINING!$V$9))*EXP(-((H113-TRAINING!$V$4)^2)/(2*(TRAINING!$V$9^2)))</f>
        <v>2.5270532404125211E-2</v>
      </c>
      <c r="AA113">
        <f>PRODUCT(K113,M113,O113,Q113,S113,U113,W113,Y113)*TRAINING!$L$2</f>
        <v>3.2333434832925421E-17</v>
      </c>
      <c r="AB113">
        <f>PRODUCT(L113,N113,P113,R113,T113,V113,X113,Z113)*TRAINING!$L$3</f>
        <v>8.2368053341825743E-15</v>
      </c>
      <c r="AC113">
        <f t="shared" si="3"/>
        <v>1</v>
      </c>
      <c r="AD113">
        <f t="shared" si="4"/>
        <v>1</v>
      </c>
      <c r="AF113" s="19"/>
      <c r="AG113" t="str">
        <f t="shared" si="5"/>
        <v>TP</v>
      </c>
    </row>
    <row r="114" spans="1:33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  <c r="K114">
        <f>(1/(SQRT(2*PI())*TRAINING!$O$8))*EXP(-((A114-TRAINING!$O$3)^2)/(2*(TRAINING!$O$8^2)))</f>
        <v>0.10069314833313707</v>
      </c>
      <c r="L114">
        <f>(1/(SQRT(2*PI())*TRAINING!$O$9))*EXP(-((A114-TRAINING!$O$4)^2)/(2*(TRAINING!$O$9^2)))</f>
        <v>6.3165200316397857E-2</v>
      </c>
      <c r="M114">
        <f>(1/(SQRT(2*PI())*TRAINING!$P$8))*EXP(-((B114-TRAINING!$P$3)^2)/(2*(TRAINING!$P$8^2)))</f>
        <v>1.0766264308832943E-2</v>
      </c>
      <c r="N114">
        <f>(1/(SQRT(2*PI())*TRAINING!$P$9))*EXP(-((B114-TRAINING!$P$4)^2)/(2*(TRAINING!$P$9^2)))</f>
        <v>2.4075702003301517E-3</v>
      </c>
      <c r="O114">
        <f>(1/(SQRT(2*PI())*TRAINING!$Q$8))*EXP(-((C114-TRAINING!$Q$3)^2)/(2*(TRAINING!$Q$8^2)))</f>
        <v>3.13643924782957E-2</v>
      </c>
      <c r="P114">
        <f>(1/(SQRT(2*PI())*TRAINING!$Q$9))*EXP(-((C114-TRAINING!$Q$4)^2)/(2*(TRAINING!$Q$9^2)))</f>
        <v>3.5360725179086838E-2</v>
      </c>
      <c r="Q114">
        <f>(1/(SQRT(2*PI())*TRAINING!$R$8))*EXP(-((D114-TRAINING!$R$3)^2)/(2*(TRAINING!$R$8^2)))</f>
        <v>3.0311214537241261E-2</v>
      </c>
      <c r="R114">
        <f>(1/(SQRT(2*PI())*TRAINING!$R$9))*EXP(-((D114-TRAINING!$R$4)^2)/(2*(TRAINING!$R$9^2)))</f>
        <v>3.6828244672337411E-2</v>
      </c>
      <c r="S114">
        <f>(1/(SQRT(2*PI())*TRAINING!$S$8))*EXP(-((E114-TRAINING!$S$3)^2)/(2*(TRAINING!$S$8^2)))</f>
        <v>3.7066781432429749E-3</v>
      </c>
      <c r="T114">
        <f>(1/(SQRT(2*PI())*TRAINING!$S$9))*EXP(-((E114-TRAINING!$S$4)^2)/(2*(TRAINING!$S$9^2)))</f>
        <v>2.6891709847654947E-3</v>
      </c>
      <c r="U114">
        <f>(1/(SQRT(2*PI())*TRAINING!$T$8))*EXP(-((F114-TRAINING!$T$3)^2)/(2*(TRAINING!$T$8^2)))</f>
        <v>6.1067151463370842E-2</v>
      </c>
      <c r="V114">
        <f>(1/(SQRT(2*PI())*TRAINING!$T$9))*EXP(-((F114-TRAINING!$T$4)^2)/(2*(TRAINING!$T$9^2)))</f>
        <v>4.989793723065971E-2</v>
      </c>
      <c r="W114">
        <f>(1/(SQRT(2*PI())*TRAINING!$U$8))*EXP(-((G114-TRAINING!$U$3)^2)/(2*(TRAINING!$U$8^2)))</f>
        <v>0.96000047250614673</v>
      </c>
      <c r="X114">
        <f>(1/(SQRT(2*PI())*TRAINING!$U$9))*EXP(-((G114-TRAINING!$U$4)^2)/(2*(TRAINING!$U$9^2)))</f>
        <v>0.67465269507341952</v>
      </c>
      <c r="Y114">
        <f>(1/(SQRT(2*PI())*TRAINING!$V$8))*EXP(-((H114-TRAINING!$V$3)^2)/(2*(TRAINING!$V$8^2)))</f>
        <v>2.6282439590781519E-2</v>
      </c>
      <c r="Z114">
        <f>(1/(SQRT(2*PI())*TRAINING!$V$9))*EXP(-((H114-TRAINING!$V$4)^2)/(2*(TRAINING!$V$9^2)))</f>
        <v>1.6777009273758671E-2</v>
      </c>
      <c r="AA114">
        <f>PRODUCT(K114,M114,O114,Q114,S114,U114,W114,Y114)*TRAINING!$L$2</f>
        <v>3.8379922520961524E-12</v>
      </c>
      <c r="AB114">
        <f>PRODUCT(L114,N114,P114,R114,T114,V114,X114,Z114)*TRAINING!$L$3</f>
        <v>1.0226658412255901E-13</v>
      </c>
      <c r="AC114">
        <f t="shared" si="3"/>
        <v>0</v>
      </c>
      <c r="AD114">
        <f t="shared" si="4"/>
        <v>1</v>
      </c>
      <c r="AF114" s="19"/>
      <c r="AG114" t="str">
        <f t="shared" si="5"/>
        <v>TN</v>
      </c>
    </row>
    <row r="115" spans="1:33" x14ac:dyDescent="0.3">
      <c r="A115">
        <v>4</v>
      </c>
      <c r="B115">
        <v>76</v>
      </c>
      <c r="C115">
        <v>62</v>
      </c>
      <c r="D115">
        <v>23</v>
      </c>
      <c r="E115">
        <v>30.5</v>
      </c>
      <c r="F115">
        <v>34</v>
      </c>
      <c r="G115">
        <v>0.39100000000000001</v>
      </c>
      <c r="H115">
        <v>25</v>
      </c>
      <c r="I115">
        <v>0</v>
      </c>
      <c r="K115">
        <f>(1/(SQRT(2*PI())*TRAINING!$O$8))*EXP(-((A115-TRAINING!$O$3)^2)/(2*(TRAINING!$O$8^2)))</f>
        <v>0.12757449499469867</v>
      </c>
      <c r="L115">
        <f>(1/(SQRT(2*PI())*TRAINING!$O$9))*EXP(-((A115-TRAINING!$O$4)^2)/(2*(TRAINING!$O$9^2)))</f>
        <v>0.10484388320832955</v>
      </c>
      <c r="M115">
        <f>(1/(SQRT(2*PI())*TRAINING!$P$8))*EXP(-((B115-TRAINING!$P$3)^2)/(2*(TRAINING!$P$8^2)))</f>
        <v>5.8228569096745279E-3</v>
      </c>
      <c r="N115">
        <f>(1/(SQRT(2*PI())*TRAINING!$P$9))*EXP(-((B115-TRAINING!$P$4)^2)/(2*(TRAINING!$P$9^2)))</f>
        <v>9.5005791455998474E-4</v>
      </c>
      <c r="O115">
        <f>(1/(SQRT(2*PI())*TRAINING!$Q$8))*EXP(-((C115-TRAINING!$Q$3)^2)/(2*(TRAINING!$Q$8^2)))</f>
        <v>2.5327965872361573E-2</v>
      </c>
      <c r="P115">
        <f>(1/(SQRT(2*PI())*TRAINING!$Q$9))*EXP(-((C115-TRAINING!$Q$4)^2)/(2*(TRAINING!$Q$9^2)))</f>
        <v>1.7486213843021708E-2</v>
      </c>
      <c r="Q115">
        <f>(1/(SQRT(2*PI())*TRAINING!$R$8))*EXP(-((D115-TRAINING!$R$3)^2)/(2*(TRAINING!$R$8^2)))</f>
        <v>4.2691938231656991E-2</v>
      </c>
      <c r="R115">
        <f>(1/(SQRT(2*PI())*TRAINING!$R$9))*EXP(-((D115-TRAINING!$R$4)^2)/(2*(TRAINING!$R$9^2)))</f>
        <v>3.202065801833482E-2</v>
      </c>
      <c r="S115">
        <f>(1/(SQRT(2*PI())*TRAINING!$S$8))*EXP(-((E115-TRAINING!$S$3)^2)/(2*(TRAINING!$S$8^2)))</f>
        <v>3.5657055057560366E-3</v>
      </c>
      <c r="T115">
        <f>(1/(SQRT(2*PI())*TRAINING!$S$9))*EXP(-((E115-TRAINING!$S$4)^2)/(2*(TRAINING!$S$9^2)))</f>
        <v>2.5951511419773543E-3</v>
      </c>
      <c r="U115">
        <f>(1/(SQRT(2*PI())*TRAINING!$T$8))*EXP(-((F115-TRAINING!$T$3)^2)/(2*(TRAINING!$T$8^2)))</f>
        <v>5.4852954602683239E-2</v>
      </c>
      <c r="V115">
        <f>(1/(SQRT(2*PI())*TRAINING!$T$9))*EXP(-((F115-TRAINING!$T$4)^2)/(2*(TRAINING!$T$9^2)))</f>
        <v>5.9473973339221858E-2</v>
      </c>
      <c r="W115">
        <f>(1/(SQRT(2*PI())*TRAINING!$U$8))*EXP(-((G115-TRAINING!$U$3)^2)/(2*(TRAINING!$U$8^2)))</f>
        <v>1.3112697406798008</v>
      </c>
      <c r="X115">
        <f>(1/(SQRT(2*PI())*TRAINING!$U$9))*EXP(-((G115-TRAINING!$U$4)^2)/(2*(TRAINING!$U$9^2)))</f>
        <v>1.0031209799257295</v>
      </c>
      <c r="Y115">
        <f>(1/(SQRT(2*PI())*TRAINING!$V$8))*EXP(-((H115-TRAINING!$V$3)^2)/(2*(TRAINING!$V$8^2)))</f>
        <v>2.9161934112625271E-2</v>
      </c>
      <c r="Z115">
        <f>(1/(SQRT(2*PI())*TRAINING!$V$9))*EXP(-((H115-TRAINING!$V$4)^2)/(2*(TRAINING!$V$9^2)))</f>
        <v>2.0729073133302325E-2</v>
      </c>
      <c r="AA115">
        <f>PRODUCT(K115,M115,O115,Q115,S115,U115,W115,Y115)*TRAINING!$L$2</f>
        <v>3.9171416641641478E-12</v>
      </c>
      <c r="AB115">
        <f>PRODUCT(L115,N115,P115,R115,T115,V115,X115,Z115)*TRAINING!$L$3</f>
        <v>6.0858457446408131E-14</v>
      </c>
      <c r="AC115">
        <f t="shared" si="3"/>
        <v>0</v>
      </c>
      <c r="AD115">
        <f t="shared" si="4"/>
        <v>1</v>
      </c>
      <c r="AF115" s="19"/>
      <c r="AG115" t="str">
        <f t="shared" si="5"/>
        <v>TN</v>
      </c>
    </row>
    <row r="116" spans="1:33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  <c r="K116">
        <f>(1/(SQRT(2*PI())*TRAINING!$O$8))*EXP(-((A116-TRAINING!$O$3)^2)/(2*(TRAINING!$O$8^2)))</f>
        <v>6.0464208917336747E-2</v>
      </c>
      <c r="L116">
        <f>(1/(SQRT(2*PI())*TRAINING!$O$9))*EXP(-((A116-TRAINING!$O$4)^2)/(2*(TRAINING!$O$9^2)))</f>
        <v>9.055444669307644E-2</v>
      </c>
      <c r="M116">
        <f>(1/(SQRT(2*PI())*TRAINING!$P$8))*EXP(-((B116-TRAINING!$P$3)^2)/(2*(TRAINING!$P$8^2)))</f>
        <v>2.2935752882558961E-3</v>
      </c>
      <c r="N116">
        <f>(1/(SQRT(2*PI())*TRAINING!$P$9))*EXP(-((B116-TRAINING!$P$4)^2)/(2*(TRAINING!$P$9^2)))</f>
        <v>1.1625161013373729E-2</v>
      </c>
      <c r="O116">
        <f>(1/(SQRT(2*PI())*TRAINING!$Q$8))*EXP(-((C116-TRAINING!$Q$3)^2)/(2*(TRAINING!$Q$8^2)))</f>
        <v>1.1684199717701649E-2</v>
      </c>
      <c r="P116">
        <f>(1/(SQRT(2*PI())*TRAINING!$Q$9))*EXP(-((C116-TRAINING!$Q$4)^2)/(2*(TRAINING!$Q$9^2)))</f>
        <v>5.844974579289992E-3</v>
      </c>
      <c r="Q116">
        <f>(1/(SQRT(2*PI())*TRAINING!$R$8))*EXP(-((D116-TRAINING!$R$3)^2)/(2*(TRAINING!$R$8^2)))</f>
        <v>3.6253492357915126E-2</v>
      </c>
      <c r="R116">
        <f>(1/(SQRT(2*PI())*TRAINING!$R$9))*EXP(-((D116-TRAINING!$R$4)^2)/(2*(TRAINING!$R$9^2)))</f>
        <v>3.937990805069122E-2</v>
      </c>
      <c r="S116">
        <f>(1/(SQRT(2*PI())*TRAINING!$S$8))*EXP(-((E116-TRAINING!$S$3)^2)/(2*(TRAINING!$S$8^2)))</f>
        <v>2.7175036547150205E-3</v>
      </c>
      <c r="T116">
        <f>(1/(SQRT(2*PI())*TRAINING!$S$9))*EXP(-((E116-TRAINING!$S$4)^2)/(2*(TRAINING!$S$9^2)))</f>
        <v>2.9022422917005276E-3</v>
      </c>
      <c r="U116">
        <f>(1/(SQRT(2*PI())*TRAINING!$T$8))*EXP(-((F116-TRAINING!$T$3)^2)/(2*(TRAINING!$T$8^2)))</f>
        <v>6.0950591422804568E-2</v>
      </c>
      <c r="V116">
        <f>(1/(SQRT(2*PI())*TRAINING!$T$9))*EXP(-((F116-TRAINING!$T$4)^2)/(2*(TRAINING!$T$9^2)))</f>
        <v>4.6421395901422059E-2</v>
      </c>
      <c r="W116">
        <f>(1/(SQRT(2*PI())*TRAINING!$U$8))*EXP(-((G116-TRAINING!$U$3)^2)/(2*(TRAINING!$U$8^2)))</f>
        <v>1.1615333837572044</v>
      </c>
      <c r="X116">
        <f>(1/(SQRT(2*PI())*TRAINING!$U$9))*EXP(-((G116-TRAINING!$U$4)^2)/(2*(TRAINING!$U$9^2)))</f>
        <v>1.1005118569467425</v>
      </c>
      <c r="Y116">
        <f>(1/(SQRT(2*PI())*TRAINING!$V$8))*EXP(-((H116-TRAINING!$V$3)^2)/(2*(TRAINING!$V$8^2)))</f>
        <v>2.7268022737813188E-2</v>
      </c>
      <c r="Z116">
        <f>(1/(SQRT(2*PI())*TRAINING!$V$9))*EXP(-((H116-TRAINING!$V$4)^2)/(2*(TRAINING!$V$9^2)))</f>
        <v>3.5660962385199078E-2</v>
      </c>
      <c r="AA116">
        <f>PRODUCT(K116,M116,O116,Q116,S116,U116,W116,Y116)*TRAINING!$L$2</f>
        <v>2.0093836237777996E-13</v>
      </c>
      <c r="AB116">
        <f>PRODUCT(L116,N116,P116,R116,T116,V116,X116,Z116)*TRAINING!$L$3</f>
        <v>4.355967661620109E-13</v>
      </c>
      <c r="AC116">
        <f t="shared" si="3"/>
        <v>1</v>
      </c>
      <c r="AD116">
        <f t="shared" si="4"/>
        <v>1</v>
      </c>
      <c r="AF116" s="19"/>
      <c r="AG116" t="str">
        <f t="shared" si="5"/>
        <v>TP</v>
      </c>
    </row>
    <row r="117" spans="1:33" x14ac:dyDescent="0.3">
      <c r="A117">
        <v>4</v>
      </c>
      <c r="B117">
        <v>146</v>
      </c>
      <c r="C117">
        <v>92</v>
      </c>
      <c r="D117">
        <v>23</v>
      </c>
      <c r="E117">
        <v>30.5</v>
      </c>
      <c r="F117">
        <v>31.2</v>
      </c>
      <c r="G117">
        <v>0.53900000000000003</v>
      </c>
      <c r="H117">
        <v>61</v>
      </c>
      <c r="I117">
        <v>1</v>
      </c>
      <c r="K117">
        <f>(1/(SQRT(2*PI())*TRAINING!$O$8))*EXP(-((A117-TRAINING!$O$3)^2)/(2*(TRAINING!$O$8^2)))</f>
        <v>0.12757449499469867</v>
      </c>
      <c r="L117">
        <f>(1/(SQRT(2*PI())*TRAINING!$O$9))*EXP(-((A117-TRAINING!$O$4)^2)/(2*(TRAINING!$O$9^2)))</f>
        <v>0.10484388320832955</v>
      </c>
      <c r="M117">
        <f>(1/(SQRT(2*PI())*TRAINING!$P$8))*EXP(-((B117-TRAINING!$P$3)^2)/(2*(TRAINING!$P$8^2)))</f>
        <v>5.9958492838548825E-3</v>
      </c>
      <c r="N117">
        <f>(1/(SQRT(2*PI())*TRAINING!$P$9))*EXP(-((B117-TRAINING!$P$4)^2)/(2*(TRAINING!$P$9^2)))</f>
        <v>1.3619774009603037E-2</v>
      </c>
      <c r="O117">
        <f>(1/(SQRT(2*PI())*TRAINING!$Q$8))*EXP(-((C117-TRAINING!$Q$3)^2)/(2*(TRAINING!$Q$8^2)))</f>
        <v>6.7740576174603632E-3</v>
      </c>
      <c r="P117">
        <f>(1/(SQRT(2*PI())*TRAINING!$Q$9))*EXP(-((C117-TRAINING!$Q$4)^2)/(2*(TRAINING!$Q$9^2)))</f>
        <v>1.1931687795893526E-2</v>
      </c>
      <c r="Q117">
        <f>(1/(SQRT(2*PI())*TRAINING!$R$8))*EXP(-((D117-TRAINING!$R$3)^2)/(2*(TRAINING!$R$8^2)))</f>
        <v>4.2691938231656991E-2</v>
      </c>
      <c r="R117">
        <f>(1/(SQRT(2*PI())*TRAINING!$R$9))*EXP(-((D117-TRAINING!$R$4)^2)/(2*(TRAINING!$R$9^2)))</f>
        <v>3.202065801833482E-2</v>
      </c>
      <c r="S117">
        <f>(1/(SQRT(2*PI())*TRAINING!$S$8))*EXP(-((E117-TRAINING!$S$3)^2)/(2*(TRAINING!$S$8^2)))</f>
        <v>3.5657055057560366E-3</v>
      </c>
      <c r="T117">
        <f>(1/(SQRT(2*PI())*TRAINING!$S$9))*EXP(-((E117-TRAINING!$S$4)^2)/(2*(TRAINING!$S$9^2)))</f>
        <v>2.5951511419773543E-3</v>
      </c>
      <c r="U117">
        <f>(1/(SQRT(2*PI())*TRAINING!$T$8))*EXP(-((F117-TRAINING!$T$3)^2)/(2*(TRAINING!$T$8^2)))</f>
        <v>6.1067151463370842E-2</v>
      </c>
      <c r="V117">
        <f>(1/(SQRT(2*PI())*TRAINING!$T$9))*EXP(-((F117-TRAINING!$T$4)^2)/(2*(TRAINING!$T$9^2)))</f>
        <v>4.989793723065971E-2</v>
      </c>
      <c r="W117">
        <f>(1/(SQRT(2*PI())*TRAINING!$U$8))*EXP(-((G117-TRAINING!$U$3)^2)/(2*(TRAINING!$U$8^2)))</f>
        <v>1.245912230863387</v>
      </c>
      <c r="X117">
        <f>(1/(SQRT(2*PI())*TRAINING!$U$9))*EXP(-((G117-TRAINING!$U$4)^2)/(2*(TRAINING!$U$9^2)))</f>
        <v>1.1058549335786199</v>
      </c>
      <c r="Y117">
        <f>(1/(SQRT(2*PI())*TRAINING!$V$8))*EXP(-((H117-TRAINING!$V$3)^2)/(2*(TRAINING!$V$8^2)))</f>
        <v>1.4765124545449535E-3</v>
      </c>
      <c r="Z117">
        <f>(1/(SQRT(2*PI())*TRAINING!$V$9))*EXP(-((H117-TRAINING!$V$4)^2)/(2*(TRAINING!$V$9^2)))</f>
        <v>3.0327461614221675E-3</v>
      </c>
      <c r="AA117">
        <f>PRODUCT(K117,M117,O117,Q117,S117,U117,W117,Y117)*TRAINING!$L$2</f>
        <v>5.7777171737135642E-14</v>
      </c>
      <c r="AB117">
        <f>PRODUCT(L117,N117,P117,R117,T117,V117,X117,Z117)*TRAINING!$L$3</f>
        <v>8.0557043718738399E-14</v>
      </c>
      <c r="AC117">
        <f t="shared" si="3"/>
        <v>1</v>
      </c>
      <c r="AD117">
        <f t="shared" si="4"/>
        <v>1</v>
      </c>
      <c r="AF117" s="19"/>
      <c r="AG117" t="str">
        <f t="shared" si="5"/>
        <v>TP</v>
      </c>
    </row>
    <row r="118" spans="1:33" x14ac:dyDescent="0.3">
      <c r="A118">
        <v>5</v>
      </c>
      <c r="B118">
        <v>124</v>
      </c>
      <c r="C118">
        <v>74</v>
      </c>
      <c r="D118">
        <v>23</v>
      </c>
      <c r="E118">
        <v>30.5</v>
      </c>
      <c r="F118">
        <v>34</v>
      </c>
      <c r="G118">
        <v>0.22</v>
      </c>
      <c r="H118">
        <v>38</v>
      </c>
      <c r="I118">
        <v>1</v>
      </c>
      <c r="K118">
        <f>(1/(SQRT(2*PI())*TRAINING!$O$8))*EXP(-((A118-TRAINING!$O$3)^2)/(2*(TRAINING!$O$8^2)))</f>
        <v>0.11094891947307506</v>
      </c>
      <c r="L118">
        <f>(1/(SQRT(2*PI())*TRAINING!$O$9))*EXP(-((A118-TRAINING!$O$4)^2)/(2*(TRAINING!$O$9^2)))</f>
        <v>0.1073628550745119</v>
      </c>
      <c r="M118">
        <f>(1/(SQRT(2*PI())*TRAINING!$P$8))*EXP(-((B118-TRAINING!$P$3)^2)/(2*(TRAINING!$P$8^2)))</f>
        <v>1.4154363895773328E-2</v>
      </c>
      <c r="N118">
        <f>(1/(SQRT(2*PI())*TRAINING!$P$9))*EXP(-((B118-TRAINING!$P$4)^2)/(2*(TRAINING!$P$9^2)))</f>
        <v>1.0968840341081637E-2</v>
      </c>
      <c r="O118">
        <f>(1/(SQRT(2*PI())*TRAINING!$Q$8))*EXP(-((C118-TRAINING!$Q$3)^2)/(2*(TRAINING!$Q$8^2)))</f>
        <v>3.3247489640615996E-2</v>
      </c>
      <c r="P118">
        <f>(1/(SQRT(2*PI())*TRAINING!$Q$9))*EXP(-((C118-TRAINING!$Q$4)^2)/(2*(TRAINING!$Q$9^2)))</f>
        <v>3.5147830490959445E-2</v>
      </c>
      <c r="Q118">
        <f>(1/(SQRT(2*PI())*TRAINING!$R$8))*EXP(-((D118-TRAINING!$R$3)^2)/(2*(TRAINING!$R$8^2)))</f>
        <v>4.2691938231656991E-2</v>
      </c>
      <c r="R118">
        <f>(1/(SQRT(2*PI())*TRAINING!$R$9))*EXP(-((D118-TRAINING!$R$4)^2)/(2*(TRAINING!$R$9^2)))</f>
        <v>3.202065801833482E-2</v>
      </c>
      <c r="S118">
        <f>(1/(SQRT(2*PI())*TRAINING!$S$8))*EXP(-((E118-TRAINING!$S$3)^2)/(2*(TRAINING!$S$8^2)))</f>
        <v>3.5657055057560366E-3</v>
      </c>
      <c r="T118">
        <f>(1/(SQRT(2*PI())*TRAINING!$S$9))*EXP(-((E118-TRAINING!$S$4)^2)/(2*(TRAINING!$S$9^2)))</f>
        <v>2.5951511419773543E-3</v>
      </c>
      <c r="U118">
        <f>(1/(SQRT(2*PI())*TRAINING!$T$8))*EXP(-((F118-TRAINING!$T$3)^2)/(2*(TRAINING!$T$8^2)))</f>
        <v>5.4852954602683239E-2</v>
      </c>
      <c r="V118">
        <f>(1/(SQRT(2*PI())*TRAINING!$T$9))*EXP(-((F118-TRAINING!$T$4)^2)/(2*(TRAINING!$T$9^2)))</f>
        <v>5.9473973339221858E-2</v>
      </c>
      <c r="W118">
        <f>(1/(SQRT(2*PI())*TRAINING!$U$8))*EXP(-((G118-TRAINING!$U$3)^2)/(2*(TRAINING!$U$8^2)))</f>
        <v>1.0298774955112779</v>
      </c>
      <c r="X118">
        <f>(1/(SQRT(2*PI())*TRAINING!$U$9))*EXP(-((G118-TRAINING!$U$4)^2)/(2*(TRAINING!$U$9^2)))</f>
        <v>0.72663595726950125</v>
      </c>
      <c r="Y118">
        <f>(1/(SQRT(2*PI())*TRAINING!$V$8))*EXP(-((H118-TRAINING!$V$3)^2)/(2*(TRAINING!$V$8^2)))</f>
        <v>2.8692713638906624E-2</v>
      </c>
      <c r="Z118">
        <f>(1/(SQRT(2*PI())*TRAINING!$V$9))*EXP(-((H118-TRAINING!$V$4)^2)/(2*(TRAINING!$V$9^2)))</f>
        <v>3.6225122426769528E-2</v>
      </c>
      <c r="AA118">
        <f>PRODUCT(K118,M118,O118,Q118,S118,U118,W118,Y118)*TRAINING!$L$2</f>
        <v>8.4002093864592435E-12</v>
      </c>
      <c r="AB118">
        <f>PRODUCT(L118,N118,P118,R118,T118,V118,X118,Z118)*TRAINING!$L$3</f>
        <v>1.8307912019808262E-12</v>
      </c>
      <c r="AC118">
        <f t="shared" si="3"/>
        <v>0</v>
      </c>
      <c r="AD118">
        <f t="shared" si="4"/>
        <v>0</v>
      </c>
      <c r="AF118" s="19"/>
      <c r="AG118" t="str">
        <f t="shared" si="5"/>
        <v>FN</v>
      </c>
    </row>
    <row r="119" spans="1:33" x14ac:dyDescent="0.3">
      <c r="A119">
        <v>5</v>
      </c>
      <c r="B119">
        <v>78</v>
      </c>
      <c r="C119">
        <v>48</v>
      </c>
      <c r="D119">
        <v>23</v>
      </c>
      <c r="E119">
        <v>30.5</v>
      </c>
      <c r="F119">
        <v>33.700000000000003</v>
      </c>
      <c r="G119">
        <v>0.65400000000000003</v>
      </c>
      <c r="H119">
        <v>25</v>
      </c>
      <c r="I119">
        <v>0</v>
      </c>
      <c r="K119">
        <f>(1/(SQRT(2*PI())*TRAINING!$O$8))*EXP(-((A119-TRAINING!$O$3)^2)/(2*(TRAINING!$O$8^2)))</f>
        <v>0.11094891947307506</v>
      </c>
      <c r="L119">
        <f>(1/(SQRT(2*PI())*TRAINING!$O$9))*EXP(-((A119-TRAINING!$O$4)^2)/(2*(TRAINING!$O$9^2)))</f>
        <v>0.1073628550745119</v>
      </c>
      <c r="M119">
        <f>(1/(SQRT(2*PI())*TRAINING!$P$8))*EXP(-((B119-TRAINING!$P$3)^2)/(2*(TRAINING!$P$8^2)))</f>
        <v>6.5171394696729593E-3</v>
      </c>
      <c r="N119">
        <f>(1/(SQRT(2*PI())*TRAINING!$P$9))*EXP(-((B119-TRAINING!$P$4)^2)/(2*(TRAINING!$P$9^2)))</f>
        <v>1.1104291956232537E-3</v>
      </c>
      <c r="O119">
        <f>(1/(SQRT(2*PI())*TRAINING!$Q$8))*EXP(-((C119-TRAINING!$Q$3)^2)/(2*(TRAINING!$Q$8^2)))</f>
        <v>4.7923966284475587E-3</v>
      </c>
      <c r="P119">
        <f>(1/(SQRT(2*PI())*TRAINING!$Q$9))*EXP(-((C119-TRAINING!$Q$4)^2)/(2*(TRAINING!$Q$9^2)))</f>
        <v>1.8455010980871079E-3</v>
      </c>
      <c r="Q119">
        <f>(1/(SQRT(2*PI())*TRAINING!$R$8))*EXP(-((D119-TRAINING!$R$3)^2)/(2*(TRAINING!$R$8^2)))</f>
        <v>4.2691938231656991E-2</v>
      </c>
      <c r="R119">
        <f>(1/(SQRT(2*PI())*TRAINING!$R$9))*EXP(-((D119-TRAINING!$R$4)^2)/(2*(TRAINING!$R$9^2)))</f>
        <v>3.202065801833482E-2</v>
      </c>
      <c r="S119">
        <f>(1/(SQRT(2*PI())*TRAINING!$S$8))*EXP(-((E119-TRAINING!$S$3)^2)/(2*(TRAINING!$S$8^2)))</f>
        <v>3.5657055057560366E-3</v>
      </c>
      <c r="T119">
        <f>(1/(SQRT(2*PI())*TRAINING!$S$9))*EXP(-((E119-TRAINING!$S$4)^2)/(2*(TRAINING!$S$9^2)))</f>
        <v>2.5951511419773543E-3</v>
      </c>
      <c r="U119">
        <f>(1/(SQRT(2*PI())*TRAINING!$T$8))*EXP(-((F119-TRAINING!$T$3)^2)/(2*(TRAINING!$T$8^2)))</f>
        <v>5.5977643675419964E-2</v>
      </c>
      <c r="V119">
        <f>(1/(SQRT(2*PI())*TRAINING!$T$9))*EXP(-((F119-TRAINING!$T$4)^2)/(2*(TRAINING!$T$9^2)))</f>
        <v>5.8874093517386789E-2</v>
      </c>
      <c r="W119">
        <f>(1/(SQRT(2*PI())*TRAINING!$U$8))*EXP(-((G119-TRAINING!$U$3)^2)/(2*(TRAINING!$U$8^2)))</f>
        <v>1.0135453182482548</v>
      </c>
      <c r="X119">
        <f>(1/(SQRT(2*PI())*TRAINING!$U$9))*EXP(-((G119-TRAINING!$U$4)^2)/(2*(TRAINING!$U$9^2)))</f>
        <v>1.061901569733404</v>
      </c>
      <c r="Y119">
        <f>(1/(SQRT(2*PI())*TRAINING!$V$8))*EXP(-((H119-TRAINING!$V$3)^2)/(2*(TRAINING!$V$8^2)))</f>
        <v>2.9161934112625271E-2</v>
      </c>
      <c r="Z119">
        <f>(1/(SQRT(2*PI())*TRAINING!$V$9))*EXP(-((H119-TRAINING!$V$4)^2)/(2*(TRAINING!$V$9^2)))</f>
        <v>2.0729073133302325E-2</v>
      </c>
      <c r="AA119">
        <f>PRODUCT(K119,M119,O119,Q119,S119,U119,W119,Y119)*TRAINING!$L$2</f>
        <v>5.6907244427484591E-13</v>
      </c>
      <c r="AB119">
        <f>PRODUCT(L119,N119,P119,R119,T119,V119,X119,Z119)*TRAINING!$L$3</f>
        <v>8.0559996266719221E-15</v>
      </c>
      <c r="AC119">
        <f t="shared" si="3"/>
        <v>0</v>
      </c>
      <c r="AD119">
        <f t="shared" si="4"/>
        <v>1</v>
      </c>
      <c r="AF119" s="19"/>
      <c r="AG119" t="str">
        <f t="shared" si="5"/>
        <v>TN</v>
      </c>
    </row>
    <row r="120" spans="1:33" x14ac:dyDescent="0.3">
      <c r="A120">
        <v>4</v>
      </c>
      <c r="B120">
        <v>97</v>
      </c>
      <c r="C120">
        <v>60</v>
      </c>
      <c r="D120">
        <v>23</v>
      </c>
      <c r="E120">
        <v>30.5</v>
      </c>
      <c r="F120">
        <v>28.2</v>
      </c>
      <c r="G120">
        <v>0.443</v>
      </c>
      <c r="H120">
        <v>22</v>
      </c>
      <c r="I120">
        <v>0</v>
      </c>
      <c r="K120">
        <f>(1/(SQRT(2*PI())*TRAINING!$O$8))*EXP(-((A120-TRAINING!$O$3)^2)/(2*(TRAINING!$O$8^2)))</f>
        <v>0.12757449499469867</v>
      </c>
      <c r="L120">
        <f>(1/(SQRT(2*PI())*TRAINING!$O$9))*EXP(-((A120-TRAINING!$O$4)^2)/(2*(TRAINING!$O$9^2)))</f>
        <v>0.10484388320832955</v>
      </c>
      <c r="M120">
        <f>(1/(SQRT(2*PI())*TRAINING!$P$8))*EXP(-((B120-TRAINING!$P$3)^2)/(2*(TRAINING!$P$8^2)))</f>
        <v>1.3688190524773774E-2</v>
      </c>
      <c r="N120">
        <f>(1/(SQRT(2*PI())*TRAINING!$P$9))*EXP(-((B120-TRAINING!$P$4)^2)/(2*(TRAINING!$P$9^2)))</f>
        <v>3.8656635690959232E-3</v>
      </c>
      <c r="O120">
        <f>(1/(SQRT(2*PI())*TRAINING!$Q$8))*EXP(-((C120-TRAINING!$Q$3)^2)/(2*(TRAINING!$Q$8^2)))</f>
        <v>2.1821879354468197E-2</v>
      </c>
      <c r="P120">
        <f>(1/(SQRT(2*PI())*TRAINING!$Q$9))*EXP(-((C120-TRAINING!$Q$4)^2)/(2*(TRAINING!$Q$9^2)))</f>
        <v>1.3939617132614638E-2</v>
      </c>
      <c r="Q120">
        <f>(1/(SQRT(2*PI())*TRAINING!$R$8))*EXP(-((D120-TRAINING!$R$3)^2)/(2*(TRAINING!$R$8^2)))</f>
        <v>4.2691938231656991E-2</v>
      </c>
      <c r="R120">
        <f>(1/(SQRT(2*PI())*TRAINING!$R$9))*EXP(-((D120-TRAINING!$R$4)^2)/(2*(TRAINING!$R$9^2)))</f>
        <v>3.202065801833482E-2</v>
      </c>
      <c r="S120">
        <f>(1/(SQRT(2*PI())*TRAINING!$S$8))*EXP(-((E120-TRAINING!$S$3)^2)/(2*(TRAINING!$S$8^2)))</f>
        <v>3.5657055057560366E-3</v>
      </c>
      <c r="T120">
        <f>(1/(SQRT(2*PI())*TRAINING!$S$9))*EXP(-((E120-TRAINING!$S$4)^2)/(2*(TRAINING!$S$9^2)))</f>
        <v>2.5951511419773543E-3</v>
      </c>
      <c r="U120">
        <f>(1/(SQRT(2*PI())*TRAINING!$T$8))*EXP(-((F120-TRAINING!$T$3)^2)/(2*(TRAINING!$T$8^2)))</f>
        <v>5.5859783212641512E-2</v>
      </c>
      <c r="V120">
        <f>(1/(SQRT(2*PI())*TRAINING!$T$9))*EXP(-((F120-TRAINING!$T$4)^2)/(2*(TRAINING!$T$9^2)))</f>
        <v>3.3807543944286519E-2</v>
      </c>
      <c r="W120">
        <f>(1/(SQRT(2*PI())*TRAINING!$U$8))*EXP(-((G120-TRAINING!$U$3)^2)/(2*(TRAINING!$U$8^2)))</f>
        <v>1.3238496459341174</v>
      </c>
      <c r="X120">
        <f>(1/(SQRT(2*PI())*TRAINING!$U$9))*EXP(-((G120-TRAINING!$U$4)^2)/(2*(TRAINING!$U$9^2)))</f>
        <v>1.0582034328396297</v>
      </c>
      <c r="Y120">
        <f>(1/(SQRT(2*PI())*TRAINING!$V$8))*EXP(-((H120-TRAINING!$V$3)^2)/(2*(TRAINING!$V$8^2)))</f>
        <v>2.4686919742992346E-2</v>
      </c>
      <c r="Z120">
        <f>(1/(SQRT(2*PI())*TRAINING!$V$9))*EXP(-((H120-TRAINING!$V$4)^2)/(2*(TRAINING!$V$9^2)))</f>
        <v>1.4904761570265752E-2</v>
      </c>
      <c r="AA120">
        <f>PRODUCT(K120,M120,O120,Q120,S120,U120,W120,Y120)*TRAINING!$L$2</f>
        <v>6.9050601370743079E-12</v>
      </c>
      <c r="AB120">
        <f>PRODUCT(L120,N120,P120,R120,T120,V120,X120,Z120)*TRAINING!$L$3</f>
        <v>8.5113342083581208E-14</v>
      </c>
      <c r="AC120">
        <f t="shared" si="3"/>
        <v>0</v>
      </c>
      <c r="AD120">
        <f t="shared" si="4"/>
        <v>1</v>
      </c>
      <c r="AF120" s="19"/>
      <c r="AG120" t="str">
        <f t="shared" si="5"/>
        <v>TN</v>
      </c>
    </row>
    <row r="121" spans="1:33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  <c r="K121">
        <f>(1/(SQRT(2*PI())*TRAINING!$O$8))*EXP(-((A121-TRAINING!$O$3)^2)/(2*(TRAINING!$O$8^2)))</f>
        <v>0.12757449499469867</v>
      </c>
      <c r="L121">
        <f>(1/(SQRT(2*PI())*TRAINING!$O$9))*EXP(-((A121-TRAINING!$O$4)^2)/(2*(TRAINING!$O$9^2)))</f>
        <v>0.10484388320832955</v>
      </c>
      <c r="M121">
        <f>(1/(SQRT(2*PI())*TRAINING!$P$8))*EXP(-((B121-TRAINING!$P$3)^2)/(2*(TRAINING!$P$8^2)))</f>
        <v>1.4298005689557707E-2</v>
      </c>
      <c r="N121">
        <f>(1/(SQRT(2*PI())*TRAINING!$P$9))*EXP(-((B121-TRAINING!$P$4)^2)/(2*(TRAINING!$P$9^2)))</f>
        <v>4.3006327116797338E-3</v>
      </c>
      <c r="O121">
        <f>(1/(SQRT(2*PI())*TRAINING!$Q$8))*EXP(-((C121-TRAINING!$Q$3)^2)/(2*(TRAINING!$Q$8^2)))</f>
        <v>3.13643924782957E-2</v>
      </c>
      <c r="P121">
        <f>(1/(SQRT(2*PI())*TRAINING!$Q$9))*EXP(-((C121-TRAINING!$Q$4)^2)/(2*(TRAINING!$Q$9^2)))</f>
        <v>3.5360725179086838E-2</v>
      </c>
      <c r="Q121">
        <f>(1/(SQRT(2*PI())*TRAINING!$R$8))*EXP(-((D121-TRAINING!$R$3)^2)/(2*(TRAINING!$R$8^2)))</f>
        <v>2.0434713115401574E-2</v>
      </c>
      <c r="R121">
        <f>(1/(SQRT(2*PI())*TRAINING!$R$9))*EXP(-((D121-TRAINING!$R$4)^2)/(2*(TRAINING!$R$9^2)))</f>
        <v>1.3252384353220969E-2</v>
      </c>
      <c r="S121">
        <f>(1/(SQRT(2*PI())*TRAINING!$S$8))*EXP(-((E121-TRAINING!$S$3)^2)/(2*(TRAINING!$S$8^2)))</f>
        <v>3.9643186191733494E-3</v>
      </c>
      <c r="T121">
        <f>(1/(SQRT(2*PI())*TRAINING!$S$9))*EXP(-((E121-TRAINING!$S$4)^2)/(2*(TRAINING!$S$9^2)))</f>
        <v>2.8751575582651391E-3</v>
      </c>
      <c r="U121">
        <f>(1/(SQRT(2*PI())*TRAINING!$T$8))*EXP(-((F121-TRAINING!$T$3)^2)/(2*(TRAINING!$T$8^2)))</f>
        <v>3.0116411155062833E-2</v>
      </c>
      <c r="V121">
        <f>(1/(SQRT(2*PI())*TRAINING!$T$9))*EXP(-((F121-TRAINING!$T$4)^2)/(2*(TRAINING!$T$9^2)))</f>
        <v>1.1126580002408419E-2</v>
      </c>
      <c r="W121">
        <f>(1/(SQRT(2*PI())*TRAINING!$U$8))*EXP(-((G121-TRAINING!$U$3)^2)/(2*(TRAINING!$U$8^2)))</f>
        <v>1.0371279657642392</v>
      </c>
      <c r="X121">
        <f>(1/(SQRT(2*PI())*TRAINING!$U$9))*EXP(-((G121-TRAINING!$U$4)^2)/(2*(TRAINING!$U$9^2)))</f>
        <v>0.73217597629955955</v>
      </c>
      <c r="Y121">
        <f>(1/(SQRT(2*PI())*TRAINING!$V$8))*EXP(-((H121-TRAINING!$V$3)^2)/(2*(TRAINING!$V$8^2)))</f>
        <v>2.3024268373034226E-2</v>
      </c>
      <c r="Z121">
        <f>(1/(SQRT(2*PI())*TRAINING!$V$9))*EXP(-((H121-TRAINING!$V$4)^2)/(2*(TRAINING!$V$9^2)))</f>
        <v>1.3130994726231127E-2</v>
      </c>
      <c r="AA121">
        <f>PRODUCT(K121,M121,O121,Q121,S121,U121,W121,Y121)*TRAINING!$L$2</f>
        <v>2.1732213282583075E-12</v>
      </c>
      <c r="AB121">
        <f>PRODUCT(L121,N121,P121,R121,T121,V121,X121,Z121)*TRAINING!$L$3</f>
        <v>2.2095610254579598E-14</v>
      </c>
      <c r="AC121">
        <f t="shared" si="3"/>
        <v>0</v>
      </c>
      <c r="AD121">
        <f t="shared" si="4"/>
        <v>1</v>
      </c>
      <c r="AF121" s="19"/>
      <c r="AG121" t="str">
        <f t="shared" si="5"/>
        <v>TN</v>
      </c>
    </row>
    <row r="122" spans="1:33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  <c r="K122">
        <f>(1/(SQRT(2*PI())*TRAINING!$O$8))*EXP(-((A122-TRAINING!$O$3)^2)/(2*(TRAINING!$O$8^2)))</f>
        <v>7.4791087346963395E-2</v>
      </c>
      <c r="L122">
        <f>(1/(SQRT(2*PI())*TRAINING!$O$9))*EXP(-((A122-TRAINING!$O$4)^2)/(2*(TRAINING!$O$9^2)))</f>
        <v>4.6140116319387747E-2</v>
      </c>
      <c r="M122">
        <f>(1/(SQRT(2*PI())*TRAINING!$P$8))*EXP(-((B122-TRAINING!$P$3)^2)/(2*(TRAINING!$P$8^2)))</f>
        <v>1.9474575740110367E-3</v>
      </c>
      <c r="N122">
        <f>(1/(SQRT(2*PI())*TRAINING!$P$9))*EXP(-((B122-TRAINING!$P$4)^2)/(2*(TRAINING!$P$9^2)))</f>
        <v>1.1153464776145204E-2</v>
      </c>
      <c r="O122">
        <f>(1/(SQRT(2*PI())*TRAINING!$Q$8))*EXP(-((C122-TRAINING!$Q$3)^2)/(2*(TRAINING!$Q$8^2)))</f>
        <v>3.13643924782957E-2</v>
      </c>
      <c r="P122">
        <f>(1/(SQRT(2*PI())*TRAINING!$Q$9))*EXP(-((C122-TRAINING!$Q$4)^2)/(2*(TRAINING!$Q$9^2)))</f>
        <v>3.5360725179086838E-2</v>
      </c>
      <c r="Q122">
        <f>(1/(SQRT(2*PI())*TRAINING!$R$8))*EXP(-((D122-TRAINING!$R$3)^2)/(2*(TRAINING!$R$8^2)))</f>
        <v>1.377592969108309E-4</v>
      </c>
      <c r="R122">
        <f>(1/(SQRT(2*PI())*TRAINING!$R$9))*EXP(-((D122-TRAINING!$R$4)^2)/(2*(TRAINING!$R$9^2)))</f>
        <v>1.1714720053365038E-3</v>
      </c>
      <c r="S122">
        <f>(1/(SQRT(2*PI())*TRAINING!$S$8))*EXP(-((E122-TRAINING!$S$3)^2)/(2*(TRAINING!$S$8^2)))</f>
        <v>4.2081935794741282E-3</v>
      </c>
      <c r="T122">
        <f>(1/(SQRT(2*PI())*TRAINING!$S$9))*EXP(-((E122-TRAINING!$S$4)^2)/(2*(TRAINING!$S$9^2)))</f>
        <v>3.2707060815793088E-3</v>
      </c>
      <c r="U122">
        <f>(1/(SQRT(2*PI())*TRAINING!$T$8))*EXP(-((F122-TRAINING!$T$3)^2)/(2*(TRAINING!$T$8^2)))</f>
        <v>1.8521104036363909E-4</v>
      </c>
      <c r="V122">
        <f>(1/(SQRT(2*PI())*TRAINING!$T$9))*EXP(-((F122-TRAINING!$T$4)^2)/(2*(TRAINING!$T$9^2)))</f>
        <v>1.4995293933271726E-3</v>
      </c>
      <c r="W122">
        <f>(1/(SQRT(2*PI())*TRAINING!$U$8))*EXP(-((G122-TRAINING!$U$3)^2)/(2*(TRAINING!$U$8^2)))</f>
        <v>0.73910260223702484</v>
      </c>
      <c r="X122">
        <f>(1/(SQRT(2*PI())*TRAINING!$U$9))*EXP(-((G122-TRAINING!$U$4)^2)/(2*(TRAINING!$U$9^2)))</f>
        <v>0.93630862373010337</v>
      </c>
      <c r="Y122">
        <f>(1/(SQRT(2*PI())*TRAINING!$V$8))*EXP(-((H122-TRAINING!$V$3)^2)/(2*(TRAINING!$V$8^2)))</f>
        <v>2.9161934112625271E-2</v>
      </c>
      <c r="Z122">
        <f>(1/(SQRT(2*PI())*TRAINING!$V$9))*EXP(-((H122-TRAINING!$V$4)^2)/(2*(TRAINING!$V$9^2)))</f>
        <v>2.0729073133302325E-2</v>
      </c>
      <c r="AA122">
        <f>PRODUCT(K122,M122,O122,Q122,S122,U122,W122,Y122)*TRAINING!$L$2</f>
        <v>6.8933216408896244E-18</v>
      </c>
      <c r="AB122">
        <f>PRODUCT(L122,N122,P122,R122,T122,V122,X122,Z122)*TRAINING!$L$3</f>
        <v>6.8994725095839431E-16</v>
      </c>
      <c r="AC122">
        <f t="shared" si="3"/>
        <v>1</v>
      </c>
      <c r="AD122">
        <f t="shared" si="4"/>
        <v>1</v>
      </c>
      <c r="AF122" s="19"/>
      <c r="AG122" t="str">
        <f t="shared" si="5"/>
        <v>TP</v>
      </c>
    </row>
    <row r="123" spans="1:33" x14ac:dyDescent="0.3">
      <c r="A123">
        <v>6</v>
      </c>
      <c r="B123">
        <v>111</v>
      </c>
      <c r="C123">
        <v>64</v>
      </c>
      <c r="D123">
        <v>39</v>
      </c>
      <c r="E123">
        <v>30.5</v>
      </c>
      <c r="F123">
        <v>34.200000000000003</v>
      </c>
      <c r="G123">
        <v>0.26</v>
      </c>
      <c r="H123">
        <v>24</v>
      </c>
      <c r="I123">
        <v>0</v>
      </c>
      <c r="K123">
        <f>(1/(SQRT(2*PI())*TRAINING!$O$8))*EXP(-((A123-TRAINING!$O$3)^2)/(2*(TRAINING!$O$8^2)))</f>
        <v>8.6503679874208927E-2</v>
      </c>
      <c r="L123">
        <f>(1/(SQRT(2*PI())*TRAINING!$O$9))*EXP(-((A123-TRAINING!$O$4)^2)/(2*(TRAINING!$O$9^2)))</f>
        <v>0.10224520417214994</v>
      </c>
      <c r="M123">
        <f>(1/(SQRT(2*PI())*TRAINING!$P$8))*EXP(-((B123-TRAINING!$P$3)^2)/(2*(TRAINING!$P$8^2)))</f>
        <v>1.6175922724262558E-2</v>
      </c>
      <c r="N123">
        <f>(1/(SQRT(2*PI())*TRAINING!$P$9))*EXP(-((B123-TRAINING!$P$4)^2)/(2*(TRAINING!$P$9^2)))</f>
        <v>7.3878346513692704E-3</v>
      </c>
      <c r="O123">
        <f>(1/(SQRT(2*PI())*TRAINING!$Q$8))*EXP(-((C123-TRAINING!$Q$3)^2)/(2*(TRAINING!$Q$8^2)))</f>
        <v>2.8539543720520966E-2</v>
      </c>
      <c r="P123">
        <f>(1/(SQRT(2*PI())*TRAINING!$Q$9))*EXP(-((C123-TRAINING!$Q$4)^2)/(2*(TRAINING!$Q$9^2)))</f>
        <v>2.125454560902645E-2</v>
      </c>
      <c r="Q123">
        <f>(1/(SQRT(2*PI())*TRAINING!$R$8))*EXP(-((D123-TRAINING!$R$3)^2)/(2*(TRAINING!$R$8^2)))</f>
        <v>1.5440061817106381E-2</v>
      </c>
      <c r="R123">
        <f>(1/(SQRT(2*PI())*TRAINING!$R$9))*EXP(-((D123-TRAINING!$R$4)^2)/(2*(TRAINING!$R$9^2)))</f>
        <v>2.6025449562831079E-2</v>
      </c>
      <c r="S123">
        <f>(1/(SQRT(2*PI())*TRAINING!$S$8))*EXP(-((E123-TRAINING!$S$3)^2)/(2*(TRAINING!$S$8^2)))</f>
        <v>3.5657055057560366E-3</v>
      </c>
      <c r="T123">
        <f>(1/(SQRT(2*PI())*TRAINING!$S$9))*EXP(-((E123-TRAINING!$S$4)^2)/(2*(TRAINING!$S$9^2)))</f>
        <v>2.5951511419773543E-3</v>
      </c>
      <c r="U123">
        <f>(1/(SQRT(2*PI())*TRAINING!$T$8))*EXP(-((F123-TRAINING!$T$3)^2)/(2*(TRAINING!$T$8^2)))</f>
        <v>5.4052299993935321E-2</v>
      </c>
      <c r="V123">
        <f>(1/(SQRT(2*PI())*TRAINING!$T$9))*EXP(-((F123-TRAINING!$T$4)^2)/(2*(TRAINING!$T$9^2)))</f>
        <v>5.9808088870930975E-2</v>
      </c>
      <c r="W123">
        <f>(1/(SQRT(2*PI())*TRAINING!$U$8))*EXP(-((G123-TRAINING!$U$3)^2)/(2*(TRAINING!$U$8^2)))</f>
        <v>1.1216746707495129</v>
      </c>
      <c r="X123">
        <f>(1/(SQRT(2*PI())*TRAINING!$U$9))*EXP(-((G123-TRAINING!$U$4)^2)/(2*(TRAINING!$U$9^2)))</f>
        <v>0.79951405361404015</v>
      </c>
      <c r="Y123">
        <f>(1/(SQRT(2*PI())*TRAINING!$V$8))*EXP(-((H123-TRAINING!$V$3)^2)/(2*(TRAINING!$V$8^2)))</f>
        <v>2.7783192496885357E-2</v>
      </c>
      <c r="Z123">
        <f>(1/(SQRT(2*PI())*TRAINING!$V$9))*EXP(-((H123-TRAINING!$V$4)^2)/(2*(TRAINING!$V$9^2)))</f>
        <v>1.8726911646419479E-2</v>
      </c>
      <c r="AA123">
        <f>PRODUCT(K123,M123,O123,Q123,S123,U123,W123,Y123)*TRAINING!$L$2</f>
        <v>2.4147805791590321E-12</v>
      </c>
      <c r="AB123">
        <f>PRODUCT(L123,N123,P123,R123,T123,V123,X123,Z123)*TRAINING!$L$3</f>
        <v>3.3014440400284004E-13</v>
      </c>
      <c r="AC123">
        <f t="shared" si="3"/>
        <v>0</v>
      </c>
      <c r="AD123">
        <f t="shared" si="4"/>
        <v>1</v>
      </c>
      <c r="AF123" s="19"/>
      <c r="AG123" t="str">
        <f t="shared" si="5"/>
        <v>TN</v>
      </c>
    </row>
    <row r="124" spans="1:33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  <c r="K124">
        <f>(1/(SQRT(2*PI())*TRAINING!$O$8))*EXP(-((A124-TRAINING!$O$3)^2)/(2*(TRAINING!$O$8^2)))</f>
        <v>0.12153525578060927</v>
      </c>
      <c r="L124">
        <f>(1/(SQRT(2*PI())*TRAINING!$O$9))*EXP(-((A124-TRAINING!$O$4)^2)/(2*(TRAINING!$O$9^2)))</f>
        <v>8.041832272231407E-2</v>
      </c>
      <c r="M124">
        <f>(1/(SQRT(2*PI())*TRAINING!$P$8))*EXP(-((B124-TRAINING!$P$3)^2)/(2*(TRAINING!$P$8^2)))</f>
        <v>1.5937854362536651E-2</v>
      </c>
      <c r="N124">
        <f>(1/(SQRT(2*PI())*TRAINING!$P$9))*EXP(-((B124-TRAINING!$P$4)^2)/(2*(TRAINING!$P$9^2)))</f>
        <v>6.2857000770420741E-3</v>
      </c>
      <c r="O124">
        <f>(1/(SQRT(2*PI())*TRAINING!$Q$8))*EXP(-((C124-TRAINING!$Q$3)^2)/(2*(TRAINING!$Q$8^2)))</f>
        <v>3.3247489640615996E-2</v>
      </c>
      <c r="P124">
        <f>(1/(SQRT(2*PI())*TRAINING!$Q$9))*EXP(-((C124-TRAINING!$Q$4)^2)/(2*(TRAINING!$Q$9^2)))</f>
        <v>3.5147830490959445E-2</v>
      </c>
      <c r="Q124">
        <f>(1/(SQRT(2*PI())*TRAINING!$R$8))*EXP(-((D124-TRAINING!$R$3)^2)/(2*(TRAINING!$R$8^2)))</f>
        <v>4.1168207127831397E-2</v>
      </c>
      <c r="R124">
        <f>(1/(SQRT(2*PI())*TRAINING!$R$9))*EXP(-((D124-TRAINING!$R$4)^2)/(2*(TRAINING!$R$9^2)))</f>
        <v>4.041370800237605E-2</v>
      </c>
      <c r="S124">
        <f>(1/(SQRT(2*PI())*TRAINING!$S$8))*EXP(-((E124-TRAINING!$S$3)^2)/(2*(TRAINING!$S$8^2)))</f>
        <v>4.2081935794741282E-3</v>
      </c>
      <c r="T124">
        <f>(1/(SQRT(2*PI())*TRAINING!$S$9))*EXP(-((E124-TRAINING!$S$4)^2)/(2*(TRAINING!$S$9^2)))</f>
        <v>3.2707060815793088E-3</v>
      </c>
      <c r="U124">
        <f>(1/(SQRT(2*PI())*TRAINING!$T$8))*EXP(-((F124-TRAINING!$T$3)^2)/(2*(TRAINING!$T$8^2)))</f>
        <v>5.6331203158446357E-2</v>
      </c>
      <c r="V124">
        <f>(1/(SQRT(2*PI())*TRAINING!$T$9))*EXP(-((F124-TRAINING!$T$4)^2)/(2*(TRAINING!$T$9^2)))</f>
        <v>5.8648348825005574E-2</v>
      </c>
      <c r="W124">
        <f>(1/(SQRT(2*PI())*TRAINING!$U$8))*EXP(-((G124-TRAINING!$U$3)^2)/(2*(TRAINING!$U$8^2)))</f>
        <v>1.3180812686007457</v>
      </c>
      <c r="X124">
        <f>(1/(SQRT(2*PI())*TRAINING!$U$9))*EXP(-((G124-TRAINING!$U$4)^2)/(2*(TRAINING!$U$9^2)))</f>
        <v>1.0186009997683374</v>
      </c>
      <c r="Y124">
        <f>(1/(SQRT(2*PI())*TRAINING!$V$8))*EXP(-((H124-TRAINING!$V$3)^2)/(2*(TRAINING!$V$8^2)))</f>
        <v>2.6282439590781519E-2</v>
      </c>
      <c r="Z124">
        <f>(1/(SQRT(2*PI())*TRAINING!$V$9))*EXP(-((H124-TRAINING!$V$4)^2)/(2*(TRAINING!$V$9^2)))</f>
        <v>1.6777009273758671E-2</v>
      </c>
      <c r="AA124">
        <f>PRODUCT(K124,M124,O124,Q124,S124,U124,W124,Y124)*TRAINING!$L$2</f>
        <v>1.4196288065720391E-11</v>
      </c>
      <c r="AB124">
        <f>PRODUCT(L124,N124,P124,R124,T124,V124,X124,Z124)*TRAINING!$L$3</f>
        <v>8.0025934792324826E-13</v>
      </c>
      <c r="AC124">
        <f t="shared" si="3"/>
        <v>0</v>
      </c>
      <c r="AD124">
        <f t="shared" si="4"/>
        <v>1</v>
      </c>
      <c r="AF124" s="19"/>
      <c r="AG124" t="str">
        <f t="shared" si="5"/>
        <v>TN</v>
      </c>
    </row>
    <row r="125" spans="1:33" x14ac:dyDescent="0.3">
      <c r="A125">
        <v>5</v>
      </c>
      <c r="B125">
        <v>132</v>
      </c>
      <c r="C125">
        <v>80</v>
      </c>
      <c r="D125">
        <v>23</v>
      </c>
      <c r="E125">
        <v>30.5</v>
      </c>
      <c r="F125">
        <v>26.8</v>
      </c>
      <c r="G125">
        <v>0.186</v>
      </c>
      <c r="H125">
        <v>69</v>
      </c>
      <c r="I125">
        <v>0</v>
      </c>
      <c r="K125">
        <f>(1/(SQRT(2*PI())*TRAINING!$O$8))*EXP(-((A125-TRAINING!$O$3)^2)/(2*(TRAINING!$O$8^2)))</f>
        <v>0.11094891947307506</v>
      </c>
      <c r="L125">
        <f>(1/(SQRT(2*PI())*TRAINING!$O$9))*EXP(-((A125-TRAINING!$O$4)^2)/(2*(TRAINING!$O$9^2)))</f>
        <v>0.1073628550745119</v>
      </c>
      <c r="M125">
        <f>(1/(SQRT(2*PI())*TRAINING!$P$8))*EXP(-((B125-TRAINING!$P$3)^2)/(2*(TRAINING!$P$8^2)))</f>
        <v>1.1356073797887542E-2</v>
      </c>
      <c r="N125">
        <f>(1/(SQRT(2*PI())*TRAINING!$P$9))*EXP(-((B125-TRAINING!$P$4)^2)/(2*(TRAINING!$P$9^2)))</f>
        <v>1.2674257602573135E-2</v>
      </c>
      <c r="O125">
        <f>(1/(SQRT(2*PI())*TRAINING!$Q$8))*EXP(-((C125-TRAINING!$Q$3)^2)/(2*(TRAINING!$Q$8^2)))</f>
        <v>2.5539275567719948E-2</v>
      </c>
      <c r="P125">
        <f>(1/(SQRT(2*PI())*TRAINING!$Q$9))*EXP(-((C125-TRAINING!$Q$4)^2)/(2*(TRAINING!$Q$9^2)))</f>
        <v>3.2561150559118943E-2</v>
      </c>
      <c r="Q125">
        <f>(1/(SQRT(2*PI())*TRAINING!$R$8))*EXP(-((D125-TRAINING!$R$3)^2)/(2*(TRAINING!$R$8^2)))</f>
        <v>4.2691938231656991E-2</v>
      </c>
      <c r="R125">
        <f>(1/(SQRT(2*PI())*TRAINING!$R$9))*EXP(-((D125-TRAINING!$R$4)^2)/(2*(TRAINING!$R$9^2)))</f>
        <v>3.202065801833482E-2</v>
      </c>
      <c r="S125">
        <f>(1/(SQRT(2*PI())*TRAINING!$S$8))*EXP(-((E125-TRAINING!$S$3)^2)/(2*(TRAINING!$S$8^2)))</f>
        <v>3.5657055057560366E-3</v>
      </c>
      <c r="T125">
        <f>(1/(SQRT(2*PI())*TRAINING!$S$9))*EXP(-((E125-TRAINING!$S$4)^2)/(2*(TRAINING!$S$9^2)))</f>
        <v>2.5951511419773543E-3</v>
      </c>
      <c r="U125">
        <f>(1/(SQRT(2*PI())*TRAINING!$T$8))*EXP(-((F125-TRAINING!$T$3)^2)/(2*(TRAINING!$T$8^2)))</f>
        <v>4.9848591327642633E-2</v>
      </c>
      <c r="V125">
        <f>(1/(SQRT(2*PI())*TRAINING!$T$9))*EXP(-((F125-TRAINING!$T$4)^2)/(2*(TRAINING!$T$9^2)))</f>
        <v>2.625310893503217E-2</v>
      </c>
      <c r="W125">
        <f>(1/(SQRT(2*PI())*TRAINING!$U$8))*EXP(-((G125-TRAINING!$U$3)^2)/(2*(TRAINING!$U$8^2)))</f>
        <v>0.94459237865132561</v>
      </c>
      <c r="X125">
        <f>(1/(SQRT(2*PI())*TRAINING!$U$9))*EXP(-((G125-TRAINING!$U$4)^2)/(2*(TRAINING!$U$9^2)))</f>
        <v>0.66348587024008143</v>
      </c>
      <c r="Y125">
        <f>(1/(SQRT(2*PI())*TRAINING!$V$8))*EXP(-((H125-TRAINING!$V$3)^2)/(2*(TRAINING!$V$8^2)))</f>
        <v>2.1819581426798604E-4</v>
      </c>
      <c r="Z125">
        <f>(1/(SQRT(2*PI())*TRAINING!$V$9))*EXP(-((H125-TRAINING!$V$4)^2)/(2*(TRAINING!$V$9^2)))</f>
        <v>4.5296847705929424E-4</v>
      </c>
      <c r="AA125">
        <f>PRODUCT(K125,M125,O125,Q125,S125,U125,W125,Y125)*TRAINING!$L$2</f>
        <v>3.2814379811878581E-14</v>
      </c>
      <c r="AB125">
        <f>PRODUCT(L125,N125,P125,R125,T125,V125,X125,Z125)*TRAINING!$L$3</f>
        <v>9.8770794865726724E-15</v>
      </c>
      <c r="AC125">
        <f t="shared" si="3"/>
        <v>0</v>
      </c>
      <c r="AD125">
        <f t="shared" si="4"/>
        <v>1</v>
      </c>
      <c r="AF125" s="19"/>
      <c r="AG125" t="str">
        <f t="shared" si="5"/>
        <v>TN</v>
      </c>
    </row>
    <row r="126" spans="1:33" x14ac:dyDescent="0.3">
      <c r="A126">
        <v>0</v>
      </c>
      <c r="B126">
        <v>113</v>
      </c>
      <c r="C126">
        <v>76</v>
      </c>
      <c r="D126">
        <v>23</v>
      </c>
      <c r="E126">
        <v>30.5</v>
      </c>
      <c r="F126">
        <v>33.299999999999997</v>
      </c>
      <c r="G126">
        <v>0.27800000000000002</v>
      </c>
      <c r="H126">
        <v>23</v>
      </c>
      <c r="I126">
        <v>1</v>
      </c>
      <c r="K126">
        <f>(1/(SQRT(2*PI())*TRAINING!$O$8))*EXP(-((A126-TRAINING!$O$3)^2)/(2*(TRAINING!$O$8^2)))</f>
        <v>7.4791087346963395E-2</v>
      </c>
      <c r="L126">
        <f>(1/(SQRT(2*PI())*TRAINING!$O$9))*EXP(-((A126-TRAINING!$O$4)^2)/(2*(TRAINING!$O$9^2)))</f>
        <v>4.6140116319387747E-2</v>
      </c>
      <c r="M126">
        <f>(1/(SQRT(2*PI())*TRAINING!$P$8))*EXP(-((B126-TRAINING!$P$3)^2)/(2*(TRAINING!$P$8^2)))</f>
        <v>1.61363078998456E-2</v>
      </c>
      <c r="N126">
        <f>(1/(SQRT(2*PI())*TRAINING!$P$9))*EXP(-((B126-TRAINING!$P$4)^2)/(2*(TRAINING!$P$9^2)))</f>
        <v>7.9531127295763785E-3</v>
      </c>
      <c r="O126">
        <f>(1/(SQRT(2*PI())*TRAINING!$Q$8))*EXP(-((C126-TRAINING!$Q$3)^2)/(2*(TRAINING!$Q$8^2)))</f>
        <v>3.13643924782957E-2</v>
      </c>
      <c r="P126">
        <f>(1/(SQRT(2*PI())*TRAINING!$Q$9))*EXP(-((C126-TRAINING!$Q$4)^2)/(2*(TRAINING!$Q$9^2)))</f>
        <v>3.5360725179086838E-2</v>
      </c>
      <c r="Q126">
        <f>(1/(SQRT(2*PI())*TRAINING!$R$8))*EXP(-((D126-TRAINING!$R$3)^2)/(2*(TRAINING!$R$8^2)))</f>
        <v>4.2691938231656991E-2</v>
      </c>
      <c r="R126">
        <f>(1/(SQRT(2*PI())*TRAINING!$R$9))*EXP(-((D126-TRAINING!$R$4)^2)/(2*(TRAINING!$R$9^2)))</f>
        <v>3.202065801833482E-2</v>
      </c>
      <c r="S126">
        <f>(1/(SQRT(2*PI())*TRAINING!$S$8))*EXP(-((E126-TRAINING!$S$3)^2)/(2*(TRAINING!$S$8^2)))</f>
        <v>3.5657055057560366E-3</v>
      </c>
      <c r="T126">
        <f>(1/(SQRT(2*PI())*TRAINING!$S$9))*EXP(-((E126-TRAINING!$S$4)^2)/(2*(TRAINING!$S$9^2)))</f>
        <v>2.5951511419773543E-3</v>
      </c>
      <c r="U126">
        <f>(1/(SQRT(2*PI())*TRAINING!$T$8))*EXP(-((F126-TRAINING!$T$3)^2)/(2*(TRAINING!$T$8^2)))</f>
        <v>5.7324585505679884E-2</v>
      </c>
      <c r="V126">
        <f>(1/(SQRT(2*PI())*TRAINING!$T$9))*EXP(-((F126-TRAINING!$T$4)^2)/(2*(TRAINING!$T$9^2)))</f>
        <v>5.7895905036615992E-2</v>
      </c>
      <c r="W126">
        <f>(1/(SQRT(2*PI())*TRAINING!$U$8))*EXP(-((G126-TRAINING!$U$3)^2)/(2*(TRAINING!$U$8^2)))</f>
        <v>1.1589233898862974</v>
      </c>
      <c r="X126">
        <f>(1/(SQRT(2*PI())*TRAINING!$U$9))*EXP(-((G126-TRAINING!$U$4)^2)/(2*(TRAINING!$U$9^2)))</f>
        <v>0.83130711818854008</v>
      </c>
      <c r="Y126">
        <f>(1/(SQRT(2*PI())*TRAINING!$V$8))*EXP(-((H126-TRAINING!$V$3)^2)/(2*(TRAINING!$V$8^2)))</f>
        <v>2.6282439590781519E-2</v>
      </c>
      <c r="Z126">
        <f>(1/(SQRT(2*PI())*TRAINING!$V$9))*EXP(-((H126-TRAINING!$V$4)^2)/(2*(TRAINING!$V$9^2)))</f>
        <v>1.6777009273758671E-2</v>
      </c>
      <c r="AA126">
        <f>PRODUCT(K126,M126,O126,Q126,S126,U126,W126,Y126)*TRAINING!$L$2</f>
        <v>6.5601357459499883E-12</v>
      </c>
      <c r="AB126">
        <f>PRODUCT(L126,N126,P126,R126,T126,V126,X126,Z126)*TRAINING!$L$3</f>
        <v>2.96027940052395E-13</v>
      </c>
      <c r="AC126">
        <f t="shared" si="3"/>
        <v>0</v>
      </c>
      <c r="AD126">
        <f t="shared" si="4"/>
        <v>0</v>
      </c>
      <c r="AF126" s="19"/>
      <c r="AG126" t="str">
        <f t="shared" si="5"/>
        <v>FN</v>
      </c>
    </row>
    <row r="127" spans="1:33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  <c r="K127">
        <f>(1/(SQRT(2*PI())*TRAINING!$O$8))*EXP(-((A127-TRAINING!$O$3)^2)/(2*(TRAINING!$O$8^2)))</f>
        <v>0.10069314833313707</v>
      </c>
      <c r="L127">
        <f>(1/(SQRT(2*PI())*TRAINING!$O$9))*EXP(-((A127-TRAINING!$O$4)^2)/(2*(TRAINING!$O$9^2)))</f>
        <v>6.3165200316397857E-2</v>
      </c>
      <c r="M127">
        <f>(1/(SQRT(2*PI())*TRAINING!$P$8))*EXP(-((B127-TRAINING!$P$3)^2)/(2*(TRAINING!$P$8^2)))</f>
        <v>1.0370902223891957E-2</v>
      </c>
      <c r="N127">
        <f>(1/(SQRT(2*PI())*TRAINING!$P$9))*EXP(-((B127-TRAINING!$P$4)^2)/(2*(TRAINING!$P$9^2)))</f>
        <v>2.257236082029275E-3</v>
      </c>
      <c r="O127">
        <f>(1/(SQRT(2*PI())*TRAINING!$Q$8))*EXP(-((C127-TRAINING!$Q$3)^2)/(2*(TRAINING!$Q$8^2)))</f>
        <v>6.6818368249624583E-5</v>
      </c>
      <c r="P127">
        <f>(1/(SQRT(2*PI())*TRAINING!$Q$9))*EXP(-((C127-TRAINING!$Q$4)^2)/(2*(TRAINING!$Q$9^2)))</f>
        <v>1.0590311934409277E-5</v>
      </c>
      <c r="Q127">
        <f>(1/(SQRT(2*PI())*TRAINING!$R$8))*EXP(-((D127-TRAINING!$R$3)^2)/(2*(TRAINING!$R$8^2)))</f>
        <v>8.8160335514515607E-3</v>
      </c>
      <c r="R127">
        <f>(1/(SQRT(2*PI())*TRAINING!$R$9))*EXP(-((D127-TRAINING!$R$4)^2)/(2*(TRAINING!$R$9^2)))</f>
        <v>1.8681405316183501E-2</v>
      </c>
      <c r="S127">
        <f>(1/(SQRT(2*PI())*TRAINING!$S$8))*EXP(-((E127-TRAINING!$S$3)^2)/(2*(TRAINING!$S$8^2)))</f>
        <v>4.2145544357450439E-3</v>
      </c>
      <c r="T127">
        <f>(1/(SQRT(2*PI())*TRAINING!$S$9))*EXP(-((E127-TRAINING!$S$4)^2)/(2*(TRAINING!$S$9^2)))</f>
        <v>3.2674520344496819E-3</v>
      </c>
      <c r="U127">
        <f>(1/(SQRT(2*PI())*TRAINING!$T$8))*EXP(-((F127-TRAINING!$T$3)^2)/(2*(TRAINING!$T$8^2)))</f>
        <v>6.9724698860610331E-5</v>
      </c>
      <c r="V127">
        <f>(1/(SQRT(2*PI())*TRAINING!$T$9))*EXP(-((F127-TRAINING!$T$4)^2)/(2*(TRAINING!$T$9^2)))</f>
        <v>6.8593848523543547E-4</v>
      </c>
      <c r="W127">
        <f>(1/(SQRT(2*PI())*TRAINING!$U$8))*EXP(-((G127-TRAINING!$U$3)^2)/(2*(TRAINING!$U$8^2)))</f>
        <v>1.2964188328673485</v>
      </c>
      <c r="X127">
        <f>(1/(SQRT(2*PI())*TRAINING!$U$9))*EXP(-((G127-TRAINING!$U$4)^2)/(2*(TRAINING!$U$9^2)))</f>
        <v>1.0937963888319868</v>
      </c>
      <c r="Y127">
        <f>(1/(SQRT(2*PI())*TRAINING!$V$8))*EXP(-((H127-TRAINING!$V$3)^2)/(2*(TRAINING!$V$8^2)))</f>
        <v>3.039262448519801E-2</v>
      </c>
      <c r="Z127">
        <f>(1/(SQRT(2*PI())*TRAINING!$V$9))*EXP(-((H127-TRAINING!$V$4)^2)/(2*(TRAINING!$V$9^2)))</f>
        <v>2.2753892995124533E-2</v>
      </c>
      <c r="AA127">
        <f>PRODUCT(K127,M127,O127,Q127,S127,U127,W127,Y127)*TRAINING!$L$2</f>
        <v>4.6441545825764367E-18</v>
      </c>
      <c r="AB127">
        <f>PRODUCT(L127,N127,P127,R127,T127,V127,X127,Z127)*TRAINING!$L$3</f>
        <v>5.3498137384094655E-19</v>
      </c>
      <c r="AC127">
        <f t="shared" si="3"/>
        <v>0</v>
      </c>
      <c r="AD127">
        <f t="shared" si="4"/>
        <v>0</v>
      </c>
      <c r="AF127" s="19"/>
      <c r="AG127" t="str">
        <f t="shared" si="5"/>
        <v>FN</v>
      </c>
    </row>
    <row r="128" spans="1:33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  <c r="K128">
        <f>(1/(SQRT(2*PI())*TRAINING!$O$8))*EXP(-((A128-TRAINING!$O$3)^2)/(2*(TRAINING!$O$8^2)))</f>
        <v>0.13150943904653345</v>
      </c>
      <c r="L128">
        <f>(1/(SQRT(2*PI())*TRAINING!$O$9))*EXP(-((A128-TRAINING!$O$4)^2)/(2*(TRAINING!$O$9^2)))</f>
        <v>9.5216033172430034E-2</v>
      </c>
      <c r="M128">
        <f>(1/(SQRT(2*PI())*TRAINING!$P$8))*EXP(-((B128-TRAINING!$P$3)^2)/(2*(TRAINING!$P$8^2)))</f>
        <v>1.5190897988801451E-2</v>
      </c>
      <c r="N128">
        <f>(1/(SQRT(2*PI())*TRAINING!$P$9))*EXP(-((B128-TRAINING!$P$4)^2)/(2*(TRAINING!$P$9^2)))</f>
        <v>9.920479622400058E-3</v>
      </c>
      <c r="O128">
        <f>(1/(SQRT(2*PI())*TRAINING!$Q$8))*EXP(-((C128-TRAINING!$Q$3)^2)/(2*(TRAINING!$Q$8^2)))</f>
        <v>3.4183653072486359E-2</v>
      </c>
      <c r="P128">
        <f>(1/(SQRT(2*PI())*TRAINING!$Q$9))*EXP(-((C128-TRAINING!$Q$4)^2)/(2*(TRAINING!$Q$9^2)))</f>
        <v>3.159268547546501E-2</v>
      </c>
      <c r="Q128">
        <f>(1/(SQRT(2*PI())*TRAINING!$R$8))*EXP(-((D128-TRAINING!$R$3)^2)/(2*(TRAINING!$R$8^2)))</f>
        <v>4.1168207127831397E-2</v>
      </c>
      <c r="R128">
        <f>(1/(SQRT(2*PI())*TRAINING!$R$9))*EXP(-((D128-TRAINING!$R$4)^2)/(2*(TRAINING!$R$9^2)))</f>
        <v>4.041370800237605E-2</v>
      </c>
      <c r="S128">
        <f>(1/(SQRT(2*PI())*TRAINING!$S$8))*EXP(-((E128-TRAINING!$S$3)^2)/(2*(TRAINING!$S$8^2)))</f>
        <v>3.7155980074481901E-3</v>
      </c>
      <c r="T128">
        <f>(1/(SQRT(2*PI())*TRAINING!$S$9))*EXP(-((E128-TRAINING!$S$4)^2)/(2*(TRAINING!$S$9^2)))</f>
        <v>3.2443711202772684E-3</v>
      </c>
      <c r="U128">
        <f>(1/(SQRT(2*PI())*TRAINING!$T$8))*EXP(-((F128-TRAINING!$T$3)^2)/(2*(TRAINING!$T$8^2)))</f>
        <v>1.1496319590180675E-2</v>
      </c>
      <c r="V128">
        <f>(1/(SQRT(2*PI())*TRAINING!$T$9))*EXP(-((F128-TRAINING!$T$4)^2)/(2*(TRAINING!$T$9^2)))</f>
        <v>3.1171627245507958E-2</v>
      </c>
      <c r="W128">
        <f>(1/(SQRT(2*PI())*TRAINING!$U$8))*EXP(-((G128-TRAINING!$U$3)^2)/(2*(TRAINING!$U$8^2)))</f>
        <v>1.3220331028189907</v>
      </c>
      <c r="X128">
        <f>(1/(SQRT(2*PI())*TRAINING!$U$9))*EXP(-((G128-TRAINING!$U$4)^2)/(2*(TRAINING!$U$9^2)))</f>
        <v>1.0657867632026436</v>
      </c>
      <c r="Y128">
        <f>(1/(SQRT(2*PI())*TRAINING!$V$8))*EXP(-((H128-TRAINING!$V$3)^2)/(2*(TRAINING!$V$8^2)))</f>
        <v>3.3400483760251447E-2</v>
      </c>
      <c r="Z128">
        <f>(1/(SQRT(2*PI())*TRAINING!$V$9))*EXP(-((H128-TRAINING!$V$4)^2)/(2*(TRAINING!$V$9^2)))</f>
        <v>3.0379461798111088E-2</v>
      </c>
      <c r="AA128">
        <f>PRODUCT(K128,M128,O128,Q128,S128,U128,W128,Y128)*TRAINING!$L$2</f>
        <v>3.4575836194675745E-12</v>
      </c>
      <c r="AB128">
        <f>PRODUCT(L128,N128,P128,R128,T128,V128,X128,Z128)*TRAINING!$L$3</f>
        <v>1.3426948174511196E-12</v>
      </c>
      <c r="AC128">
        <f t="shared" si="3"/>
        <v>0</v>
      </c>
      <c r="AD128">
        <f t="shared" si="4"/>
        <v>1</v>
      </c>
      <c r="AF128" s="19"/>
      <c r="AG128" t="str">
        <f t="shared" si="5"/>
        <v>TN</v>
      </c>
    </row>
    <row r="129" spans="1:33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  <c r="K129">
        <f>(1/(SQRT(2*PI())*TRAINING!$O$8))*EXP(-((A129-TRAINING!$O$3)^2)/(2*(TRAINING!$O$8^2)))</f>
        <v>0.10069314833313707</v>
      </c>
      <c r="L129">
        <f>(1/(SQRT(2*PI())*TRAINING!$O$9))*EXP(-((A129-TRAINING!$O$4)^2)/(2*(TRAINING!$O$9^2)))</f>
        <v>6.3165200316397857E-2</v>
      </c>
      <c r="M129">
        <f>(1/(SQRT(2*PI())*TRAINING!$P$8))*EXP(-((B129-TRAINING!$P$3)^2)/(2*(TRAINING!$P$8^2)))</f>
        <v>1.558279999242315E-2</v>
      </c>
      <c r="N129">
        <f>(1/(SQRT(2*PI())*TRAINING!$P$9))*EXP(-((B129-TRAINING!$P$4)^2)/(2*(TRAINING!$P$9^2)))</f>
        <v>9.3682152742653318E-3</v>
      </c>
      <c r="O129">
        <f>(1/(SQRT(2*PI())*TRAINING!$Q$8))*EXP(-((C129-TRAINING!$Q$3)^2)/(2*(TRAINING!$Q$8^2)))</f>
        <v>1.8252507670949096E-2</v>
      </c>
      <c r="P129">
        <f>(1/(SQRT(2*PI())*TRAINING!$Q$9))*EXP(-((C129-TRAINING!$Q$4)^2)/(2*(TRAINING!$Q$9^2)))</f>
        <v>1.0767552697175626E-2</v>
      </c>
      <c r="Q129">
        <f>(1/(SQRT(2*PI())*TRAINING!$R$8))*EXP(-((D129-TRAINING!$R$3)^2)/(2*(TRAINING!$R$8^2)))</f>
        <v>2.4061484689686021E-2</v>
      </c>
      <c r="R129">
        <f>(1/(SQRT(2*PI())*TRAINING!$R$9))*EXP(-((D129-TRAINING!$R$4)^2)/(2*(TRAINING!$R$9^2)))</f>
        <v>3.3055799475486237E-2</v>
      </c>
      <c r="S129">
        <f>(1/(SQRT(2*PI())*TRAINING!$S$8))*EXP(-((E129-TRAINING!$S$3)^2)/(2*(TRAINING!$S$8^2)))</f>
        <v>4.2392671051683485E-3</v>
      </c>
      <c r="T129">
        <f>(1/(SQRT(2*PI())*TRAINING!$S$9))*EXP(-((E129-TRAINING!$S$4)^2)/(2*(TRAINING!$S$9^2)))</f>
        <v>3.2479092811894201E-3</v>
      </c>
      <c r="U129">
        <f>(1/(SQRT(2*PI())*TRAINING!$T$8))*EXP(-((F129-TRAINING!$T$3)^2)/(2*(TRAINING!$T$8^2)))</f>
        <v>5.7324585505679884E-2</v>
      </c>
      <c r="V129">
        <f>(1/(SQRT(2*PI())*TRAINING!$T$9))*EXP(-((F129-TRAINING!$T$4)^2)/(2*(TRAINING!$T$9^2)))</f>
        <v>5.7895905036615992E-2</v>
      </c>
      <c r="W129">
        <f>(1/(SQRT(2*PI())*TRAINING!$U$8))*EXP(-((G129-TRAINING!$U$3)^2)/(2*(TRAINING!$U$8^2)))</f>
        <v>1.1238175604332921</v>
      </c>
      <c r="X129">
        <f>(1/(SQRT(2*PI())*TRAINING!$U$9))*EXP(-((G129-TRAINING!$U$4)^2)/(2*(TRAINING!$U$9^2)))</f>
        <v>0.80130038581752527</v>
      </c>
      <c r="Y129">
        <f>(1/(SQRT(2*PI())*TRAINING!$V$8))*EXP(-((H129-TRAINING!$V$3)^2)/(2*(TRAINING!$V$8^2)))</f>
        <v>2.6282439590781519E-2</v>
      </c>
      <c r="Z129">
        <f>(1/(SQRT(2*PI())*TRAINING!$V$9))*EXP(-((H129-TRAINING!$V$4)^2)/(2*(TRAINING!$V$9^2)))</f>
        <v>1.6777009273758671E-2</v>
      </c>
      <c r="AA129">
        <f>PRODUCT(K129,M129,O129,Q129,S129,U129,W129,Y129)*TRAINING!$L$2</f>
        <v>3.2251716060785018E-12</v>
      </c>
      <c r="AB129">
        <f>PRODUCT(L129,N129,P129,R129,T129,V129,X129,Z129)*TRAINING!$L$3</f>
        <v>1.8102558596331429E-13</v>
      </c>
      <c r="AC129">
        <f t="shared" si="3"/>
        <v>0</v>
      </c>
      <c r="AD129">
        <f t="shared" si="4"/>
        <v>1</v>
      </c>
      <c r="AF129" s="19"/>
      <c r="AG129" t="str">
        <f t="shared" si="5"/>
        <v>TN</v>
      </c>
    </row>
    <row r="130" spans="1:33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  <c r="K130">
        <f>(1/(SQRT(2*PI())*TRAINING!$O$8))*EXP(-((A130-TRAINING!$O$3)^2)/(2*(TRAINING!$O$8^2)))</f>
        <v>0.10069314833313707</v>
      </c>
      <c r="L130">
        <f>(1/(SQRT(2*PI())*TRAINING!$O$9))*EXP(-((A130-TRAINING!$O$4)^2)/(2*(TRAINING!$O$9^2)))</f>
        <v>6.3165200316397857E-2</v>
      </c>
      <c r="M130">
        <f>(1/(SQRT(2*PI())*TRAINING!$P$8))*EXP(-((B130-TRAINING!$P$3)^2)/(2*(TRAINING!$P$8^2)))</f>
        <v>1.5743648937089565E-2</v>
      </c>
      <c r="N130">
        <f>(1/(SQRT(2*PI())*TRAINING!$P$9))*EXP(-((B130-TRAINING!$P$4)^2)/(2*(TRAINING!$P$9^2)))</f>
        <v>9.0876901701360917E-3</v>
      </c>
      <c r="O130">
        <f>(1/(SQRT(2*PI())*TRAINING!$Q$8))*EXP(-((C130-TRAINING!$Q$3)^2)/(2*(TRAINING!$Q$8^2)))</f>
        <v>1.1869012231696199E-2</v>
      </c>
      <c r="P130">
        <f>(1/(SQRT(2*PI())*TRAINING!$Q$9))*EXP(-((C130-TRAINING!$Q$4)^2)/(2*(TRAINING!$Q$9^2)))</f>
        <v>1.8914292526298278E-2</v>
      </c>
      <c r="Q130">
        <f>(1/(SQRT(2*PI())*TRAINING!$R$8))*EXP(-((D130-TRAINING!$R$3)^2)/(2*(TRAINING!$R$8^2)))</f>
        <v>4.4156214205229256E-2</v>
      </c>
      <c r="R130">
        <f>(1/(SQRT(2*PI())*TRAINING!$R$9))*EXP(-((D130-TRAINING!$R$4)^2)/(2*(TRAINING!$R$9^2)))</f>
        <v>3.4139145375236837E-2</v>
      </c>
      <c r="S130">
        <f>(1/(SQRT(2*PI())*TRAINING!$S$8))*EXP(-((E130-TRAINING!$S$3)^2)/(2*(TRAINING!$S$8^2)))</f>
        <v>3.49519048390924E-3</v>
      </c>
      <c r="T130">
        <f>(1/(SQRT(2*PI())*TRAINING!$S$9))*EXP(-((E130-TRAINING!$S$4)^2)/(2*(TRAINING!$S$9^2)))</f>
        <v>3.1876434769133499E-3</v>
      </c>
      <c r="U130">
        <f>(1/(SQRT(2*PI())*TRAINING!$T$8))*EXP(-((F130-TRAINING!$T$3)^2)/(2*(TRAINING!$T$8^2)))</f>
        <v>5.2780223575954653E-2</v>
      </c>
      <c r="V130">
        <f>(1/(SQRT(2*PI())*TRAINING!$T$9))*EXP(-((F130-TRAINING!$T$4)^2)/(2*(TRAINING!$T$9^2)))</f>
        <v>6.020826579092918E-2</v>
      </c>
      <c r="W130">
        <f>(1/(SQRT(2*PI())*TRAINING!$U$8))*EXP(-((G130-TRAINING!$U$3)^2)/(2*(TRAINING!$U$8^2)))</f>
        <v>1.3176431894557463</v>
      </c>
      <c r="X130">
        <f>(1/(SQRT(2*PI())*TRAINING!$U$9))*EXP(-((G130-TRAINING!$U$4)^2)/(2*(TRAINING!$U$9^2)))</f>
        <v>1.017448749638276</v>
      </c>
      <c r="Y130">
        <f>(1/(SQRT(2*PI())*TRAINING!$V$8))*EXP(-((H130-TRAINING!$V$3)^2)/(2*(TRAINING!$V$8^2)))</f>
        <v>2.573080504735293E-2</v>
      </c>
      <c r="Z130">
        <f>(1/(SQRT(2*PI())*TRAINING!$V$9))*EXP(-((H130-TRAINING!$V$4)^2)/(2*(TRAINING!$V$9^2)))</f>
        <v>3.4812752471643706E-2</v>
      </c>
      <c r="AA130">
        <f>PRODUCT(K130,M130,O130,Q130,S130,U130,W130,Y130)*TRAINING!$L$2</f>
        <v>3.3882406884406846E-12</v>
      </c>
      <c r="AB130">
        <f>PRODUCT(L130,N130,P130,R130,T130,V130,X130,Z130)*TRAINING!$L$3</f>
        <v>8.5670207284948254E-13</v>
      </c>
      <c r="AC130">
        <f t="shared" si="3"/>
        <v>0</v>
      </c>
      <c r="AD130">
        <f t="shared" si="4"/>
        <v>0</v>
      </c>
      <c r="AF130" s="19"/>
      <c r="AG130" t="str">
        <f t="shared" si="5"/>
        <v>FN</v>
      </c>
    </row>
    <row r="131" spans="1:33" x14ac:dyDescent="0.3">
      <c r="A131">
        <v>0</v>
      </c>
      <c r="B131">
        <v>105</v>
      </c>
      <c r="C131">
        <v>84</v>
      </c>
      <c r="D131">
        <v>23</v>
      </c>
      <c r="E131">
        <v>30.5</v>
      </c>
      <c r="F131">
        <v>27.9</v>
      </c>
      <c r="G131">
        <v>0.74099999999999999</v>
      </c>
      <c r="H131">
        <v>62</v>
      </c>
      <c r="I131">
        <v>1</v>
      </c>
      <c r="K131">
        <f>(1/(SQRT(2*PI())*TRAINING!$O$8))*EXP(-((A131-TRAINING!$O$3)^2)/(2*(TRAINING!$O$8^2)))</f>
        <v>7.4791087346963395E-2</v>
      </c>
      <c r="L131">
        <f>(1/(SQRT(2*PI())*TRAINING!$O$9))*EXP(-((A131-TRAINING!$O$4)^2)/(2*(TRAINING!$O$9^2)))</f>
        <v>4.6140116319387747E-2</v>
      </c>
      <c r="M131">
        <f>(1/(SQRT(2*PI())*TRAINING!$P$8))*EXP(-((B131-TRAINING!$P$3)^2)/(2*(TRAINING!$P$8^2)))</f>
        <v>1.5664832413840087E-2</v>
      </c>
      <c r="N131">
        <f>(1/(SQRT(2*PI())*TRAINING!$P$9))*EXP(-((B131-TRAINING!$P$4)^2)/(2*(TRAINING!$P$9^2)))</f>
        <v>5.7571840580586753E-3</v>
      </c>
      <c r="O131">
        <f>(1/(SQRT(2*PI())*TRAINING!$Q$8))*EXP(-((C131-TRAINING!$Q$3)^2)/(2*(TRAINING!$Q$8^2)))</f>
        <v>1.8472874228340146E-2</v>
      </c>
      <c r="P131">
        <f>(1/(SQRT(2*PI())*TRAINING!$Q$9))*EXP(-((C131-TRAINING!$Q$4)^2)/(2*(TRAINING!$Q$9^2)))</f>
        <v>2.6431555486599371E-2</v>
      </c>
      <c r="Q131">
        <f>(1/(SQRT(2*PI())*TRAINING!$R$8))*EXP(-((D131-TRAINING!$R$3)^2)/(2*(TRAINING!$R$8^2)))</f>
        <v>4.2691938231656991E-2</v>
      </c>
      <c r="R131">
        <f>(1/(SQRT(2*PI())*TRAINING!$R$9))*EXP(-((D131-TRAINING!$R$4)^2)/(2*(TRAINING!$R$9^2)))</f>
        <v>3.202065801833482E-2</v>
      </c>
      <c r="S131">
        <f>(1/(SQRT(2*PI())*TRAINING!$S$8))*EXP(-((E131-TRAINING!$S$3)^2)/(2*(TRAINING!$S$8^2)))</f>
        <v>3.5657055057560366E-3</v>
      </c>
      <c r="T131">
        <f>(1/(SQRT(2*PI())*TRAINING!$S$9))*EXP(-((E131-TRAINING!$S$4)^2)/(2*(TRAINING!$S$9^2)))</f>
        <v>2.5951511419773543E-3</v>
      </c>
      <c r="U131">
        <f>(1/(SQRT(2*PI())*TRAINING!$T$8))*EXP(-((F131-TRAINING!$T$3)^2)/(2*(TRAINING!$T$8^2)))</f>
        <v>5.4724877708077692E-2</v>
      </c>
      <c r="V131">
        <f>(1/(SQRT(2*PI())*TRAINING!$T$9))*EXP(-((F131-TRAINING!$T$4)^2)/(2*(TRAINING!$T$9^2)))</f>
        <v>3.2146610189350111E-2</v>
      </c>
      <c r="W131">
        <f>(1/(SQRT(2*PI())*TRAINING!$U$8))*EXP(-((G131-TRAINING!$U$3)^2)/(2*(TRAINING!$U$8^2)))</f>
        <v>0.7869775857735466</v>
      </c>
      <c r="X131">
        <f>(1/(SQRT(2*PI())*TRAINING!$U$9))*EXP(-((G131-TRAINING!$U$4)^2)/(2*(TRAINING!$U$9^2)))</f>
        <v>0.96251129157006654</v>
      </c>
      <c r="Y131">
        <f>(1/(SQRT(2*PI())*TRAINING!$V$8))*EXP(-((H131-TRAINING!$V$3)^2)/(2*(TRAINING!$V$8^2)))</f>
        <v>1.1918629385679808E-3</v>
      </c>
      <c r="Z131">
        <f>(1/(SQRT(2*PI())*TRAINING!$V$9))*EXP(-((H131-TRAINING!$V$4)^2)/(2*(TRAINING!$V$9^2)))</f>
        <v>2.4623380866167317E-3</v>
      </c>
      <c r="AA131">
        <f>PRODUCT(K131,M131,O131,Q131,S131,U131,W131,Y131)*TRAINING!$L$2</f>
        <v>1.1026664299322194E-13</v>
      </c>
      <c r="AB131">
        <f>PRODUCT(L131,N131,P131,R131,T131,V131,X131,Z131)*TRAINING!$L$3</f>
        <v>1.5113743469835255E-14</v>
      </c>
      <c r="AC131">
        <f t="shared" ref="AC131:AC154" si="6">IF(AB131&gt;AA131,1,0)</f>
        <v>0</v>
      </c>
      <c r="AD131">
        <f t="shared" ref="AD131:AD154" si="7">IF(I131=AC131,1,0)</f>
        <v>0</v>
      </c>
      <c r="AF131" s="19"/>
      <c r="AG131" t="str">
        <f t="shared" ref="AG131:AG154" si="8">IF(AND(AC131=1,I131=1),"TP",IF(AND(AC131=0,I131=0),"TN",IF(AND(AC131=1,I131=0),"FP","FN")))</f>
        <v>FN</v>
      </c>
    </row>
    <row r="132" spans="1:33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  <c r="K132">
        <f>(1/(SQRT(2*PI())*TRAINING!$O$8))*EXP(-((A132-TRAINING!$O$3)^2)/(2*(TRAINING!$O$8^2)))</f>
        <v>0.12757449499469867</v>
      </c>
      <c r="L132">
        <f>(1/(SQRT(2*PI())*TRAINING!$O$9))*EXP(-((A132-TRAINING!$O$4)^2)/(2*(TRAINING!$O$9^2)))</f>
        <v>0.10484388320832955</v>
      </c>
      <c r="M132">
        <f>(1/(SQRT(2*PI())*TRAINING!$P$8))*EXP(-((B132-TRAINING!$P$3)^2)/(2*(TRAINING!$P$8^2)))</f>
        <v>7.0414746009762452E-4</v>
      </c>
      <c r="N132">
        <f>(1/(SQRT(2*PI())*TRAINING!$P$9))*EXP(-((B132-TRAINING!$P$4)^2)/(2*(TRAINING!$P$9^2)))</f>
        <v>8.1655052424543465E-3</v>
      </c>
      <c r="O132">
        <f>(1/(SQRT(2*PI())*TRAINING!$Q$8))*EXP(-((C132-TRAINING!$Q$3)^2)/(2*(TRAINING!$Q$8^2)))</f>
        <v>3.4183653072486359E-2</v>
      </c>
      <c r="P132">
        <f>(1/(SQRT(2*PI())*TRAINING!$Q$9))*EXP(-((C132-TRAINING!$Q$4)^2)/(2*(TRAINING!$Q$9^2)))</f>
        <v>3.159268547546501E-2</v>
      </c>
      <c r="Q132">
        <f>(1/(SQRT(2*PI())*TRAINING!$R$8))*EXP(-((D132-TRAINING!$R$3)^2)/(2*(TRAINING!$R$8^2)))</f>
        <v>1.7580052683168163E-2</v>
      </c>
      <c r="R132">
        <f>(1/(SQRT(2*PI())*TRAINING!$R$9))*EXP(-((D132-TRAINING!$R$4)^2)/(2*(TRAINING!$R$9^2)))</f>
        <v>1.1332673021150624E-2</v>
      </c>
      <c r="S132">
        <f>(1/(SQRT(2*PI())*TRAINING!$S$8))*EXP(-((E132-TRAINING!$S$3)^2)/(2*(TRAINING!$S$8^2)))</f>
        <v>2.9083629613299244E-3</v>
      </c>
      <c r="T132">
        <f>(1/(SQRT(2*PI())*TRAINING!$S$9))*EXP(-((E132-TRAINING!$S$4)^2)/(2*(TRAINING!$S$9^2)))</f>
        <v>2.9827764667513332E-3</v>
      </c>
      <c r="U132">
        <f>(1/(SQRT(2*PI())*TRAINING!$T$8))*EXP(-((F132-TRAINING!$T$3)^2)/(2*(TRAINING!$T$8^2)))</f>
        <v>5.9967534228350015E-2</v>
      </c>
      <c r="V132">
        <f>(1/(SQRT(2*PI())*TRAINING!$T$9))*EXP(-((F132-TRAINING!$T$4)^2)/(2*(TRAINING!$T$9^2)))</f>
        <v>4.215480275955099E-2</v>
      </c>
      <c r="W132">
        <f>(1/(SQRT(2*PI())*TRAINING!$U$8))*EXP(-((G132-TRAINING!$U$3)^2)/(2*(TRAINING!$U$8^2)))</f>
        <v>1.2865059610606078</v>
      </c>
      <c r="X132">
        <f>(1/(SQRT(2*PI())*TRAINING!$U$9))*EXP(-((G132-TRAINING!$U$4)^2)/(2*(TRAINING!$U$9^2)))</f>
        <v>0.96349777300136041</v>
      </c>
      <c r="Y132">
        <f>(1/(SQRT(2*PI())*TRAINING!$V$8))*EXP(-((H132-TRAINING!$V$3)^2)/(2*(TRAINING!$V$8^2)))</f>
        <v>3.3275689020108933E-2</v>
      </c>
      <c r="Z132">
        <f>(1/(SQRT(2*PI())*TRAINING!$V$9))*EXP(-((H132-TRAINING!$V$4)^2)/(2*(TRAINING!$V$9^2)))</f>
        <v>3.4556158331369637E-2</v>
      </c>
      <c r="AA132">
        <f>PRODUCT(K132,M132,O132,Q132,S132,U132,W132,Y132)*TRAINING!$L$2</f>
        <v>2.6280827330379414E-13</v>
      </c>
      <c r="AB132">
        <f>PRODUCT(L132,N132,P132,R132,T132,V132,X132,Z132)*TRAINING!$L$3</f>
        <v>4.362826266448712E-13</v>
      </c>
      <c r="AC132">
        <f t="shared" si="6"/>
        <v>1</v>
      </c>
      <c r="AD132">
        <f t="shared" si="7"/>
        <v>1</v>
      </c>
      <c r="AF132" s="19"/>
      <c r="AG132" t="str">
        <f t="shared" si="8"/>
        <v>TP</v>
      </c>
    </row>
    <row r="133" spans="1:33" x14ac:dyDescent="0.3">
      <c r="A133">
        <v>9</v>
      </c>
      <c r="B133">
        <v>122</v>
      </c>
      <c r="C133">
        <v>56</v>
      </c>
      <c r="D133">
        <v>23</v>
      </c>
      <c r="E133">
        <v>30.5</v>
      </c>
      <c r="F133">
        <v>33.299999999999997</v>
      </c>
      <c r="G133">
        <v>1.1140000000000001</v>
      </c>
      <c r="H133">
        <v>33</v>
      </c>
      <c r="I133">
        <v>1</v>
      </c>
      <c r="K133">
        <f>(1/(SQRT(2*PI())*TRAINING!$O$8))*EXP(-((A133-TRAINING!$O$3)^2)/(2*(TRAINING!$O$8^2)))</f>
        <v>2.1285449196772267E-2</v>
      </c>
      <c r="L133">
        <f>(1/(SQRT(2*PI())*TRAINING!$O$9))*EXP(-((A133-TRAINING!$O$4)^2)/(2*(TRAINING!$O$9^2)))</f>
        <v>5.7131716423373204E-2</v>
      </c>
      <c r="M133">
        <f>(1/(SQRT(2*PI())*TRAINING!$P$8))*EXP(-((B133-TRAINING!$P$3)^2)/(2*(TRAINING!$P$8^2)))</f>
        <v>1.4711774769147989E-2</v>
      </c>
      <c r="N133">
        <f>(1/(SQRT(2*PI())*TRAINING!$P$9))*EXP(-((B133-TRAINING!$P$4)^2)/(2*(TRAINING!$P$9^2)))</f>
        <v>1.0456041230157254E-2</v>
      </c>
      <c r="O133">
        <f>(1/(SQRT(2*PI())*TRAINING!$Q$8))*EXP(-((C133-TRAINING!$Q$3)^2)/(2*(TRAINING!$Q$8^2)))</f>
        <v>1.4821476852450924E-2</v>
      </c>
      <c r="P133">
        <f>(1/(SQRT(2*PI())*TRAINING!$Q$9))*EXP(-((C133-TRAINING!$Q$4)^2)/(2*(TRAINING!$Q$9^2)))</f>
        <v>8.059243289471477E-3</v>
      </c>
      <c r="Q133">
        <f>(1/(SQRT(2*PI())*TRAINING!$R$8))*EXP(-((D133-TRAINING!$R$3)^2)/(2*(TRAINING!$R$8^2)))</f>
        <v>4.2691938231656991E-2</v>
      </c>
      <c r="R133">
        <f>(1/(SQRT(2*PI())*TRAINING!$R$9))*EXP(-((D133-TRAINING!$R$4)^2)/(2*(TRAINING!$R$9^2)))</f>
        <v>3.202065801833482E-2</v>
      </c>
      <c r="S133">
        <f>(1/(SQRT(2*PI())*TRAINING!$S$8))*EXP(-((E133-TRAINING!$S$3)^2)/(2*(TRAINING!$S$8^2)))</f>
        <v>3.5657055057560366E-3</v>
      </c>
      <c r="T133">
        <f>(1/(SQRT(2*PI())*TRAINING!$S$9))*EXP(-((E133-TRAINING!$S$4)^2)/(2*(TRAINING!$S$9^2)))</f>
        <v>2.5951511419773543E-3</v>
      </c>
      <c r="U133">
        <f>(1/(SQRT(2*PI())*TRAINING!$T$8))*EXP(-((F133-TRAINING!$T$3)^2)/(2*(TRAINING!$T$8^2)))</f>
        <v>5.7324585505679884E-2</v>
      </c>
      <c r="V133">
        <f>(1/(SQRT(2*PI())*TRAINING!$T$9))*EXP(-((F133-TRAINING!$T$4)^2)/(2*(TRAINING!$T$9^2)))</f>
        <v>5.7895905036615992E-2</v>
      </c>
      <c r="W133">
        <f>(1/(SQRT(2*PI())*TRAINING!$U$8))*EXP(-((G133-TRAINING!$U$3)^2)/(2*(TRAINING!$U$8^2)))</f>
        <v>0.10332166752559963</v>
      </c>
      <c r="X133">
        <f>(1/(SQRT(2*PI())*TRAINING!$U$9))*EXP(-((G133-TRAINING!$U$4)^2)/(2*(TRAINING!$U$9^2)))</f>
        <v>0.32647139768698358</v>
      </c>
      <c r="Y133">
        <f>(1/(SQRT(2*PI())*TRAINING!$V$8))*EXP(-((H133-TRAINING!$V$3)^2)/(2*(TRAINING!$V$8^2)))</f>
        <v>3.3275689020108933E-2</v>
      </c>
      <c r="Z133">
        <f>(1/(SQRT(2*PI())*TRAINING!$V$9))*EXP(-((H133-TRAINING!$V$4)^2)/(2*(TRAINING!$V$9^2)))</f>
        <v>3.4556158331369637E-2</v>
      </c>
      <c r="AA133">
        <f>PRODUCT(K133,M133,O133,Q133,S133,U133,W133,Y133)*TRAINING!$L$2</f>
        <v>9.0794461024987992E-14</v>
      </c>
      <c r="AB133">
        <f>PRODUCT(L133,N133,P133,R133,T133,V133,X133,Z133)*TRAINING!$L$3</f>
        <v>8.8844202220049093E-14</v>
      </c>
      <c r="AC133">
        <f t="shared" si="6"/>
        <v>0</v>
      </c>
      <c r="AD133">
        <f t="shared" si="7"/>
        <v>0</v>
      </c>
      <c r="AF133" s="19"/>
      <c r="AG133" t="str">
        <f t="shared" si="8"/>
        <v>FN</v>
      </c>
    </row>
    <row r="134" spans="1:33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  <c r="K134">
        <f>(1/(SQRT(2*PI())*TRAINING!$O$8))*EXP(-((A134-TRAINING!$O$3)^2)/(2*(TRAINING!$O$8^2)))</f>
        <v>0.13150943904653345</v>
      </c>
      <c r="L134">
        <f>(1/(SQRT(2*PI())*TRAINING!$O$9))*EXP(-((A134-TRAINING!$O$4)^2)/(2*(TRAINING!$O$9^2)))</f>
        <v>9.5216033172430034E-2</v>
      </c>
      <c r="M134">
        <f>(1/(SQRT(2*PI())*TRAINING!$P$8))*EXP(-((B134-TRAINING!$P$3)^2)/(2*(TRAINING!$P$8^2)))</f>
        <v>9.4781748312085061E-4</v>
      </c>
      <c r="N134">
        <f>(1/(SQRT(2*PI())*TRAINING!$P$9))*EXP(-((B134-TRAINING!$P$4)^2)/(2*(TRAINING!$P$9^2)))</f>
        <v>9.0165666240561142E-3</v>
      </c>
      <c r="O134">
        <f>(1/(SQRT(2*PI())*TRAINING!$Q$8))*EXP(-((C134-TRAINING!$Q$3)^2)/(2*(TRAINING!$Q$8^2)))</f>
        <v>2.8539543720520966E-2</v>
      </c>
      <c r="P134">
        <f>(1/(SQRT(2*PI())*TRAINING!$Q$9))*EXP(-((C134-TRAINING!$Q$4)^2)/(2*(TRAINING!$Q$9^2)))</f>
        <v>2.125454560902645E-2</v>
      </c>
      <c r="Q134">
        <f>(1/(SQRT(2*PI())*TRAINING!$R$8))*EXP(-((D134-TRAINING!$R$3)^2)/(2*(TRAINING!$R$8^2)))</f>
        <v>2.1024784875107342E-2</v>
      </c>
      <c r="R134">
        <f>(1/(SQRT(2*PI())*TRAINING!$R$9))*EXP(-((D134-TRAINING!$R$4)^2)/(2*(TRAINING!$R$9^2)))</f>
        <v>3.0838348313376427E-2</v>
      </c>
      <c r="S134">
        <f>(1/(SQRT(2*PI())*TRAINING!$S$8))*EXP(-((E134-TRAINING!$S$3)^2)/(2*(TRAINING!$S$8^2)))</f>
        <v>1.4231323627773907E-3</v>
      </c>
      <c r="T134">
        <f>(1/(SQRT(2*PI())*TRAINING!$S$9))*EXP(-((E134-TRAINING!$S$4)^2)/(2*(TRAINING!$S$9^2)))</f>
        <v>2.1660134186452171E-3</v>
      </c>
      <c r="U134">
        <f>(1/(SQRT(2*PI())*TRAINING!$T$8))*EXP(-((F134-TRAINING!$T$3)^2)/(2*(TRAINING!$T$8^2)))</f>
        <v>5.2780223575954653E-2</v>
      </c>
      <c r="V134">
        <f>(1/(SQRT(2*PI())*TRAINING!$T$9))*EXP(-((F134-TRAINING!$T$4)^2)/(2*(TRAINING!$T$9^2)))</f>
        <v>6.020826579092918E-2</v>
      </c>
      <c r="W134">
        <f>(1/(SQRT(2*PI())*TRAINING!$U$8))*EXP(-((G134-TRAINING!$U$3)^2)/(2*(TRAINING!$U$8^2)))</f>
        <v>1.2811881259724056</v>
      </c>
      <c r="X134">
        <f>(1/(SQRT(2*PI())*TRAINING!$U$9))*EXP(-((G134-TRAINING!$U$4)^2)/(2*(TRAINING!$U$9^2)))</f>
        <v>0.95640385967552155</v>
      </c>
      <c r="Y134">
        <f>(1/(SQRT(2*PI())*TRAINING!$V$8))*EXP(-((H134-TRAINING!$V$3)^2)/(2*(TRAINING!$V$8^2)))</f>
        <v>3.3400483760251447E-2</v>
      </c>
      <c r="Z134">
        <f>(1/(SQRT(2*PI())*TRAINING!$V$9))*EXP(-((H134-TRAINING!$V$4)^2)/(2*(TRAINING!$V$9^2)))</f>
        <v>3.0379461798111088E-2</v>
      </c>
      <c r="AA134">
        <f>PRODUCT(K134,M134,O134,Q134,S134,U134,W134,Y134)*TRAINING!$L$2</f>
        <v>1.5675148581751028E-13</v>
      </c>
      <c r="AB134">
        <f>PRODUCT(L134,N134,P134,R134,T134,V134,X134,Z134)*TRAINING!$L$3</f>
        <v>7.2495623317454971E-13</v>
      </c>
      <c r="AC134">
        <f t="shared" si="6"/>
        <v>1</v>
      </c>
      <c r="AD134">
        <f t="shared" si="7"/>
        <v>1</v>
      </c>
      <c r="AF134" s="19"/>
      <c r="AG134" t="str">
        <f t="shared" si="8"/>
        <v>TP</v>
      </c>
    </row>
    <row r="135" spans="1:33" x14ac:dyDescent="0.3">
      <c r="A135">
        <v>8</v>
      </c>
      <c r="B135">
        <v>84</v>
      </c>
      <c r="C135">
        <v>74</v>
      </c>
      <c r="D135">
        <v>31</v>
      </c>
      <c r="E135">
        <v>30.5</v>
      </c>
      <c r="F135">
        <v>38.299999999999997</v>
      </c>
      <c r="G135">
        <v>0.45700000000000002</v>
      </c>
      <c r="H135">
        <v>39</v>
      </c>
      <c r="I135">
        <v>0</v>
      </c>
      <c r="K135">
        <f>(1/(SQRT(2*PI())*TRAINING!$O$8))*EXP(-((A135-TRAINING!$O$3)^2)/(2*(TRAINING!$O$8^2)))</f>
        <v>3.7889114375245843E-2</v>
      </c>
      <c r="L135">
        <f>(1/(SQRT(2*PI())*TRAINING!$O$9))*EXP(-((A135-TRAINING!$O$4)^2)/(2*(TRAINING!$O$9^2)))</f>
        <v>7.4585525924131008E-2</v>
      </c>
      <c r="M135">
        <f>(1/(SQRT(2*PI())*TRAINING!$P$8))*EXP(-((B135-TRAINING!$P$3)^2)/(2*(TRAINING!$P$8^2)))</f>
        <v>8.7837855105642165E-3</v>
      </c>
      <c r="N135">
        <f>(1/(SQRT(2*PI())*TRAINING!$P$9))*EXP(-((B135-TRAINING!$P$4)^2)/(2*(TRAINING!$P$9^2)))</f>
        <v>1.7237175690562332E-3</v>
      </c>
      <c r="O135">
        <f>(1/(SQRT(2*PI())*TRAINING!$Q$8))*EXP(-((C135-TRAINING!$Q$3)^2)/(2*(TRAINING!$Q$8^2)))</f>
        <v>3.3247489640615996E-2</v>
      </c>
      <c r="P135">
        <f>(1/(SQRT(2*PI())*TRAINING!$Q$9))*EXP(-((C135-TRAINING!$Q$4)^2)/(2*(TRAINING!$Q$9^2)))</f>
        <v>3.5147830490959445E-2</v>
      </c>
      <c r="Q135">
        <f>(1/(SQRT(2*PI())*TRAINING!$R$8))*EXP(-((D135-TRAINING!$R$3)^2)/(2*(TRAINING!$R$8^2)))</f>
        <v>3.8884158284381701E-2</v>
      </c>
      <c r="R135">
        <f>(1/(SQRT(2*PI())*TRAINING!$R$9))*EXP(-((D135-TRAINING!$R$4)^2)/(2*(TRAINING!$R$9^2)))</f>
        <v>4.009882603638542E-2</v>
      </c>
      <c r="S135">
        <f>(1/(SQRT(2*PI())*TRAINING!$S$8))*EXP(-((E135-TRAINING!$S$3)^2)/(2*(TRAINING!$S$8^2)))</f>
        <v>3.5657055057560366E-3</v>
      </c>
      <c r="T135">
        <f>(1/(SQRT(2*PI())*TRAINING!$S$9))*EXP(-((E135-TRAINING!$S$4)^2)/(2*(TRAINING!$S$9^2)))</f>
        <v>2.5951511419773543E-3</v>
      </c>
      <c r="U135">
        <f>(1/(SQRT(2*PI())*TRAINING!$T$8))*EXP(-((F135-TRAINING!$T$3)^2)/(2*(TRAINING!$T$8^2)))</f>
        <v>3.2515272595219399E-2</v>
      </c>
      <c r="V135">
        <f>(1/(SQRT(2*PI())*TRAINING!$T$9))*EXP(-((F135-TRAINING!$T$4)^2)/(2*(TRAINING!$T$9^2)))</f>
        <v>5.4714476282340989E-2</v>
      </c>
      <c r="W135">
        <f>(1/(SQRT(2*PI())*TRAINING!$U$8))*EXP(-((G135-TRAINING!$U$3)^2)/(2*(TRAINING!$U$8^2)))</f>
        <v>1.320515458899711</v>
      </c>
      <c r="X135">
        <f>(1/(SQRT(2*PI())*TRAINING!$U$9))*EXP(-((G135-TRAINING!$U$4)^2)/(2*(TRAINING!$U$9^2)))</f>
        <v>1.0697351551730614</v>
      </c>
      <c r="Y135">
        <f>(1/(SQRT(2*PI())*TRAINING!$V$8))*EXP(-((H135-TRAINING!$V$3)^2)/(2*(TRAINING!$V$8^2)))</f>
        <v>2.7268022737813188E-2</v>
      </c>
      <c r="Z135">
        <f>(1/(SQRT(2*PI())*TRAINING!$V$9))*EXP(-((H135-TRAINING!$V$4)^2)/(2*(TRAINING!$V$9^2)))</f>
        <v>3.5660962385199078E-2</v>
      </c>
      <c r="AA135">
        <f>PRODUCT(K135,M135,O135,Q135,S135,U135,W135,Y135)*TRAINING!$L$2</f>
        <v>1.1711890494697276E-12</v>
      </c>
      <c r="AB135">
        <f>PRODUCT(L135,N135,P135,R135,T135,V135,X135,Z135)*TRAINING!$L$3</f>
        <v>3.3370598336348337E-13</v>
      </c>
      <c r="AC135">
        <f t="shared" si="6"/>
        <v>0</v>
      </c>
      <c r="AD135">
        <f t="shared" si="7"/>
        <v>1</v>
      </c>
      <c r="AF135" s="19"/>
      <c r="AG135" t="str">
        <f t="shared" si="8"/>
        <v>TN</v>
      </c>
    </row>
    <row r="136" spans="1:33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  <c r="K136">
        <f>(1/(SQRT(2*PI())*TRAINING!$O$8))*EXP(-((A136-TRAINING!$O$3)^2)/(2*(TRAINING!$O$8^2)))</f>
        <v>0.12153525578060927</v>
      </c>
      <c r="L136">
        <f>(1/(SQRT(2*PI())*TRAINING!$O$9))*EXP(-((A136-TRAINING!$O$4)^2)/(2*(TRAINING!$O$9^2)))</f>
        <v>8.041832272231407E-2</v>
      </c>
      <c r="M136">
        <f>(1/(SQRT(2*PI())*TRAINING!$P$8))*EXP(-((B136-TRAINING!$P$3)^2)/(2*(TRAINING!$P$8^2)))</f>
        <v>1.3360115276005629E-2</v>
      </c>
      <c r="N136">
        <f>(1/(SQRT(2*PI())*TRAINING!$P$9))*EXP(-((B136-TRAINING!$P$4)^2)/(2*(TRAINING!$P$9^2)))</f>
        <v>3.6585117866664266E-3</v>
      </c>
      <c r="O136">
        <f>(1/(SQRT(2*PI())*TRAINING!$Q$8))*EXP(-((C136-TRAINING!$Q$3)^2)/(2*(TRAINING!$Q$8^2)))</f>
        <v>3.3155539986898921E-2</v>
      </c>
      <c r="P136">
        <f>(1/(SQRT(2*PI())*TRAINING!$Q$9))*EXP(-((C136-TRAINING!$Q$4)^2)/(2*(TRAINING!$Q$9^2)))</f>
        <v>2.8569142426681692E-2</v>
      </c>
      <c r="Q136">
        <f>(1/(SQRT(2*PI())*TRAINING!$R$8))*EXP(-((D136-TRAINING!$R$3)^2)/(2*(TRAINING!$R$8^2)))</f>
        <v>1.4929257125093267E-2</v>
      </c>
      <c r="R136">
        <f>(1/(SQRT(2*PI())*TRAINING!$R$9))*EXP(-((D136-TRAINING!$R$4)^2)/(2*(TRAINING!$R$9^2)))</f>
        <v>9.5920354366538473E-3</v>
      </c>
      <c r="S136">
        <f>(1/(SQRT(2*PI())*TRAINING!$S$8))*EXP(-((E136-TRAINING!$S$3)^2)/(2*(TRAINING!$S$8^2)))</f>
        <v>3.9318052452380452E-3</v>
      </c>
      <c r="T136">
        <f>(1/(SQRT(2*PI())*TRAINING!$S$9))*EXP(-((E136-TRAINING!$S$4)^2)/(2*(TRAINING!$S$9^2)))</f>
        <v>2.8501498238592518E-3</v>
      </c>
      <c r="U136">
        <f>(1/(SQRT(2*PI())*TRAINING!$T$8))*EXP(-((F136-TRAINING!$T$3)^2)/(2*(TRAINING!$T$8^2)))</f>
        <v>1.9505592406839533E-2</v>
      </c>
      <c r="V136">
        <f>(1/(SQRT(2*PI())*TRAINING!$T$9))*EXP(-((F136-TRAINING!$T$4)^2)/(2*(TRAINING!$T$9^2)))</f>
        <v>5.8718300706210634E-3</v>
      </c>
      <c r="W136">
        <f>(1/(SQRT(2*PI())*TRAINING!$U$8))*EXP(-((G136-TRAINING!$U$3)^2)/(2*(TRAINING!$U$8^2)))</f>
        <v>1.0306453511569309</v>
      </c>
      <c r="X136">
        <f>(1/(SQRT(2*PI())*TRAINING!$U$9))*EXP(-((G136-TRAINING!$U$4)^2)/(2*(TRAINING!$U$9^2)))</f>
        <v>1.0676259687134004</v>
      </c>
      <c r="Y136">
        <f>(1/(SQRT(2*PI())*TRAINING!$V$8))*EXP(-((H136-TRAINING!$V$3)^2)/(2*(TRAINING!$V$8^2)))</f>
        <v>3.039262448519801E-2</v>
      </c>
      <c r="Z136">
        <f>(1/(SQRT(2*PI())*TRAINING!$V$9))*EXP(-((H136-TRAINING!$V$4)^2)/(2*(TRAINING!$V$9^2)))</f>
        <v>2.2753892995124533E-2</v>
      </c>
      <c r="AA136">
        <f>PRODUCT(K136,M136,O136,Q136,S136,U136,W136,Y136)*TRAINING!$L$2</f>
        <v>1.2589388632963399E-12</v>
      </c>
      <c r="AB136">
        <f>PRODUCT(L136,N136,P136,R136,T136,V136,X136,Z136)*TRAINING!$L$3</f>
        <v>1.1144545824886428E-14</v>
      </c>
      <c r="AC136">
        <f t="shared" si="6"/>
        <v>0</v>
      </c>
      <c r="AD136">
        <f t="shared" si="7"/>
        <v>1</v>
      </c>
      <c r="AF136" s="19"/>
      <c r="AG136" t="str">
        <f t="shared" si="8"/>
        <v>TN</v>
      </c>
    </row>
    <row r="137" spans="1:33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  <c r="K137">
        <f>(1/(SQRT(2*PI())*TRAINING!$O$8))*EXP(-((A137-TRAINING!$O$3)^2)/(2*(TRAINING!$O$8^2)))</f>
        <v>0.12153525578060927</v>
      </c>
      <c r="L137">
        <f>(1/(SQRT(2*PI())*TRAINING!$O$9))*EXP(-((A137-TRAINING!$O$4)^2)/(2*(TRAINING!$O$9^2)))</f>
        <v>8.041832272231407E-2</v>
      </c>
      <c r="M137">
        <f>(1/(SQRT(2*PI())*TRAINING!$P$8))*EXP(-((B137-TRAINING!$P$3)^2)/(2*(TRAINING!$P$8^2)))</f>
        <v>1.3849429291927092E-2</v>
      </c>
      <c r="N137">
        <f>(1/(SQRT(2*PI())*TRAINING!$P$9))*EXP(-((B137-TRAINING!$P$4)^2)/(2*(TRAINING!$P$9^2)))</f>
        <v>1.1214811619511168E-2</v>
      </c>
      <c r="O137">
        <f>(1/(SQRT(2*PI())*TRAINING!$Q$8))*EXP(-((C137-TRAINING!$Q$3)^2)/(2*(TRAINING!$Q$8^2)))</f>
        <v>2.1821879354468197E-2</v>
      </c>
      <c r="P137">
        <f>(1/(SQRT(2*PI())*TRAINING!$Q$9))*EXP(-((C137-TRAINING!$Q$4)^2)/(2*(TRAINING!$Q$9^2)))</f>
        <v>1.3939617132614638E-2</v>
      </c>
      <c r="Q137">
        <f>(1/(SQRT(2*PI())*TRAINING!$R$8))*EXP(-((D137-TRAINING!$R$3)^2)/(2*(TRAINING!$R$8^2)))</f>
        <v>3.5694917788937644E-2</v>
      </c>
      <c r="R137">
        <f>(1/(SQRT(2*PI())*TRAINING!$R$9))*EXP(-((D137-TRAINING!$R$4)^2)/(2*(TRAINING!$R$9^2)))</f>
        <v>2.4842972564379603E-2</v>
      </c>
      <c r="S137">
        <f>(1/(SQRT(2*PI())*TRAINING!$S$8))*EXP(-((E137-TRAINING!$S$3)^2)/(2*(TRAINING!$S$8^2)))</f>
        <v>3.6088349201393584E-3</v>
      </c>
      <c r="T137">
        <f>(1/(SQRT(2*PI())*TRAINING!$S$9))*EXP(-((E137-TRAINING!$S$4)^2)/(2*(TRAINING!$S$9^2)))</f>
        <v>3.2186222071415426E-3</v>
      </c>
      <c r="U137">
        <f>(1/(SQRT(2*PI())*TRAINING!$T$8))*EXP(-((F137-TRAINING!$T$3)^2)/(2*(TRAINING!$T$8^2)))</f>
        <v>5.5613254181360532E-2</v>
      </c>
      <c r="V137">
        <f>(1/(SQRT(2*PI())*TRAINING!$T$9))*EXP(-((F137-TRAINING!$T$4)^2)/(2*(TRAINING!$T$9^2)))</f>
        <v>5.9087041050690646E-2</v>
      </c>
      <c r="W137">
        <f>(1/(SQRT(2*PI())*TRAINING!$U$8))*EXP(-((G137-TRAINING!$U$3)^2)/(2*(TRAINING!$U$8^2)))</f>
        <v>0.68560761059691222</v>
      </c>
      <c r="X137">
        <f>(1/(SQRT(2*PI())*TRAINING!$U$9))*EXP(-((G137-TRAINING!$U$4)^2)/(2*(TRAINING!$U$9^2)))</f>
        <v>0.48575234459989075</v>
      </c>
      <c r="Y137">
        <f>(1/(SQRT(2*PI())*TRAINING!$V$8))*EXP(-((H137-TRAINING!$V$3)^2)/(2*(TRAINING!$V$8^2)))</f>
        <v>3.3596431738612473E-2</v>
      </c>
      <c r="Z137">
        <f>(1/(SQRT(2*PI())*TRAINING!$V$9))*EXP(-((H137-TRAINING!$V$4)^2)/(2*(TRAINING!$V$9^2)))</f>
        <v>3.1979114216098517E-2</v>
      </c>
      <c r="AA137">
        <f>PRODUCT(K137,M137,O137,Q137,S137,U137,W137,Y137)*TRAINING!$L$2</f>
        <v>3.9519920130908759E-12</v>
      </c>
      <c r="AB137">
        <f>PRODUCT(L137,N137,P137,R137,T137,V137,X137,Z137)*TRAINING!$L$3</f>
        <v>3.1370677430636154E-13</v>
      </c>
      <c r="AC137">
        <f t="shared" si="6"/>
        <v>0</v>
      </c>
      <c r="AD137">
        <f t="shared" si="7"/>
        <v>1</v>
      </c>
      <c r="AF137" s="19"/>
      <c r="AG137" t="str">
        <f t="shared" si="8"/>
        <v>TN</v>
      </c>
    </row>
    <row r="138" spans="1:33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  <c r="K138">
        <f>(1/(SQRT(2*PI())*TRAINING!$O$8))*EXP(-((A138-TRAINING!$O$3)^2)/(2*(TRAINING!$O$8^2)))</f>
        <v>7.4791087346963395E-2</v>
      </c>
      <c r="L138">
        <f>(1/(SQRT(2*PI())*TRAINING!$O$9))*EXP(-((A138-TRAINING!$O$4)^2)/(2*(TRAINING!$O$9^2)))</f>
        <v>4.6140116319387747E-2</v>
      </c>
      <c r="M138">
        <f>(1/(SQRT(2*PI())*TRAINING!$P$8))*EXP(-((B138-TRAINING!$P$3)^2)/(2*(TRAINING!$P$8^2)))</f>
        <v>1.4577030200080695E-2</v>
      </c>
      <c r="N138">
        <f>(1/(SQRT(2*PI())*TRAINING!$P$9))*EXP(-((B138-TRAINING!$P$4)^2)/(2*(TRAINING!$P$9^2)))</f>
        <v>4.5281526342230783E-3</v>
      </c>
      <c r="O138">
        <f>(1/(SQRT(2*PI())*TRAINING!$Q$8))*EXP(-((C138-TRAINING!$Q$3)^2)/(2*(TRAINING!$Q$8^2)))</f>
        <v>3.4183653072486359E-2</v>
      </c>
      <c r="P138">
        <f>(1/(SQRT(2*PI())*TRAINING!$Q$9))*EXP(-((C138-TRAINING!$Q$4)^2)/(2*(TRAINING!$Q$9^2)))</f>
        <v>3.159268547546501E-2</v>
      </c>
      <c r="Q138">
        <f>(1/(SQRT(2*PI())*TRAINING!$R$8))*EXP(-((D138-TRAINING!$R$3)^2)/(2*(TRAINING!$R$8^2)))</f>
        <v>4.5434206234788249E-2</v>
      </c>
      <c r="R138">
        <f>(1/(SQRT(2*PI())*TRAINING!$R$9))*EXP(-((D138-TRAINING!$R$4)^2)/(2*(TRAINING!$R$9^2)))</f>
        <v>3.762856642633168E-2</v>
      </c>
      <c r="S138">
        <f>(1/(SQRT(2*PI())*TRAINING!$S$8))*EXP(-((E138-TRAINING!$S$3)^2)/(2*(TRAINING!$S$8^2)))</f>
        <v>3.9482529107069588E-3</v>
      </c>
      <c r="T138">
        <f>(1/(SQRT(2*PI())*TRAINING!$S$9))*EXP(-((E138-TRAINING!$S$4)^2)/(2*(TRAINING!$S$9^2)))</f>
        <v>2.8627239034190524E-3</v>
      </c>
      <c r="U138">
        <f>(1/(SQRT(2*PI())*TRAINING!$T$8))*EXP(-((F138-TRAINING!$T$3)^2)/(2*(TRAINING!$T$8^2)))</f>
        <v>6.1086447902395265E-2</v>
      </c>
      <c r="V138">
        <f>(1/(SQRT(2*PI())*TRAINING!$T$9))*EXP(-((F138-TRAINING!$T$4)^2)/(2*(TRAINING!$T$9^2)))</f>
        <v>4.794713821549608E-2</v>
      </c>
      <c r="W138">
        <f>(1/(SQRT(2*PI())*TRAINING!$U$8))*EXP(-((G138-TRAINING!$U$3)^2)/(2*(TRAINING!$U$8^2)))</f>
        <v>1.1433741985300694</v>
      </c>
      <c r="X138">
        <f>(1/(SQRT(2*PI())*TRAINING!$U$9))*EXP(-((G138-TRAINING!$U$4)^2)/(2*(TRAINING!$U$9^2)))</f>
        <v>1.0973281130614119</v>
      </c>
      <c r="Y138">
        <f>(1/(SQRT(2*PI())*TRAINING!$V$8))*EXP(-((H138-TRAINING!$V$3)^2)/(2*(TRAINING!$V$8^2)))</f>
        <v>2.3024268373034226E-2</v>
      </c>
      <c r="Z138">
        <f>(1/(SQRT(2*PI())*TRAINING!$V$9))*EXP(-((H138-TRAINING!$V$4)^2)/(2*(TRAINING!$V$9^2)))</f>
        <v>1.3130994726231127E-2</v>
      </c>
      <c r="AA138">
        <f>PRODUCT(K138,M138,O138,Q138,S138,U138,W138,Y138)*TRAINING!$L$2</f>
        <v>7.0099292989080131E-12</v>
      </c>
      <c r="AB138">
        <f>PRODUCT(L138,N138,P138,R138,T138,V138,X138,Z138)*TRAINING!$L$3</f>
        <v>1.670164176582594E-13</v>
      </c>
      <c r="AC138">
        <f t="shared" si="6"/>
        <v>0</v>
      </c>
      <c r="AD138">
        <f t="shared" si="7"/>
        <v>1</v>
      </c>
      <c r="AF138" s="19"/>
      <c r="AG138" t="str">
        <f t="shared" si="8"/>
        <v>TN</v>
      </c>
    </row>
    <row r="139" spans="1:33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  <c r="K139">
        <f>(1/(SQRT(2*PI())*TRAINING!$O$8))*EXP(-((A139-TRAINING!$O$3)^2)/(2*(TRAINING!$O$8^2)))</f>
        <v>7.4791087346963395E-2</v>
      </c>
      <c r="L139">
        <f>(1/(SQRT(2*PI())*TRAINING!$O$9))*EXP(-((A139-TRAINING!$O$4)^2)/(2*(TRAINING!$O$9^2)))</f>
        <v>4.6140116319387747E-2</v>
      </c>
      <c r="M139">
        <f>(1/(SQRT(2*PI())*TRAINING!$P$8))*EXP(-((B139-TRAINING!$P$3)^2)/(2*(TRAINING!$P$8^2)))</f>
        <v>1.2300370725843647E-2</v>
      </c>
      <c r="N139">
        <f>(1/(SQRT(2*PI())*TRAINING!$P$9))*EXP(-((B139-TRAINING!$P$4)^2)/(2*(TRAINING!$P$9^2)))</f>
        <v>3.0795260789878618E-3</v>
      </c>
      <c r="O139">
        <f>(1/(SQRT(2*PI())*TRAINING!$Q$8))*EXP(-((C139-TRAINING!$Q$3)^2)/(2*(TRAINING!$Q$8^2)))</f>
        <v>2.1821879354468197E-2</v>
      </c>
      <c r="P139">
        <f>(1/(SQRT(2*PI())*TRAINING!$Q$9))*EXP(-((C139-TRAINING!$Q$4)^2)/(2*(TRAINING!$Q$9^2)))</f>
        <v>1.3939617132614638E-2</v>
      </c>
      <c r="Q139">
        <f>(1/(SQRT(2*PI())*TRAINING!$R$8))*EXP(-((D139-TRAINING!$R$3)^2)/(2*(TRAINING!$R$8^2)))</f>
        <v>4.5082105295013108E-2</v>
      </c>
      <c r="R139">
        <f>(1/(SQRT(2*PI())*TRAINING!$R$9))*EXP(-((D139-TRAINING!$R$4)^2)/(2*(TRAINING!$R$9^2)))</f>
        <v>3.6025923169209731E-2</v>
      </c>
      <c r="S139">
        <f>(1/(SQRT(2*PI())*TRAINING!$S$8))*EXP(-((E139-TRAINING!$S$3)^2)/(2*(TRAINING!$S$8^2)))</f>
        <v>4.245812166250711E-3</v>
      </c>
      <c r="T139">
        <f>(1/(SQRT(2*PI())*TRAINING!$S$9))*EXP(-((E139-TRAINING!$S$4)^2)/(2*(TRAINING!$S$9^2)))</f>
        <v>3.2385800128394431E-3</v>
      </c>
      <c r="U139">
        <f>(1/(SQRT(2*PI())*TRAINING!$T$8))*EXP(-((F139-TRAINING!$T$3)^2)/(2*(TRAINING!$T$8^2)))</f>
        <v>5.7533240536953863E-2</v>
      </c>
      <c r="V139">
        <f>(1/(SQRT(2*PI())*TRAINING!$T$9))*EXP(-((F139-TRAINING!$T$4)^2)/(2*(TRAINING!$T$9^2)))</f>
        <v>3.6598979852896389E-2</v>
      </c>
      <c r="W139">
        <f>(1/(SQRT(2*PI())*TRAINING!$U$8))*EXP(-((G139-TRAINING!$U$3)^2)/(2*(TRAINING!$U$8^2)))</f>
        <v>1.2557408666270464</v>
      </c>
      <c r="X139">
        <f>(1/(SQRT(2*PI())*TRAINING!$U$9))*EXP(-((G139-TRAINING!$U$4)^2)/(2*(TRAINING!$U$9^2)))</f>
        <v>1.1049532630837475</v>
      </c>
      <c r="Y139">
        <f>(1/(SQRT(2*PI())*TRAINING!$V$8))*EXP(-((H139-TRAINING!$V$3)^2)/(2*(TRAINING!$V$8^2)))</f>
        <v>2.4686919742992346E-2</v>
      </c>
      <c r="Z139">
        <f>(1/(SQRT(2*PI())*TRAINING!$V$9))*EXP(-((H139-TRAINING!$V$4)^2)/(2*(TRAINING!$V$9^2)))</f>
        <v>1.4904761570265752E-2</v>
      </c>
      <c r="AA139">
        <f>PRODUCT(K139,M139,O139,Q139,S139,U139,W139,Y139)*TRAINING!$L$2</f>
        <v>4.4686896201042045E-12</v>
      </c>
      <c r="AB139">
        <f>PRODUCT(L139,N139,P139,R139,T139,V139,X139,Z139)*TRAINING!$L$3</f>
        <v>4.7358725431419303E-14</v>
      </c>
      <c r="AC139">
        <f t="shared" si="6"/>
        <v>0</v>
      </c>
      <c r="AD139">
        <f t="shared" si="7"/>
        <v>1</v>
      </c>
      <c r="AF139" s="19"/>
      <c r="AG139" t="str">
        <f t="shared" si="8"/>
        <v>TN</v>
      </c>
    </row>
    <row r="140" spans="1:33" x14ac:dyDescent="0.3">
      <c r="A140">
        <v>0</v>
      </c>
      <c r="B140">
        <v>129</v>
      </c>
      <c r="C140">
        <v>80</v>
      </c>
      <c r="D140">
        <v>23</v>
      </c>
      <c r="E140">
        <v>30.5</v>
      </c>
      <c r="F140">
        <v>31.2</v>
      </c>
      <c r="G140">
        <v>0.70299999999999996</v>
      </c>
      <c r="H140">
        <v>29</v>
      </c>
      <c r="I140">
        <v>0</v>
      </c>
      <c r="K140">
        <f>(1/(SQRT(2*PI())*TRAINING!$O$8))*EXP(-((A140-TRAINING!$O$3)^2)/(2*(TRAINING!$O$8^2)))</f>
        <v>7.4791087346963395E-2</v>
      </c>
      <c r="L140">
        <f>(1/(SQRT(2*PI())*TRAINING!$O$9))*EXP(-((A140-TRAINING!$O$4)^2)/(2*(TRAINING!$O$9^2)))</f>
        <v>4.6140116319387747E-2</v>
      </c>
      <c r="M140">
        <f>(1/(SQRT(2*PI())*TRAINING!$P$8))*EXP(-((B140-TRAINING!$P$3)^2)/(2*(TRAINING!$P$8^2)))</f>
        <v>1.2486971854562894E-2</v>
      </c>
      <c r="N140">
        <f>(1/(SQRT(2*PI())*TRAINING!$P$9))*EXP(-((B140-TRAINING!$P$4)^2)/(2*(TRAINING!$P$9^2)))</f>
        <v>1.2111950298836506E-2</v>
      </c>
      <c r="O140">
        <f>(1/(SQRT(2*PI())*TRAINING!$Q$8))*EXP(-((C140-TRAINING!$Q$3)^2)/(2*(TRAINING!$Q$8^2)))</f>
        <v>2.5539275567719948E-2</v>
      </c>
      <c r="P140">
        <f>(1/(SQRT(2*PI())*TRAINING!$Q$9))*EXP(-((C140-TRAINING!$Q$4)^2)/(2*(TRAINING!$Q$9^2)))</f>
        <v>3.2561150559118943E-2</v>
      </c>
      <c r="Q140">
        <f>(1/(SQRT(2*PI())*TRAINING!$R$8))*EXP(-((D140-TRAINING!$R$3)^2)/(2*(TRAINING!$R$8^2)))</f>
        <v>4.2691938231656991E-2</v>
      </c>
      <c r="R140">
        <f>(1/(SQRT(2*PI())*TRAINING!$R$9))*EXP(-((D140-TRAINING!$R$4)^2)/(2*(TRAINING!$R$9^2)))</f>
        <v>3.202065801833482E-2</v>
      </c>
      <c r="S140">
        <f>(1/(SQRT(2*PI())*TRAINING!$S$8))*EXP(-((E140-TRAINING!$S$3)^2)/(2*(TRAINING!$S$8^2)))</f>
        <v>3.5657055057560366E-3</v>
      </c>
      <c r="T140">
        <f>(1/(SQRT(2*PI())*TRAINING!$S$9))*EXP(-((E140-TRAINING!$S$4)^2)/(2*(TRAINING!$S$9^2)))</f>
        <v>2.5951511419773543E-3</v>
      </c>
      <c r="U140">
        <f>(1/(SQRT(2*PI())*TRAINING!$T$8))*EXP(-((F140-TRAINING!$T$3)^2)/(2*(TRAINING!$T$8^2)))</f>
        <v>6.1067151463370842E-2</v>
      </c>
      <c r="V140">
        <f>(1/(SQRT(2*PI())*TRAINING!$T$9))*EXP(-((F140-TRAINING!$T$4)^2)/(2*(TRAINING!$T$9^2)))</f>
        <v>4.989793723065971E-2</v>
      </c>
      <c r="W140">
        <f>(1/(SQRT(2*PI())*TRAINING!$U$8))*EXP(-((G140-TRAINING!$U$3)^2)/(2*(TRAINING!$U$8^2)))</f>
        <v>0.88799993451760184</v>
      </c>
      <c r="X140">
        <f>(1/(SQRT(2*PI())*TRAINING!$U$9))*EXP(-((G140-TRAINING!$U$4)^2)/(2*(TRAINING!$U$9^2)))</f>
        <v>1.0119452326748575</v>
      </c>
      <c r="Y140">
        <f>(1/(SQRT(2*PI())*TRAINING!$V$8))*EXP(-((H140-TRAINING!$V$3)^2)/(2*(TRAINING!$V$8^2)))</f>
        <v>3.2970843943366711E-2</v>
      </c>
      <c r="Z140">
        <f>(1/(SQRT(2*PI())*TRAINING!$V$9))*EXP(-((H140-TRAINING!$V$4)^2)/(2*(TRAINING!$V$9^2)))</f>
        <v>2.8619090403733831E-2</v>
      </c>
      <c r="AA140">
        <f>PRODUCT(K140,M140,O140,Q140,S140,U140,W140,Y140)*TRAINING!$L$2</f>
        <v>4.2327909014619277E-12</v>
      </c>
      <c r="AB140">
        <f>PRODUCT(L140,N140,P140,R140,T140,V140,X140,Z140)*TRAINING!$L$3</f>
        <v>7.4295029731862887E-13</v>
      </c>
      <c r="AC140">
        <f t="shared" si="6"/>
        <v>0</v>
      </c>
      <c r="AD140">
        <f t="shared" si="7"/>
        <v>1</v>
      </c>
      <c r="AF140" s="19"/>
      <c r="AG140" t="str">
        <f t="shared" si="8"/>
        <v>TN</v>
      </c>
    </row>
    <row r="141" spans="1:33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  <c r="K141">
        <f>(1/(SQRT(2*PI())*TRAINING!$O$8))*EXP(-((A141-TRAINING!$O$3)^2)/(2*(TRAINING!$O$8^2)))</f>
        <v>0.11094891947307506</v>
      </c>
      <c r="L141">
        <f>(1/(SQRT(2*PI())*TRAINING!$O$9))*EXP(-((A141-TRAINING!$O$4)^2)/(2*(TRAINING!$O$9^2)))</f>
        <v>0.1073628550745119</v>
      </c>
      <c r="M141">
        <f>(1/(SQRT(2*PI())*TRAINING!$P$8))*EXP(-((B141-TRAINING!$P$3)^2)/(2*(TRAINING!$P$8^2)))</f>
        <v>1.5664832413840087E-2</v>
      </c>
      <c r="N141">
        <f>(1/(SQRT(2*PI())*TRAINING!$P$9))*EXP(-((B141-TRAINING!$P$4)^2)/(2*(TRAINING!$P$9^2)))</f>
        <v>5.7571840580586753E-3</v>
      </c>
      <c r="O141">
        <f>(1/(SQRT(2*PI())*TRAINING!$Q$8))*EXP(-((C141-TRAINING!$Q$3)^2)/(2*(TRAINING!$Q$8^2)))</f>
        <v>3.4215224205554493E-2</v>
      </c>
      <c r="P141">
        <f>(1/(SQRT(2*PI())*TRAINING!$Q$9))*EXP(-((C141-TRAINING!$Q$4)^2)/(2*(TRAINING!$Q$9^2)))</f>
        <v>3.3852206664402869E-2</v>
      </c>
      <c r="Q141">
        <f>(1/(SQRT(2*PI())*TRAINING!$R$8))*EXP(-((D141-TRAINING!$R$3)^2)/(2*(TRAINING!$R$8^2)))</f>
        <v>4.3024675549764052E-2</v>
      </c>
      <c r="R141">
        <f>(1/(SQRT(2*PI())*TRAINING!$R$9))*EXP(-((D141-TRAINING!$R$4)^2)/(2*(TRAINING!$R$9^2)))</f>
        <v>4.0314921765277678E-2</v>
      </c>
      <c r="S141">
        <f>(1/(SQRT(2*PI())*TRAINING!$S$8))*EXP(-((E141-TRAINING!$S$3)^2)/(2*(TRAINING!$S$8^2)))</f>
        <v>1.6636306241048937E-4</v>
      </c>
      <c r="T141">
        <f>(1/(SQRT(2*PI())*TRAINING!$S$9))*EXP(-((E141-TRAINING!$S$4)^2)/(2*(TRAINING!$S$9^2)))</f>
        <v>7.2376004163180569E-4</v>
      </c>
      <c r="U141">
        <f>(1/(SQRT(2*PI())*TRAINING!$T$8))*EXP(-((F141-TRAINING!$T$3)^2)/(2*(TRAINING!$T$8^2)))</f>
        <v>4.0431040498309569E-2</v>
      </c>
      <c r="V141">
        <f>(1/(SQRT(2*PI())*TRAINING!$T$9))*EXP(-((F141-TRAINING!$T$4)^2)/(2*(TRAINING!$T$9^2)))</f>
        <v>5.8922976010807468E-2</v>
      </c>
      <c r="W141">
        <f>(1/(SQRT(2*PI())*TRAINING!$U$8))*EXP(-((G141-TRAINING!$U$3)^2)/(2*(TRAINING!$U$8^2)))</f>
        <v>0.87395748455674505</v>
      </c>
      <c r="X141">
        <f>(1/(SQRT(2*PI())*TRAINING!$U$9))*EXP(-((G141-TRAINING!$U$4)^2)/(2*(TRAINING!$U$9^2)))</f>
        <v>0.61337329309464328</v>
      </c>
      <c r="Y141">
        <f>(1/(SQRT(2*PI())*TRAINING!$V$8))*EXP(-((H141-TRAINING!$V$3)^2)/(2*(TRAINING!$V$8^2)))</f>
        <v>3.2316556179530061E-2</v>
      </c>
      <c r="Z141">
        <f>(1/(SQRT(2*PI())*TRAINING!$V$9))*EXP(-((H141-TRAINING!$V$4)^2)/(2*(TRAINING!$V$9^2)))</f>
        <v>2.6735830719458106E-2</v>
      </c>
      <c r="AA141">
        <f>PRODUCT(K141,M141,O141,Q141,S141,U141,W141,Y141)*TRAINING!$L$2</f>
        <v>3.1691462779889773E-13</v>
      </c>
      <c r="AB141">
        <f>PRODUCT(L141,N141,P141,R141,T141,V141,X141,Z141)*TRAINING!$L$3</f>
        <v>2.0058280910037298E-13</v>
      </c>
      <c r="AC141">
        <f t="shared" si="6"/>
        <v>0</v>
      </c>
      <c r="AD141">
        <f t="shared" si="7"/>
        <v>1</v>
      </c>
      <c r="AF141" s="19"/>
      <c r="AG141" t="str">
        <f t="shared" si="8"/>
        <v>TN</v>
      </c>
    </row>
    <row r="142" spans="1:33" x14ac:dyDescent="0.3">
      <c r="A142">
        <v>3</v>
      </c>
      <c r="B142">
        <v>128</v>
      </c>
      <c r="C142">
        <v>78</v>
      </c>
      <c r="D142">
        <v>23</v>
      </c>
      <c r="E142">
        <v>30.5</v>
      </c>
      <c r="F142">
        <v>21.1</v>
      </c>
      <c r="G142">
        <v>0.26800000000000002</v>
      </c>
      <c r="H142">
        <v>55</v>
      </c>
      <c r="I142">
        <v>0</v>
      </c>
      <c r="K142">
        <f>(1/(SQRT(2*PI())*TRAINING!$O$8))*EXP(-((A142-TRAINING!$O$3)^2)/(2*(TRAINING!$O$8^2)))</f>
        <v>0.13150943904653345</v>
      </c>
      <c r="L142">
        <f>(1/(SQRT(2*PI())*TRAINING!$O$9))*EXP(-((A142-TRAINING!$O$4)^2)/(2*(TRAINING!$O$9^2)))</f>
        <v>9.5216033172430034E-2</v>
      </c>
      <c r="M142">
        <f>(1/(SQRT(2*PI())*TRAINING!$P$8))*EXP(-((B142-TRAINING!$P$3)^2)/(2*(TRAINING!$P$8^2)))</f>
        <v>1.2846119065473427E-2</v>
      </c>
      <c r="N142">
        <f>(1/(SQRT(2*PI())*TRAINING!$P$9))*EXP(-((B142-TRAINING!$P$4)^2)/(2*(TRAINING!$P$9^2)))</f>
        <v>1.1902111156126034E-2</v>
      </c>
      <c r="O142">
        <f>(1/(SQRT(2*PI())*TRAINING!$Q$8))*EXP(-((C142-TRAINING!$Q$3)^2)/(2*(TRAINING!$Q$8^2)))</f>
        <v>2.8724564393455325E-2</v>
      </c>
      <c r="P142">
        <f>(1/(SQRT(2*PI())*TRAINING!$Q$9))*EXP(-((C142-TRAINING!$Q$4)^2)/(2*(TRAINING!$Q$9^2)))</f>
        <v>3.447108098073768E-2</v>
      </c>
      <c r="Q142">
        <f>(1/(SQRT(2*PI())*TRAINING!$R$8))*EXP(-((D142-TRAINING!$R$3)^2)/(2*(TRAINING!$R$8^2)))</f>
        <v>4.2691938231656991E-2</v>
      </c>
      <c r="R142">
        <f>(1/(SQRT(2*PI())*TRAINING!$R$9))*EXP(-((D142-TRAINING!$R$4)^2)/(2*(TRAINING!$R$9^2)))</f>
        <v>3.202065801833482E-2</v>
      </c>
      <c r="S142">
        <f>(1/(SQRT(2*PI())*TRAINING!$S$8))*EXP(-((E142-TRAINING!$S$3)^2)/(2*(TRAINING!$S$8^2)))</f>
        <v>3.5657055057560366E-3</v>
      </c>
      <c r="T142">
        <f>(1/(SQRT(2*PI())*TRAINING!$S$9))*EXP(-((E142-TRAINING!$S$4)^2)/(2*(TRAINING!$S$9^2)))</f>
        <v>2.5951511419773543E-3</v>
      </c>
      <c r="U142">
        <f>(1/(SQRT(2*PI())*TRAINING!$T$8))*EXP(-((F142-TRAINING!$T$3)^2)/(2*(TRAINING!$T$8^2)))</f>
        <v>1.9505592406839533E-2</v>
      </c>
      <c r="V142">
        <f>(1/(SQRT(2*PI())*TRAINING!$T$9))*EXP(-((F142-TRAINING!$T$4)^2)/(2*(TRAINING!$T$9^2)))</f>
        <v>5.8718300706210634E-3</v>
      </c>
      <c r="W142">
        <f>(1/(SQRT(2*PI())*TRAINING!$U$8))*EXP(-((G142-TRAINING!$U$3)^2)/(2*(TRAINING!$U$8^2)))</f>
        <v>1.1385814048300784</v>
      </c>
      <c r="X142">
        <f>(1/(SQRT(2*PI())*TRAINING!$U$9))*EXP(-((G142-TRAINING!$U$4)^2)/(2*(TRAINING!$U$9^2)))</f>
        <v>0.8137416889139043</v>
      </c>
      <c r="Y142">
        <f>(1/(SQRT(2*PI())*TRAINING!$V$8))*EXP(-((H142-TRAINING!$V$3)^2)/(2*(TRAINING!$V$8^2)))</f>
        <v>4.5980499036301662E-3</v>
      </c>
      <c r="Z142">
        <f>(1/(SQRT(2*PI())*TRAINING!$V$9))*EXP(-((H142-TRAINING!$V$4)^2)/(2*(TRAINING!$V$9^2)))</f>
        <v>8.8791327435337117E-3</v>
      </c>
      <c r="AA142">
        <f>PRODUCT(K142,M142,O142,Q142,S142,U142,W142,Y142)*TRAINING!$L$2</f>
        <v>4.9185810531226668E-13</v>
      </c>
      <c r="AB142">
        <f>PRODUCT(L142,N142,P142,R142,T142,V142,X142,Z142)*TRAINING!$L$3</f>
        <v>4.6826468715904309E-14</v>
      </c>
      <c r="AC142">
        <f t="shared" si="6"/>
        <v>0</v>
      </c>
      <c r="AD142">
        <f t="shared" si="7"/>
        <v>1</v>
      </c>
      <c r="AF142" s="19"/>
      <c r="AG142" t="str">
        <f t="shared" si="8"/>
        <v>TN</v>
      </c>
    </row>
    <row r="143" spans="1:33" x14ac:dyDescent="0.3">
      <c r="A143">
        <v>5</v>
      </c>
      <c r="B143">
        <v>106</v>
      </c>
      <c r="C143">
        <v>82</v>
      </c>
      <c r="D143">
        <v>30</v>
      </c>
      <c r="E143">
        <v>30.5</v>
      </c>
      <c r="F143">
        <v>39.5</v>
      </c>
      <c r="G143">
        <v>0.28599999999999998</v>
      </c>
      <c r="H143">
        <v>38</v>
      </c>
      <c r="I143">
        <v>0</v>
      </c>
      <c r="K143">
        <f>(1/(SQRT(2*PI())*TRAINING!$O$8))*EXP(-((A143-TRAINING!$O$3)^2)/(2*(TRAINING!$O$8^2)))</f>
        <v>0.11094891947307506</v>
      </c>
      <c r="L143">
        <f>(1/(SQRT(2*PI())*TRAINING!$O$9))*EXP(-((A143-TRAINING!$O$4)^2)/(2*(TRAINING!$O$9^2)))</f>
        <v>0.1073628550745119</v>
      </c>
      <c r="M143">
        <f>(1/(SQRT(2*PI())*TRAINING!$P$8))*EXP(-((B143-TRAINING!$P$3)^2)/(2*(TRAINING!$P$8^2)))</f>
        <v>1.5813749130868766E-2</v>
      </c>
      <c r="N143">
        <f>(1/(SQRT(2*PI())*TRAINING!$P$9))*EXP(-((B143-TRAINING!$P$4)^2)/(2*(TRAINING!$P$9^2)))</f>
        <v>6.0191758743566E-3</v>
      </c>
      <c r="O143">
        <f>(1/(SQRT(2*PI())*TRAINING!$Q$8))*EXP(-((C143-TRAINING!$Q$3)^2)/(2*(TRAINING!$Q$8^2)))</f>
        <v>2.2044601279935228E-2</v>
      </c>
      <c r="P143">
        <f>(1/(SQRT(2*PI())*TRAINING!$Q$9))*EXP(-((C143-TRAINING!$Q$4)^2)/(2*(TRAINING!$Q$9^2)))</f>
        <v>2.9802704876182827E-2</v>
      </c>
      <c r="Q143">
        <f>(1/(SQRT(2*PI())*TRAINING!$R$8))*EXP(-((D143-TRAINING!$R$3)^2)/(2*(TRAINING!$R$8^2)))</f>
        <v>4.1168207127831397E-2</v>
      </c>
      <c r="R143">
        <f>(1/(SQRT(2*PI())*TRAINING!$R$9))*EXP(-((D143-TRAINING!$R$4)^2)/(2*(TRAINING!$R$9^2)))</f>
        <v>4.041370800237605E-2</v>
      </c>
      <c r="S143">
        <f>(1/(SQRT(2*PI())*TRAINING!$S$8))*EXP(-((E143-TRAINING!$S$3)^2)/(2*(TRAINING!$S$8^2)))</f>
        <v>3.5657055057560366E-3</v>
      </c>
      <c r="T143">
        <f>(1/(SQRT(2*PI())*TRAINING!$S$9))*EXP(-((E143-TRAINING!$S$4)^2)/(2*(TRAINING!$S$9^2)))</f>
        <v>2.5951511419773543E-3</v>
      </c>
      <c r="U143">
        <f>(1/(SQRT(2*PI())*TRAINING!$T$8))*EXP(-((F143-TRAINING!$T$3)^2)/(2*(TRAINING!$T$8^2)))</f>
        <v>2.6006571463579164E-2</v>
      </c>
      <c r="V143">
        <f>(1/(SQRT(2*PI())*TRAINING!$T$9))*EXP(-((F143-TRAINING!$T$4)^2)/(2*(TRAINING!$T$9^2)))</f>
        <v>4.9527844239083366E-2</v>
      </c>
      <c r="W143">
        <f>(1/(SQRT(2*PI())*TRAINING!$U$8))*EXP(-((G143-TRAINING!$U$3)^2)/(2*(TRAINING!$U$8^2)))</f>
        <v>1.1745258525322353</v>
      </c>
      <c r="X143">
        <f>(1/(SQRT(2*PI())*TRAINING!$U$9))*EXP(-((G143-TRAINING!$U$4)^2)/(2*(TRAINING!$U$9^2)))</f>
        <v>0.84516388060140857</v>
      </c>
      <c r="Y143">
        <f>(1/(SQRT(2*PI())*TRAINING!$V$8))*EXP(-((H143-TRAINING!$V$3)^2)/(2*(TRAINING!$V$8^2)))</f>
        <v>2.8692713638906624E-2</v>
      </c>
      <c r="Z143">
        <f>(1/(SQRT(2*PI())*TRAINING!$V$9))*EXP(-((H143-TRAINING!$V$4)^2)/(2*(TRAINING!$V$9^2)))</f>
        <v>3.6225122426769528E-2</v>
      </c>
      <c r="AA143">
        <f>PRODUCT(K143,M143,O143,Q143,S143,U143,W143,Y143)*TRAINING!$L$2</f>
        <v>3.2445476623508767E-12</v>
      </c>
      <c r="AB143">
        <f>PRODUCT(L143,N143,P143,R143,T143,V143,X143,Z143)*TRAINING!$L$3</f>
        <v>1.0413992381371374E-12</v>
      </c>
      <c r="AC143">
        <f t="shared" si="6"/>
        <v>0</v>
      </c>
      <c r="AD143">
        <f t="shared" si="7"/>
        <v>1</v>
      </c>
      <c r="AF143" s="19"/>
      <c r="AG143" t="str">
        <f t="shared" si="8"/>
        <v>TN</v>
      </c>
    </row>
    <row r="144" spans="1:33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  <c r="K144">
        <f>(1/(SQRT(2*PI())*TRAINING!$O$8))*EXP(-((A144-TRAINING!$O$3)^2)/(2*(TRAINING!$O$8^2)))</f>
        <v>0.12153525578060927</v>
      </c>
      <c r="L144">
        <f>(1/(SQRT(2*PI())*TRAINING!$O$9))*EXP(-((A144-TRAINING!$O$4)^2)/(2*(TRAINING!$O$9^2)))</f>
        <v>8.041832272231407E-2</v>
      </c>
      <c r="M144">
        <f>(1/(SQRT(2*PI())*TRAINING!$P$8))*EXP(-((B144-TRAINING!$P$3)^2)/(2*(TRAINING!$P$8^2)))</f>
        <v>1.6036544008582756E-2</v>
      </c>
      <c r="N144">
        <f>(1/(SQRT(2*PI())*TRAINING!$P$9))*EXP(-((B144-TRAINING!$P$4)^2)/(2*(TRAINING!$P$9^2)))</f>
        <v>6.5563175320796476E-3</v>
      </c>
      <c r="O144">
        <f>(1/(SQRT(2*PI())*TRAINING!$Q$8))*EXP(-((C144-TRAINING!$Q$3)^2)/(2*(TRAINING!$Q$8^2)))</f>
        <v>8.9422130871914442E-3</v>
      </c>
      <c r="P144">
        <f>(1/(SQRT(2*PI())*TRAINING!$Q$9))*EXP(-((C144-TRAINING!$Q$4)^2)/(2*(TRAINING!$Q$9^2)))</f>
        <v>4.1075427023699752E-3</v>
      </c>
      <c r="Q144">
        <f>(1/(SQRT(2*PI())*TRAINING!$R$8))*EXP(-((D144-TRAINING!$R$3)^2)/(2*(TRAINING!$R$8^2)))</f>
        <v>4.5434206234788249E-2</v>
      </c>
      <c r="R144">
        <f>(1/(SQRT(2*PI())*TRAINING!$R$9))*EXP(-((D144-TRAINING!$R$4)^2)/(2*(TRAINING!$R$9^2)))</f>
        <v>3.762856642633168E-2</v>
      </c>
      <c r="S144">
        <f>(1/(SQRT(2*PI())*TRAINING!$S$8))*EXP(-((E144-TRAINING!$S$3)^2)/(2*(TRAINING!$S$8^2)))</f>
        <v>4.1255331936746829E-3</v>
      </c>
      <c r="T144">
        <f>(1/(SQRT(2*PI())*TRAINING!$S$9))*EXP(-((E144-TRAINING!$S$4)^2)/(2*(TRAINING!$S$9^2)))</f>
        <v>3.0125889650397032E-3</v>
      </c>
      <c r="U144">
        <f>(1/(SQRT(2*PI())*TRAINING!$T$8))*EXP(-((F144-TRAINING!$T$3)^2)/(2*(TRAINING!$T$8^2)))</f>
        <v>5.944328132771081E-2</v>
      </c>
      <c r="V144">
        <f>(1/(SQRT(2*PI())*TRAINING!$T$9))*EXP(-((F144-TRAINING!$T$4)^2)/(2*(TRAINING!$T$9^2)))</f>
        <v>5.5369957184104722E-2</v>
      </c>
      <c r="W144">
        <f>(1/(SQRT(2*PI())*TRAINING!$U$8))*EXP(-((G144-TRAINING!$U$3)^2)/(2*(TRAINING!$U$8^2)))</f>
        <v>1.230354719980856</v>
      </c>
      <c r="X144">
        <f>(1/(SQRT(2*PI())*TRAINING!$U$9))*EXP(-((G144-TRAINING!$U$4)^2)/(2*(TRAINING!$U$9^2)))</f>
        <v>0.89850544652003395</v>
      </c>
      <c r="Y144">
        <f>(1/(SQRT(2*PI())*TRAINING!$V$8))*EXP(-((H144-TRAINING!$V$3)^2)/(2*(TRAINING!$V$8^2)))</f>
        <v>2.4686919742992346E-2</v>
      </c>
      <c r="Z144">
        <f>(1/(SQRT(2*PI())*TRAINING!$V$9))*EXP(-((H144-TRAINING!$V$4)^2)/(2*(TRAINING!$V$9^2)))</f>
        <v>1.4904761570265752E-2</v>
      </c>
      <c r="AA144">
        <f>PRODUCT(K144,M144,O144,Q144,S144,U144,W144,Y144)*TRAINING!$L$2</f>
        <v>3.8458326464410674E-12</v>
      </c>
      <c r="AB144">
        <f>PRODUCT(L144,N144,P144,R144,T144,V144,X144,Z144)*TRAINING!$L$3</f>
        <v>6.1894702883976213E-14</v>
      </c>
      <c r="AC144">
        <f t="shared" si="6"/>
        <v>0</v>
      </c>
      <c r="AD144">
        <f t="shared" si="7"/>
        <v>1</v>
      </c>
      <c r="AF144" s="19"/>
      <c r="AG144" t="str">
        <f t="shared" si="8"/>
        <v>TN</v>
      </c>
    </row>
    <row r="145" spans="1:33" x14ac:dyDescent="0.3">
      <c r="A145">
        <v>10</v>
      </c>
      <c r="B145">
        <v>108</v>
      </c>
      <c r="C145">
        <v>66</v>
      </c>
      <c r="D145">
        <v>23</v>
      </c>
      <c r="E145">
        <v>30.5</v>
      </c>
      <c r="F145">
        <v>32.4</v>
      </c>
      <c r="G145">
        <v>0.27200000000000002</v>
      </c>
      <c r="H145">
        <v>42</v>
      </c>
      <c r="I145">
        <v>1</v>
      </c>
      <c r="K145">
        <f>(1/(SQRT(2*PI())*TRAINING!$O$8))*EXP(-((A145-TRAINING!$O$3)^2)/(2*(TRAINING!$O$8^2)))</f>
        <v>1.0720214418818754E-2</v>
      </c>
      <c r="L145">
        <f>(1/(SQRT(2*PI())*TRAINING!$O$9))*EXP(-((A145-TRAINING!$O$4)^2)/(2*(TRAINING!$O$9^2)))</f>
        <v>4.0698455459240418E-2</v>
      </c>
      <c r="M145">
        <f>(1/(SQRT(2*PI())*TRAINING!$P$8))*EXP(-((B145-TRAINING!$P$3)^2)/(2*(TRAINING!$P$8^2)))</f>
        <v>1.6036544008582756E-2</v>
      </c>
      <c r="N145">
        <f>(1/(SQRT(2*PI())*TRAINING!$P$9))*EXP(-((B145-TRAINING!$P$4)^2)/(2*(TRAINING!$P$9^2)))</f>
        <v>6.5563175320796476E-3</v>
      </c>
      <c r="O145">
        <f>(1/(SQRT(2*PI())*TRAINING!$Q$8))*EXP(-((C145-TRAINING!$Q$3)^2)/(2*(TRAINING!$Q$8^2)))</f>
        <v>3.1219956230797655E-2</v>
      </c>
      <c r="P145">
        <f>(1/(SQRT(2*PI())*TRAINING!$Q$9))*EXP(-((C145-TRAINING!$Q$4)^2)/(2*(TRAINING!$Q$9^2)))</f>
        <v>2.5033349599780073E-2</v>
      </c>
      <c r="Q145">
        <f>(1/(SQRT(2*PI())*TRAINING!$R$8))*EXP(-((D145-TRAINING!$R$3)^2)/(2*(TRAINING!$R$8^2)))</f>
        <v>4.2691938231656991E-2</v>
      </c>
      <c r="R145">
        <f>(1/(SQRT(2*PI())*TRAINING!$R$9))*EXP(-((D145-TRAINING!$R$4)^2)/(2*(TRAINING!$R$9^2)))</f>
        <v>3.202065801833482E-2</v>
      </c>
      <c r="S145">
        <f>(1/(SQRT(2*PI())*TRAINING!$S$8))*EXP(-((E145-TRAINING!$S$3)^2)/(2*(TRAINING!$S$8^2)))</f>
        <v>3.5657055057560366E-3</v>
      </c>
      <c r="T145">
        <f>(1/(SQRT(2*PI())*TRAINING!$S$9))*EXP(-((E145-TRAINING!$S$4)^2)/(2*(TRAINING!$S$9^2)))</f>
        <v>2.5951511419773543E-3</v>
      </c>
      <c r="U145">
        <f>(1/(SQRT(2*PI())*TRAINING!$T$8))*EXP(-((F145-TRAINING!$T$3)^2)/(2*(TRAINING!$T$8^2)))</f>
        <v>5.9650556109461531E-2</v>
      </c>
      <c r="V145">
        <f>(1/(SQRT(2*PI())*TRAINING!$T$9))*EXP(-((F145-TRAINING!$T$4)^2)/(2*(TRAINING!$T$9^2)))</f>
        <v>5.500479140540257E-2</v>
      </c>
      <c r="W145">
        <f>(1/(SQRT(2*PI())*TRAINING!$U$8))*EXP(-((G145-TRAINING!$U$3)^2)/(2*(TRAINING!$U$8^2)))</f>
        <v>1.146826676791934</v>
      </c>
      <c r="X145">
        <f>(1/(SQRT(2*PI())*TRAINING!$U$9))*EXP(-((G145-TRAINING!$U$4)^2)/(2*(TRAINING!$U$9^2)))</f>
        <v>0.82079863492355865</v>
      </c>
      <c r="Y145">
        <f>(1/(SQRT(2*PI())*TRAINING!$V$8))*EXP(-((H145-TRAINING!$V$3)^2)/(2*(TRAINING!$V$8^2)))</f>
        <v>2.2428794825873569E-2</v>
      </c>
      <c r="Z145">
        <f>(1/(SQRT(2*PI())*TRAINING!$V$9))*EXP(-((H145-TRAINING!$V$4)^2)/(2*(TRAINING!$V$9^2)))</f>
        <v>3.2353054095022447E-2</v>
      </c>
      <c r="AA145">
        <f>PRODUCT(K145,M145,O145,Q145,S145,U145,W145,Y145)*TRAINING!$L$2</f>
        <v>8.1738255537745901E-13</v>
      </c>
      <c r="AB145">
        <f>PRODUCT(L145,N145,P145,R145,T145,V145,X145,Z145)*TRAINING!$L$3</f>
        <v>2.7566468206521334E-13</v>
      </c>
      <c r="AC145">
        <f t="shared" si="6"/>
        <v>0</v>
      </c>
      <c r="AD145">
        <f t="shared" si="7"/>
        <v>0</v>
      </c>
      <c r="AF145" s="19"/>
      <c r="AG145" t="str">
        <f t="shared" si="8"/>
        <v>FN</v>
      </c>
    </row>
    <row r="146" spans="1:33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  <c r="K146">
        <f>(1/(SQRT(2*PI())*TRAINING!$O$8))*EXP(-((A146-TRAINING!$O$3)^2)/(2*(TRAINING!$O$8^2)))</f>
        <v>0.12757449499469867</v>
      </c>
      <c r="L146">
        <f>(1/(SQRT(2*PI())*TRAINING!$O$9))*EXP(-((A146-TRAINING!$O$4)^2)/(2*(TRAINING!$O$9^2)))</f>
        <v>0.10484388320832955</v>
      </c>
      <c r="M146">
        <f>(1/(SQRT(2*PI())*TRAINING!$P$8))*EXP(-((B146-TRAINING!$P$3)^2)/(2*(TRAINING!$P$8^2)))</f>
        <v>3.6017204574680154E-3</v>
      </c>
      <c r="N146">
        <f>(1/(SQRT(2*PI())*TRAINING!$P$9))*EXP(-((B146-TRAINING!$P$4)^2)/(2*(TRAINING!$P$9^2)))</f>
        <v>1.2797329983797153E-2</v>
      </c>
      <c r="O146">
        <f>(1/(SQRT(2*PI())*TRAINING!$Q$8))*EXP(-((C146-TRAINING!$Q$3)^2)/(2*(TRAINING!$Q$8^2)))</f>
        <v>2.5327965872361573E-2</v>
      </c>
      <c r="P146">
        <f>(1/(SQRT(2*PI())*TRAINING!$Q$9))*EXP(-((C146-TRAINING!$Q$4)^2)/(2*(TRAINING!$Q$9^2)))</f>
        <v>1.7486213843021708E-2</v>
      </c>
      <c r="Q146">
        <f>(1/(SQRT(2*PI())*TRAINING!$R$8))*EXP(-((D146-TRAINING!$R$3)^2)/(2*(TRAINING!$R$8^2)))</f>
        <v>3.8884158284381701E-2</v>
      </c>
      <c r="R146">
        <f>(1/(SQRT(2*PI())*TRAINING!$R$9))*EXP(-((D146-TRAINING!$R$4)^2)/(2*(TRAINING!$R$9^2)))</f>
        <v>4.009882603638542E-2</v>
      </c>
      <c r="S146">
        <f>(1/(SQRT(2*PI())*TRAINING!$S$8))*EXP(-((E146-TRAINING!$S$3)^2)/(2*(TRAINING!$S$8^2)))</f>
        <v>4.602326592221868E-4</v>
      </c>
      <c r="T146">
        <f>(1/(SQRT(2*PI())*TRAINING!$S$9))*EXP(-((E146-TRAINING!$S$4)^2)/(2*(TRAINING!$S$9^2)))</f>
        <v>1.2318857269910182E-3</v>
      </c>
      <c r="U146">
        <f>(1/(SQRT(2*PI())*TRAINING!$T$8))*EXP(-((F146-TRAINING!$T$3)^2)/(2*(TRAINING!$T$8^2)))</f>
        <v>5.8743019054364826E-2</v>
      </c>
      <c r="V146">
        <f>(1/(SQRT(2*PI())*TRAINING!$T$9))*EXP(-((F146-TRAINING!$T$4)^2)/(2*(TRAINING!$T$9^2)))</f>
        <v>5.6401749280501637E-2</v>
      </c>
      <c r="W146">
        <f>(1/(SQRT(2*PI())*TRAINING!$U$8))*EXP(-((G146-TRAINING!$U$3)^2)/(2*(TRAINING!$U$8^2)))</f>
        <v>1.0702395332313013</v>
      </c>
      <c r="X146">
        <f>(1/(SQRT(2*PI())*TRAINING!$U$9))*EXP(-((G146-TRAINING!$U$4)^2)/(2*(TRAINING!$U$9^2)))</f>
        <v>0.75789906889626224</v>
      </c>
      <c r="Y146">
        <f>(1/(SQRT(2*PI())*TRAINING!$V$8))*EXP(-((H146-TRAINING!$V$3)^2)/(2*(TRAINING!$V$8^2)))</f>
        <v>2.6282439590781519E-2</v>
      </c>
      <c r="Z146">
        <f>(1/(SQRT(2*PI())*TRAINING!$V$9))*EXP(-((H146-TRAINING!$V$4)^2)/(2*(TRAINING!$V$9^2)))</f>
        <v>1.6777009273758671E-2</v>
      </c>
      <c r="AA146">
        <f>PRODUCT(K146,M146,O146,Q146,S146,U146,W146,Y146)*TRAINING!$L$2</f>
        <v>2.2438638045568979E-13</v>
      </c>
      <c r="AB146">
        <f>PRODUCT(L146,N146,P146,R146,T146,V146,X146,Z146)*TRAINING!$L$3</f>
        <v>2.8259061981376079E-13</v>
      </c>
      <c r="AC146">
        <f t="shared" si="6"/>
        <v>1</v>
      </c>
      <c r="AD146">
        <f t="shared" si="7"/>
        <v>0</v>
      </c>
      <c r="AF146" s="19"/>
      <c r="AG146" t="str">
        <f t="shared" si="8"/>
        <v>FP</v>
      </c>
    </row>
    <row r="147" spans="1:33" x14ac:dyDescent="0.3">
      <c r="A147">
        <v>0</v>
      </c>
      <c r="B147">
        <v>102</v>
      </c>
      <c r="C147">
        <v>75</v>
      </c>
      <c r="D147">
        <v>23</v>
      </c>
      <c r="E147">
        <v>30.5</v>
      </c>
      <c r="F147">
        <v>32</v>
      </c>
      <c r="G147">
        <v>0.57199999999999995</v>
      </c>
      <c r="H147">
        <v>21</v>
      </c>
      <c r="I147">
        <v>0</v>
      </c>
      <c r="K147">
        <f>(1/(SQRT(2*PI())*TRAINING!$O$8))*EXP(-((A147-TRAINING!$O$3)^2)/(2*(TRAINING!$O$8^2)))</f>
        <v>7.4791087346963395E-2</v>
      </c>
      <c r="L147">
        <f>(1/(SQRT(2*PI())*TRAINING!$O$9))*EXP(-((A147-TRAINING!$O$4)^2)/(2*(TRAINING!$O$9^2)))</f>
        <v>4.6140116319387747E-2</v>
      </c>
      <c r="M147">
        <f>(1/(SQRT(2*PI())*TRAINING!$P$8))*EXP(-((B147-TRAINING!$P$3)^2)/(2*(TRAINING!$P$8^2)))</f>
        <v>1.5076966901643755E-2</v>
      </c>
      <c r="N147">
        <f>(1/(SQRT(2*PI())*TRAINING!$P$9))*EXP(-((B147-TRAINING!$P$4)^2)/(2*(TRAINING!$P$9^2)))</f>
        <v>5.0022751047482175E-3</v>
      </c>
      <c r="O147">
        <f>(1/(SQRT(2*PI())*TRAINING!$Q$8))*EXP(-((C147-TRAINING!$Q$3)^2)/(2*(TRAINING!$Q$8^2)))</f>
        <v>3.2411979135393697E-2</v>
      </c>
      <c r="P147">
        <f>(1/(SQRT(2*PI())*TRAINING!$Q$9))*EXP(-((C147-TRAINING!$Q$4)^2)/(2*(TRAINING!$Q$9^2)))</f>
        <v>3.5393291714439612E-2</v>
      </c>
      <c r="Q147">
        <f>(1/(SQRT(2*PI())*TRAINING!$R$8))*EXP(-((D147-TRAINING!$R$3)^2)/(2*(TRAINING!$R$8^2)))</f>
        <v>4.2691938231656991E-2</v>
      </c>
      <c r="R147">
        <f>(1/(SQRT(2*PI())*TRAINING!$R$9))*EXP(-((D147-TRAINING!$R$4)^2)/(2*(TRAINING!$R$9^2)))</f>
        <v>3.202065801833482E-2</v>
      </c>
      <c r="S147">
        <f>(1/(SQRT(2*PI())*TRAINING!$S$8))*EXP(-((E147-TRAINING!$S$3)^2)/(2*(TRAINING!$S$8^2)))</f>
        <v>3.5657055057560366E-3</v>
      </c>
      <c r="T147">
        <f>(1/(SQRT(2*PI())*TRAINING!$S$9))*EXP(-((E147-TRAINING!$S$4)^2)/(2*(TRAINING!$S$9^2)))</f>
        <v>2.5951511419773543E-3</v>
      </c>
      <c r="U147">
        <f>(1/(SQRT(2*PI())*TRAINING!$T$8))*EXP(-((F147-TRAINING!$T$3)^2)/(2*(TRAINING!$T$8^2)))</f>
        <v>6.0345164388641175E-2</v>
      </c>
      <c r="V147">
        <f>(1/(SQRT(2*PI())*TRAINING!$T$9))*EXP(-((F147-TRAINING!$T$4)^2)/(2*(TRAINING!$T$9^2)))</f>
        <v>5.344431412493849E-2</v>
      </c>
      <c r="W147">
        <f>(1/(SQRT(2*PI())*TRAINING!$U$8))*EXP(-((G147-TRAINING!$U$3)^2)/(2*(TRAINING!$U$8^2)))</f>
        <v>1.1919010102095204</v>
      </c>
      <c r="X147">
        <f>(1/(SQRT(2*PI())*TRAINING!$U$9))*EXP(-((G147-TRAINING!$U$4)^2)/(2*(TRAINING!$U$9^2)))</f>
        <v>1.104494247656137</v>
      </c>
      <c r="Y147">
        <f>(1/(SQRT(2*PI())*TRAINING!$V$8))*EXP(-((H147-TRAINING!$V$3)^2)/(2*(TRAINING!$V$8^2)))</f>
        <v>2.3024268373034226E-2</v>
      </c>
      <c r="Z147">
        <f>(1/(SQRT(2*PI())*TRAINING!$V$9))*EXP(-((H147-TRAINING!$V$4)^2)/(2*(TRAINING!$V$9^2)))</f>
        <v>1.3130994726231127E-2</v>
      </c>
      <c r="AA147">
        <f>PRODUCT(K147,M147,O147,Q147,S147,U147,W147,Y147)*TRAINING!$L$2</f>
        <v>6.007565043446351E-12</v>
      </c>
      <c r="AB147">
        <f>PRODUCT(L147,N147,P147,R147,T147,V147,X147,Z147)*TRAINING!$L$3</f>
        <v>1.7889641269766744E-13</v>
      </c>
      <c r="AC147">
        <f t="shared" si="6"/>
        <v>0</v>
      </c>
      <c r="AD147">
        <f t="shared" si="7"/>
        <v>1</v>
      </c>
      <c r="AF147" s="19"/>
      <c r="AG147" t="str">
        <f t="shared" si="8"/>
        <v>TN</v>
      </c>
    </row>
    <row r="148" spans="1:33" x14ac:dyDescent="0.3">
      <c r="A148">
        <v>9</v>
      </c>
      <c r="B148">
        <v>57</v>
      </c>
      <c r="C148">
        <v>80</v>
      </c>
      <c r="D148">
        <v>37</v>
      </c>
      <c r="E148">
        <v>30.5</v>
      </c>
      <c r="F148">
        <v>32.799999999999997</v>
      </c>
      <c r="G148">
        <v>9.6000000000000002E-2</v>
      </c>
      <c r="H148">
        <v>41</v>
      </c>
      <c r="I148">
        <v>0</v>
      </c>
      <c r="K148">
        <f>(1/(SQRT(2*PI())*TRAINING!$O$8))*EXP(-((A148-TRAINING!$O$3)^2)/(2*(TRAINING!$O$8^2)))</f>
        <v>2.1285449196772267E-2</v>
      </c>
      <c r="L148">
        <f>(1/(SQRT(2*PI())*TRAINING!$O$9))*EXP(-((A148-TRAINING!$O$4)^2)/(2*(TRAINING!$O$9^2)))</f>
        <v>5.7131716423373204E-2</v>
      </c>
      <c r="M148">
        <f>(1/(SQRT(2*PI())*TRAINING!$P$8))*EXP(-((B148-TRAINING!$P$3)^2)/(2*(TRAINING!$P$8^2)))</f>
        <v>1.4385603840416533E-3</v>
      </c>
      <c r="N148">
        <f>(1/(SQRT(2*PI())*TRAINING!$P$9))*EXP(-((B148-TRAINING!$P$4)^2)/(2*(TRAINING!$P$9^2)))</f>
        <v>1.7076868060258323E-4</v>
      </c>
      <c r="O148">
        <f>(1/(SQRT(2*PI())*TRAINING!$Q$8))*EXP(-((C148-TRAINING!$Q$3)^2)/(2*(TRAINING!$Q$8^2)))</f>
        <v>2.5539275567719948E-2</v>
      </c>
      <c r="P148">
        <f>(1/(SQRT(2*PI())*TRAINING!$Q$9))*EXP(-((C148-TRAINING!$Q$4)^2)/(2*(TRAINING!$Q$9^2)))</f>
        <v>3.2561150559118943E-2</v>
      </c>
      <c r="Q148">
        <f>(1/(SQRT(2*PI())*TRAINING!$R$8))*EXP(-((D148-TRAINING!$R$3)^2)/(2*(TRAINING!$R$8^2)))</f>
        <v>2.1024784875107342E-2</v>
      </c>
      <c r="R148">
        <f>(1/(SQRT(2*PI())*TRAINING!$R$9))*EXP(-((D148-TRAINING!$R$4)^2)/(2*(TRAINING!$R$9^2)))</f>
        <v>3.0838348313376427E-2</v>
      </c>
      <c r="S148">
        <f>(1/(SQRT(2*PI())*TRAINING!$S$8))*EXP(-((E148-TRAINING!$S$3)^2)/(2*(TRAINING!$S$8^2)))</f>
        <v>3.5657055057560366E-3</v>
      </c>
      <c r="T148">
        <f>(1/(SQRT(2*PI())*TRAINING!$S$9))*EXP(-((E148-TRAINING!$S$4)^2)/(2*(TRAINING!$S$9^2)))</f>
        <v>2.5951511419773543E-3</v>
      </c>
      <c r="U148">
        <f>(1/(SQRT(2*PI())*TRAINING!$T$8))*EXP(-((F148-TRAINING!$T$3)^2)/(2*(TRAINING!$T$8^2)))</f>
        <v>5.8743019054364826E-2</v>
      </c>
      <c r="V148">
        <f>(1/(SQRT(2*PI())*TRAINING!$T$9))*EXP(-((F148-TRAINING!$T$4)^2)/(2*(TRAINING!$T$9^2)))</f>
        <v>5.6401749280501637E-2</v>
      </c>
      <c r="W148">
        <f>(1/(SQRT(2*PI())*TRAINING!$U$8))*EXP(-((G148-TRAINING!$U$3)^2)/(2*(TRAINING!$U$8^2)))</f>
        <v>0.70657725337238142</v>
      </c>
      <c r="X148">
        <f>(1/(SQRT(2*PI())*TRAINING!$U$9))*EXP(-((G148-TRAINING!$U$4)^2)/(2*(TRAINING!$U$9^2)))</f>
        <v>0.49965693836255237</v>
      </c>
      <c r="Y148">
        <f>(1/(SQRT(2*PI())*TRAINING!$V$8))*EXP(-((H148-TRAINING!$V$3)^2)/(2*(TRAINING!$V$8^2)))</f>
        <v>2.4108534115824809E-2</v>
      </c>
      <c r="Z148">
        <f>(1/(SQRT(2*PI())*TRAINING!$V$9))*EXP(-((H148-TRAINING!$V$4)^2)/(2*(TRAINING!$V$9^2)))</f>
        <v>3.3701231447308966E-2</v>
      </c>
      <c r="AA148">
        <f>PRODUCT(K148,M148,O148,Q148,S148,U148,W148,Y148)*TRAINING!$L$2</f>
        <v>3.8251854853293034E-14</v>
      </c>
      <c r="AB148">
        <f>PRODUCT(L148,N148,P148,R148,T148,V148,X148,Z148)*TRAINING!$L$3</f>
        <v>8.2097169980858E-15</v>
      </c>
      <c r="AC148">
        <f t="shared" si="6"/>
        <v>0</v>
      </c>
      <c r="AD148">
        <f t="shared" si="7"/>
        <v>1</v>
      </c>
      <c r="AF148" s="19"/>
      <c r="AG148" t="str">
        <f t="shared" si="8"/>
        <v>TN</v>
      </c>
    </row>
    <row r="149" spans="1:33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  <c r="K149">
        <f>(1/(SQRT(2*PI())*TRAINING!$O$8))*EXP(-((A149-TRAINING!$O$3)^2)/(2*(TRAINING!$O$8^2)))</f>
        <v>0.12153525578060927</v>
      </c>
      <c r="L149">
        <f>(1/(SQRT(2*PI())*TRAINING!$O$9))*EXP(-((A149-TRAINING!$O$4)^2)/(2*(TRAINING!$O$9^2)))</f>
        <v>8.041832272231407E-2</v>
      </c>
      <c r="M149">
        <f>(1/(SQRT(2*PI())*TRAINING!$P$8))*EXP(-((B149-TRAINING!$P$3)^2)/(2*(TRAINING!$P$8^2)))</f>
        <v>1.5813749130868766E-2</v>
      </c>
      <c r="N149">
        <f>(1/(SQRT(2*PI())*TRAINING!$P$9))*EXP(-((B149-TRAINING!$P$4)^2)/(2*(TRAINING!$P$9^2)))</f>
        <v>6.0191758743566E-3</v>
      </c>
      <c r="O149">
        <f>(1/(SQRT(2*PI())*TRAINING!$Q$8))*EXP(-((C149-TRAINING!$Q$3)^2)/(2*(TRAINING!$Q$8^2)))</f>
        <v>2.8539543720520966E-2</v>
      </c>
      <c r="P149">
        <f>(1/(SQRT(2*PI())*TRAINING!$Q$9))*EXP(-((C149-TRAINING!$Q$4)^2)/(2*(TRAINING!$Q$9^2)))</f>
        <v>2.125454560902645E-2</v>
      </c>
      <c r="Q149">
        <f>(1/(SQRT(2*PI())*TRAINING!$R$8))*EXP(-((D149-TRAINING!$R$3)^2)/(2*(TRAINING!$R$8^2)))</f>
        <v>2.718189188440388E-2</v>
      </c>
      <c r="R149">
        <f>(1/(SQRT(2*PI())*TRAINING!$R$9))*EXP(-((D149-TRAINING!$R$4)^2)/(2*(TRAINING!$R$9^2)))</f>
        <v>3.507068932058819E-2</v>
      </c>
      <c r="S149">
        <f>(1/(SQRT(2*PI())*TRAINING!$S$8))*EXP(-((E149-TRAINING!$S$3)^2)/(2*(TRAINING!$S$8^2)))</f>
        <v>4.0017558621627007E-3</v>
      </c>
      <c r="T149">
        <f>(1/(SQRT(2*PI())*TRAINING!$S$9))*EXP(-((E149-TRAINING!$S$4)^2)/(2*(TRAINING!$S$9^2)))</f>
        <v>3.2902822950644146E-3</v>
      </c>
      <c r="U149">
        <f>(1/(SQRT(2*PI())*TRAINING!$T$8))*EXP(-((F149-TRAINING!$T$3)^2)/(2*(TRAINING!$T$8^2)))</f>
        <v>6.0950591422804568E-2</v>
      </c>
      <c r="V149">
        <f>(1/(SQRT(2*PI())*TRAINING!$T$9))*EXP(-((F149-TRAINING!$T$4)^2)/(2*(TRAINING!$T$9^2)))</f>
        <v>4.6421395901422059E-2</v>
      </c>
      <c r="W149">
        <f>(1/(SQRT(2*PI())*TRAINING!$U$8))*EXP(-((G149-TRAINING!$U$3)^2)/(2*(TRAINING!$U$8^2)))</f>
        <v>7.7086802222688672E-3</v>
      </c>
      <c r="X149">
        <f>(1/(SQRT(2*PI())*TRAINING!$U$9))*EXP(-((G149-TRAINING!$U$4)^2)/(2*(TRAINING!$U$9^2)))</f>
        <v>6.9024970054862786E-2</v>
      </c>
      <c r="Y149">
        <f>(1/(SQRT(2*PI())*TRAINING!$V$8))*EXP(-((H149-TRAINING!$V$3)^2)/(2*(TRAINING!$V$8^2)))</f>
        <v>3.2765783973993455E-2</v>
      </c>
      <c r="Z149">
        <f>(1/(SQRT(2*PI())*TRAINING!$V$9))*EXP(-((H149-TRAINING!$V$4)^2)/(2*(TRAINING!$V$9^2)))</f>
        <v>3.5473016900051758E-2</v>
      </c>
      <c r="AA149">
        <f>PRODUCT(K149,M149,O149,Q149,S149,U149,W149,Y149)*TRAINING!$L$2</f>
        <v>5.9891086949676427E-14</v>
      </c>
      <c r="AB149">
        <f>PRODUCT(L149,N149,P149,R149,T149,V149,X149,Z149)*TRAINING!$L$3</f>
        <v>4.5879935306628027E-14</v>
      </c>
      <c r="AC149">
        <f t="shared" si="6"/>
        <v>0</v>
      </c>
      <c r="AD149">
        <f t="shared" si="7"/>
        <v>1</v>
      </c>
      <c r="AF149" s="19"/>
      <c r="AG149" t="str">
        <f t="shared" si="8"/>
        <v>TN</v>
      </c>
    </row>
    <row r="150" spans="1:33" x14ac:dyDescent="0.3">
      <c r="A150">
        <v>5</v>
      </c>
      <c r="B150">
        <v>147</v>
      </c>
      <c r="C150">
        <v>78</v>
      </c>
      <c r="D150">
        <v>23</v>
      </c>
      <c r="E150">
        <v>30.5</v>
      </c>
      <c r="F150">
        <v>33.700000000000003</v>
      </c>
      <c r="G150">
        <v>0.218</v>
      </c>
      <c r="H150">
        <v>65</v>
      </c>
      <c r="I150">
        <v>0</v>
      </c>
      <c r="K150">
        <f>(1/(SQRT(2*PI())*TRAINING!$O$8))*EXP(-((A150-TRAINING!$O$3)^2)/(2*(TRAINING!$O$8^2)))</f>
        <v>0.11094891947307506</v>
      </c>
      <c r="L150">
        <f>(1/(SQRT(2*PI())*TRAINING!$O$9))*EXP(-((A150-TRAINING!$O$4)^2)/(2*(TRAINING!$O$9^2)))</f>
        <v>0.1073628550745119</v>
      </c>
      <c r="M150">
        <f>(1/(SQRT(2*PI())*TRAINING!$P$8))*EXP(-((B150-TRAINING!$P$3)^2)/(2*(TRAINING!$P$8^2)))</f>
        <v>5.6582536060978249E-3</v>
      </c>
      <c r="N150">
        <f>(1/(SQRT(2*PI())*TRAINING!$P$9))*EXP(-((B150-TRAINING!$P$4)^2)/(2*(TRAINING!$P$9^2)))</f>
        <v>1.356983684012157E-2</v>
      </c>
      <c r="O150">
        <f>(1/(SQRT(2*PI())*TRAINING!$Q$8))*EXP(-((C150-TRAINING!$Q$3)^2)/(2*(TRAINING!$Q$8^2)))</f>
        <v>2.8724564393455325E-2</v>
      </c>
      <c r="P150">
        <f>(1/(SQRT(2*PI())*TRAINING!$Q$9))*EXP(-((C150-TRAINING!$Q$4)^2)/(2*(TRAINING!$Q$9^2)))</f>
        <v>3.447108098073768E-2</v>
      </c>
      <c r="Q150">
        <f>(1/(SQRT(2*PI())*TRAINING!$R$8))*EXP(-((D150-TRAINING!$R$3)^2)/(2*(TRAINING!$R$8^2)))</f>
        <v>4.2691938231656991E-2</v>
      </c>
      <c r="R150">
        <f>(1/(SQRT(2*PI())*TRAINING!$R$9))*EXP(-((D150-TRAINING!$R$4)^2)/(2*(TRAINING!$R$9^2)))</f>
        <v>3.202065801833482E-2</v>
      </c>
      <c r="S150">
        <f>(1/(SQRT(2*PI())*TRAINING!$S$8))*EXP(-((E150-TRAINING!$S$3)^2)/(2*(TRAINING!$S$8^2)))</f>
        <v>3.5657055057560366E-3</v>
      </c>
      <c r="T150">
        <f>(1/(SQRT(2*PI())*TRAINING!$S$9))*EXP(-((E150-TRAINING!$S$4)^2)/(2*(TRAINING!$S$9^2)))</f>
        <v>2.5951511419773543E-3</v>
      </c>
      <c r="U150">
        <f>(1/(SQRT(2*PI())*TRAINING!$T$8))*EXP(-((F150-TRAINING!$T$3)^2)/(2*(TRAINING!$T$8^2)))</f>
        <v>5.5977643675419964E-2</v>
      </c>
      <c r="V150">
        <f>(1/(SQRT(2*PI())*TRAINING!$T$9))*EXP(-((F150-TRAINING!$T$4)^2)/(2*(TRAINING!$T$9^2)))</f>
        <v>5.8874093517386789E-2</v>
      </c>
      <c r="W150">
        <f>(1/(SQRT(2*PI())*TRAINING!$U$8))*EXP(-((G150-TRAINING!$U$3)^2)/(2*(TRAINING!$U$8^2)))</f>
        <v>1.0250155382138917</v>
      </c>
      <c r="X150">
        <f>(1/(SQRT(2*PI())*TRAINING!$U$9))*EXP(-((G150-TRAINING!$U$4)^2)/(2*(TRAINING!$U$9^2)))</f>
        <v>0.72293811489244131</v>
      </c>
      <c r="Y150">
        <f>(1/(SQRT(2*PI())*TRAINING!$V$8))*EXP(-((H150-TRAINING!$V$3)^2)/(2*(TRAINING!$V$8^2)))</f>
        <v>6.007587956448309E-4</v>
      </c>
      <c r="Z150">
        <f>(1/(SQRT(2*PI())*TRAINING!$V$9))*EXP(-((H150-TRAINING!$V$4)^2)/(2*(TRAINING!$V$9^2)))</f>
        <v>1.2533003984409087E-3</v>
      </c>
      <c r="AA150">
        <f>PRODUCT(K150,M150,O150,Q150,S150,U150,W150,Y150)*TRAINING!$L$2</f>
        <v>6.1697098197090205E-14</v>
      </c>
      <c r="AB150">
        <f>PRODUCT(L150,N150,P150,R150,T150,V150,X150,Z150)*TRAINING!$L$3</f>
        <v>7.5689552874890903E-14</v>
      </c>
      <c r="AC150">
        <f t="shared" si="6"/>
        <v>1</v>
      </c>
      <c r="AD150">
        <f t="shared" si="7"/>
        <v>0</v>
      </c>
      <c r="AF150" s="19"/>
      <c r="AG150" t="str">
        <f t="shared" si="8"/>
        <v>FP</v>
      </c>
    </row>
    <row r="151" spans="1:33" x14ac:dyDescent="0.3">
      <c r="A151">
        <v>2</v>
      </c>
      <c r="B151">
        <v>90</v>
      </c>
      <c r="C151">
        <v>70</v>
      </c>
      <c r="D151">
        <v>17</v>
      </c>
      <c r="E151">
        <v>30.5</v>
      </c>
      <c r="F151">
        <v>27.3</v>
      </c>
      <c r="G151">
        <v>8.5000000000000006E-2</v>
      </c>
      <c r="H151">
        <v>22</v>
      </c>
      <c r="I151">
        <v>0</v>
      </c>
      <c r="K151">
        <f>(1/(SQRT(2*PI())*TRAINING!$O$8))*EXP(-((A151-TRAINING!$O$3)^2)/(2*(TRAINING!$O$8^2)))</f>
        <v>0.12153525578060927</v>
      </c>
      <c r="L151">
        <f>(1/(SQRT(2*PI())*TRAINING!$O$9))*EXP(-((A151-TRAINING!$O$4)^2)/(2*(TRAINING!$O$9^2)))</f>
        <v>8.041832272231407E-2</v>
      </c>
      <c r="M151">
        <f>(1/(SQRT(2*PI())*TRAINING!$P$8))*EXP(-((B151-TRAINING!$P$3)^2)/(2*(TRAINING!$P$8^2)))</f>
        <v>1.1158336452398216E-2</v>
      </c>
      <c r="N151">
        <f>(1/(SQRT(2*PI())*TRAINING!$P$9))*EXP(-((B151-TRAINING!$P$4)^2)/(2*(TRAINING!$P$9^2)))</f>
        <v>2.5649011785925046E-3</v>
      </c>
      <c r="O151">
        <f>(1/(SQRT(2*PI())*TRAINING!$Q$8))*EXP(-((C151-TRAINING!$Q$3)^2)/(2*(TRAINING!$Q$8^2)))</f>
        <v>3.4183653072486359E-2</v>
      </c>
      <c r="P151">
        <f>(1/(SQRT(2*PI())*TRAINING!$Q$9))*EXP(-((C151-TRAINING!$Q$4)^2)/(2*(TRAINING!$Q$9^2)))</f>
        <v>3.159268547546501E-2</v>
      </c>
      <c r="Q151">
        <f>(1/(SQRT(2*PI())*TRAINING!$R$8))*EXP(-((D151-TRAINING!$R$3)^2)/(2*(TRAINING!$R$8^2)))</f>
        <v>2.6556111656085929E-2</v>
      </c>
      <c r="R151">
        <f>(1/(SQRT(2*PI())*TRAINING!$R$9))*EXP(-((D151-TRAINING!$R$4)^2)/(2*(TRAINING!$R$9^2)))</f>
        <v>1.7572663593106479E-2</v>
      </c>
      <c r="S151">
        <f>(1/(SQRT(2*PI())*TRAINING!$S$8))*EXP(-((E151-TRAINING!$S$3)^2)/(2*(TRAINING!$S$8^2)))</f>
        <v>3.5657055057560366E-3</v>
      </c>
      <c r="T151">
        <f>(1/(SQRT(2*PI())*TRAINING!$S$9))*EXP(-((E151-TRAINING!$S$4)^2)/(2*(TRAINING!$S$9^2)))</f>
        <v>2.5951511419773543E-3</v>
      </c>
      <c r="U151">
        <f>(1/(SQRT(2*PI())*TRAINING!$T$8))*EXP(-((F151-TRAINING!$T$3)^2)/(2*(TRAINING!$T$8^2)))</f>
        <v>5.2192109484227464E-2</v>
      </c>
      <c r="V151">
        <f>(1/(SQRT(2*PI())*TRAINING!$T$9))*EXP(-((F151-TRAINING!$T$4)^2)/(2*(TRAINING!$T$9^2)))</f>
        <v>2.8884613478573254E-2</v>
      </c>
      <c r="W151">
        <f>(1/(SQRT(2*PI())*TRAINING!$U$8))*EXP(-((G151-TRAINING!$U$3)^2)/(2*(TRAINING!$U$8^2)))</f>
        <v>0.67778216495764509</v>
      </c>
      <c r="X151">
        <f>(1/(SQRT(2*PI())*TRAINING!$U$9))*EXP(-((G151-TRAINING!$U$4)^2)/(2*(TRAINING!$U$9^2)))</f>
        <v>0.48057746870703943</v>
      </c>
      <c r="Y151">
        <f>(1/(SQRT(2*PI())*TRAINING!$V$8))*EXP(-((H151-TRAINING!$V$3)^2)/(2*(TRAINING!$V$8^2)))</f>
        <v>2.4686919742992346E-2</v>
      </c>
      <c r="Z151">
        <f>(1/(SQRT(2*PI())*TRAINING!$V$9))*EXP(-((H151-TRAINING!$V$4)^2)/(2*(TRAINING!$V$9^2)))</f>
        <v>1.4904761570265752E-2</v>
      </c>
      <c r="AA151">
        <f>PRODUCT(K151,M151,O151,Q151,S151,U151,W151,Y151)*TRAINING!$L$2</f>
        <v>2.4995470185144012E-12</v>
      </c>
      <c r="AB151">
        <f>PRODUCT(L151,N151,P151,R151,T151,V151,X151,Z151)*TRAINING!$L$3</f>
        <v>2.0904816475864392E-14</v>
      </c>
      <c r="AC151">
        <f t="shared" si="6"/>
        <v>0</v>
      </c>
      <c r="AD151">
        <f t="shared" si="7"/>
        <v>1</v>
      </c>
      <c r="AF151" s="19"/>
      <c r="AG151" t="str">
        <f t="shared" si="8"/>
        <v>TN</v>
      </c>
    </row>
    <row r="152" spans="1:33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  <c r="K152">
        <f>(1/(SQRT(2*PI())*TRAINING!$O$8))*EXP(-((A152-TRAINING!$O$3)^2)/(2*(TRAINING!$O$8^2)))</f>
        <v>0.10069314833313707</v>
      </c>
      <c r="L152">
        <f>(1/(SQRT(2*PI())*TRAINING!$O$9))*EXP(-((A152-TRAINING!$O$4)^2)/(2*(TRAINING!$O$9^2)))</f>
        <v>6.3165200316397857E-2</v>
      </c>
      <c r="M152">
        <f>(1/(SQRT(2*PI())*TRAINING!$P$8))*EXP(-((B152-TRAINING!$P$3)^2)/(2*(TRAINING!$P$8^2)))</f>
        <v>9.778205183769581E-3</v>
      </c>
      <c r="N152">
        <f>(1/(SQRT(2*PI())*TRAINING!$P$9))*EXP(-((B152-TRAINING!$P$4)^2)/(2*(TRAINING!$P$9^2)))</f>
        <v>1.3245132247605894E-2</v>
      </c>
      <c r="O152">
        <f>(1/(SQRT(2*PI())*TRAINING!$Q$8))*EXP(-((C152-TRAINING!$Q$3)^2)/(2*(TRAINING!$Q$8^2)))</f>
        <v>3.3247489640615996E-2</v>
      </c>
      <c r="P152">
        <f>(1/(SQRT(2*PI())*TRAINING!$Q$9))*EXP(-((C152-TRAINING!$Q$4)^2)/(2*(TRAINING!$Q$9^2)))</f>
        <v>3.5147830490959445E-2</v>
      </c>
      <c r="Q152">
        <f>(1/(SQRT(2*PI())*TRAINING!$R$8))*EXP(-((D152-TRAINING!$R$3)^2)/(2*(TRAINING!$R$8^2)))</f>
        <v>1.1178734272301429E-3</v>
      </c>
      <c r="R152">
        <f>(1/(SQRT(2*PI())*TRAINING!$R$9))*EXP(-((D152-TRAINING!$R$4)^2)/(2*(TRAINING!$R$9^2)))</f>
        <v>4.9113766694307264E-3</v>
      </c>
      <c r="S152">
        <f>(1/(SQRT(2*PI())*TRAINING!$S$8))*EXP(-((E152-TRAINING!$S$3)^2)/(2*(TRAINING!$S$8^2)))</f>
        <v>1.9331674760878336E-3</v>
      </c>
      <c r="T152">
        <f>(1/(SQRT(2*PI())*TRAINING!$S$9))*EXP(-((E152-TRAINING!$S$4)^2)/(2*(TRAINING!$S$9^2)))</f>
        <v>2.5005849633698016E-3</v>
      </c>
      <c r="U152">
        <f>(1/(SQRT(2*PI())*TRAINING!$T$8))*EXP(-((F152-TRAINING!$T$3)^2)/(2*(TRAINING!$T$8^2)))</f>
        <v>3.7602084686216022E-2</v>
      </c>
      <c r="V152">
        <f>(1/(SQRT(2*PI())*TRAINING!$T$9))*EXP(-((F152-TRAINING!$T$4)^2)/(2*(TRAINING!$T$9^2)))</f>
        <v>5.76833853571126E-2</v>
      </c>
      <c r="W152">
        <f>(1/(SQRT(2*PI())*TRAINING!$U$8))*EXP(-((G152-TRAINING!$U$3)^2)/(2*(TRAINING!$U$8^2)))</f>
        <v>1.3157472938859136</v>
      </c>
      <c r="X152">
        <f>(1/(SQRT(2*PI())*TRAINING!$U$9))*EXP(-((G152-TRAINING!$U$4)^2)/(2*(TRAINING!$U$9^2)))</f>
        <v>1.0127748648419688</v>
      </c>
      <c r="Y152">
        <f>(1/(SQRT(2*PI())*TRAINING!$V$8))*EXP(-((H152-TRAINING!$V$3)^2)/(2*(TRAINING!$V$8^2)))</f>
        <v>2.7783192496885357E-2</v>
      </c>
      <c r="Z152">
        <f>(1/(SQRT(2*PI())*TRAINING!$V$9))*EXP(-((H152-TRAINING!$V$4)^2)/(2*(TRAINING!$V$9^2)))</f>
        <v>1.8726911646419479E-2</v>
      </c>
      <c r="AA152">
        <f>PRODUCT(K152,M152,O152,Q152,S152,U152,W152,Y152)*TRAINING!$L$2</f>
        <v>6.340388237535901E-14</v>
      </c>
      <c r="AB152">
        <f>PRODUCT(L152,N152,P152,R152,T152,V152,X152,Z152)*TRAINING!$L$3</f>
        <v>1.3433410670148283E-13</v>
      </c>
      <c r="AC152">
        <f t="shared" si="6"/>
        <v>1</v>
      </c>
      <c r="AD152">
        <f t="shared" si="7"/>
        <v>0</v>
      </c>
      <c r="AF152" s="19"/>
      <c r="AG152" t="str">
        <f t="shared" si="8"/>
        <v>FP</v>
      </c>
    </row>
    <row r="153" spans="1:33" x14ac:dyDescent="0.3">
      <c r="A153">
        <v>4</v>
      </c>
      <c r="B153">
        <v>114</v>
      </c>
      <c r="C153">
        <v>65</v>
      </c>
      <c r="D153">
        <v>23</v>
      </c>
      <c r="E153">
        <v>30.5</v>
      </c>
      <c r="F153">
        <v>21.9</v>
      </c>
      <c r="G153">
        <v>0.432</v>
      </c>
      <c r="H153">
        <v>37</v>
      </c>
      <c r="I153">
        <v>0</v>
      </c>
      <c r="K153">
        <f>(1/(SQRT(2*PI())*TRAINING!$O$8))*EXP(-((A153-TRAINING!$O$3)^2)/(2*(TRAINING!$O$8^2)))</f>
        <v>0.12757449499469867</v>
      </c>
      <c r="L153">
        <f>(1/(SQRT(2*PI())*TRAINING!$O$9))*EXP(-((A153-TRAINING!$O$4)^2)/(2*(TRAINING!$O$9^2)))</f>
        <v>0.10484388320832955</v>
      </c>
      <c r="M153">
        <f>(1/(SQRT(2*PI())*TRAINING!$P$8))*EXP(-((B153-TRAINING!$P$3)^2)/(2*(TRAINING!$P$8^2)))</f>
        <v>1.6076836771853072E-2</v>
      </c>
      <c r="N153">
        <f>(1/(SQRT(2*PI())*TRAINING!$P$9))*EXP(-((B153-TRAINING!$P$4)^2)/(2*(TRAINING!$P$9^2)))</f>
        <v>8.2372392058315692E-3</v>
      </c>
      <c r="O153">
        <f>(1/(SQRT(2*PI())*TRAINING!$Q$8))*EXP(-((C153-TRAINING!$Q$3)^2)/(2*(TRAINING!$Q$8^2)))</f>
        <v>2.996038147484471E-2</v>
      </c>
      <c r="P153">
        <f>(1/(SQRT(2*PI())*TRAINING!$Q$9))*EXP(-((C153-TRAINING!$Q$4)^2)/(2*(TRAINING!$Q$9^2)))</f>
        <v>2.315775778345661E-2</v>
      </c>
      <c r="Q153">
        <f>(1/(SQRT(2*PI())*TRAINING!$R$8))*EXP(-((D153-TRAINING!$R$3)^2)/(2*(TRAINING!$R$8^2)))</f>
        <v>4.2691938231656991E-2</v>
      </c>
      <c r="R153">
        <f>(1/(SQRT(2*PI())*TRAINING!$R$9))*EXP(-((D153-TRAINING!$R$4)^2)/(2*(TRAINING!$R$9^2)))</f>
        <v>3.202065801833482E-2</v>
      </c>
      <c r="S153">
        <f>(1/(SQRT(2*PI())*TRAINING!$S$8))*EXP(-((E153-TRAINING!$S$3)^2)/(2*(TRAINING!$S$8^2)))</f>
        <v>3.5657055057560366E-3</v>
      </c>
      <c r="T153">
        <f>(1/(SQRT(2*PI())*TRAINING!$S$9))*EXP(-((E153-TRAINING!$S$4)^2)/(2*(TRAINING!$S$9^2)))</f>
        <v>2.5951511419773543E-3</v>
      </c>
      <c r="U153">
        <f>(1/(SQRT(2*PI())*TRAINING!$T$8))*EXP(-((F153-TRAINING!$T$3)^2)/(2*(TRAINING!$T$8^2)))</f>
        <v>2.3298174059758009E-2</v>
      </c>
      <c r="V153">
        <f>(1/(SQRT(2*PI())*TRAINING!$T$9))*EXP(-((F153-TRAINING!$T$4)^2)/(2*(TRAINING!$T$9^2)))</f>
        <v>7.5813055187368998E-3</v>
      </c>
      <c r="W153">
        <f>(1/(SQRT(2*PI())*TRAINING!$U$8))*EXP(-((G153-TRAINING!$U$3)^2)/(2*(TRAINING!$U$8^2)))</f>
        <v>1.3244664180939849</v>
      </c>
      <c r="X153">
        <f>(1/(SQRT(2*PI())*TRAINING!$U$9))*EXP(-((G153-TRAINING!$U$4)^2)/(2*(TRAINING!$U$9^2)))</f>
        <v>1.0481209630326203</v>
      </c>
      <c r="Y153">
        <f>(1/(SQRT(2*PI())*TRAINING!$V$8))*EXP(-((H153-TRAINING!$V$3)^2)/(2*(TRAINING!$V$8^2)))</f>
        <v>2.9978320878549729E-2</v>
      </c>
      <c r="Z153">
        <f>(1/(SQRT(2*PI())*TRAINING!$V$9))*EXP(-((H153-TRAINING!$V$4)^2)/(2*(TRAINING!$V$9^2)))</f>
        <v>3.6491252481358191E-2</v>
      </c>
      <c r="AA153">
        <f>PRODUCT(K153,M153,O153,Q153,S153,U153,W153,Y153)*TRAINING!$L$2</f>
        <v>5.6421228805833232E-12</v>
      </c>
      <c r="AB153">
        <f>PRODUCT(L153,N153,P153,R153,T153,V153,X153,Z153)*TRAINING!$L$3</f>
        <v>1.6384654364273928E-13</v>
      </c>
      <c r="AC153">
        <f t="shared" si="6"/>
        <v>0</v>
      </c>
      <c r="AD153">
        <f t="shared" si="7"/>
        <v>1</v>
      </c>
      <c r="AF153" s="19"/>
      <c r="AG153" t="str">
        <f t="shared" si="8"/>
        <v>TN</v>
      </c>
    </row>
    <row r="154" spans="1:33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  <c r="K154">
        <f>(1/(SQRT(2*PI())*TRAINING!$O$8))*EXP(-((A154-TRAINING!$O$3)^2)/(2*(TRAINING!$O$8^2)))</f>
        <v>2.1285449196772267E-2</v>
      </c>
      <c r="L154">
        <f>(1/(SQRT(2*PI())*TRAINING!$O$9))*EXP(-((A154-TRAINING!$O$4)^2)/(2*(TRAINING!$O$9^2)))</f>
        <v>5.7131716423373204E-2</v>
      </c>
      <c r="M154">
        <f>(1/(SQRT(2*PI())*TRAINING!$P$8))*EXP(-((B154-TRAINING!$P$3)^2)/(2*(TRAINING!$P$8^2)))</f>
        <v>3.1191337609461109E-3</v>
      </c>
      <c r="N154">
        <f>(1/(SQRT(2*PI())*TRAINING!$P$9))*EXP(-((B154-TRAINING!$P$4)^2)/(2*(TRAINING!$P$9^2)))</f>
        <v>1.2452420019778351E-2</v>
      </c>
      <c r="O154">
        <f>(1/(SQRT(2*PI())*TRAINING!$Q$8))*EXP(-((C154-TRAINING!$Q$3)^2)/(2*(TRAINING!$Q$8^2)))</f>
        <v>1.50281406073366E-2</v>
      </c>
      <c r="P154">
        <f>(1/(SQRT(2*PI())*TRAINING!$Q$9))*EXP(-((C154-TRAINING!$Q$4)^2)/(2*(TRAINING!$Q$9^2)))</f>
        <v>2.271437867582313E-2</v>
      </c>
      <c r="Q154">
        <f>(1/(SQRT(2*PI())*TRAINING!$R$8))*EXP(-((D154-TRAINING!$R$3)^2)/(2*(TRAINING!$R$8^2)))</f>
        <v>4.4385350375773444E-2</v>
      </c>
      <c r="R154">
        <f>(1/(SQRT(2*PI())*TRAINING!$R$9))*EXP(-((D154-TRAINING!$R$4)^2)/(2*(TRAINING!$R$9^2)))</f>
        <v>3.9805494575232289E-2</v>
      </c>
      <c r="S154">
        <f>(1/(SQRT(2*PI())*TRAINING!$S$8))*EXP(-((E154-TRAINING!$S$3)^2)/(2*(TRAINING!$S$8^2)))</f>
        <v>3.2506868009846411E-3</v>
      </c>
      <c r="T154">
        <f>(1/(SQRT(2*PI())*TRAINING!$S$9))*EXP(-((E154-TRAINING!$S$4)^2)/(2*(TRAINING!$S$9^2)))</f>
        <v>3.1106417963121381E-3</v>
      </c>
      <c r="U154">
        <f>(1/(SQRT(2*PI())*TRAINING!$T$8))*EXP(-((F154-TRAINING!$T$3)^2)/(2*(TRAINING!$T$8^2)))</f>
        <v>5.3637486532078164E-2</v>
      </c>
      <c r="V154">
        <f>(1/(SQRT(2*PI())*TRAINING!$T$9))*EXP(-((F154-TRAINING!$T$4)^2)/(2*(TRAINING!$T$9^2)))</f>
        <v>5.9955048399190879E-2</v>
      </c>
      <c r="W154">
        <f>(1/(SQRT(2*PI())*TRAINING!$U$8))*EXP(-((G154-TRAINING!$U$3)^2)/(2*(TRAINING!$U$8^2)))</f>
        <v>5.7078268577647487E-2</v>
      </c>
      <c r="X154">
        <f>(1/(SQRT(2*PI())*TRAINING!$U$9))*EXP(-((G154-TRAINING!$U$4)^2)/(2*(TRAINING!$U$9^2)))</f>
        <v>0.23083876544775597</v>
      </c>
      <c r="Y154">
        <f>(1/(SQRT(2*PI())*TRAINING!$V$8))*EXP(-((H154-TRAINING!$V$3)^2)/(2*(TRAINING!$V$8^2)))</f>
        <v>2.2428794825873569E-2</v>
      </c>
      <c r="Z154">
        <f>(1/(SQRT(2*PI())*TRAINING!$V$9))*EXP(-((H154-TRAINING!$V$4)^2)/(2*(TRAINING!$V$9^2)))</f>
        <v>3.2353054095022447E-2</v>
      </c>
      <c r="AA154">
        <f>PRODUCT(K154,M154,O154,Q154,S154,U154,W154,Y154)*TRAINING!$L$2</f>
        <v>6.4454204620209911E-15</v>
      </c>
      <c r="AB154">
        <f>PRODUCT(L154,N154,P154,R154,T154,V154,X154,Z154)*TRAINING!$L$3</f>
        <v>3.0461664029370573E-13</v>
      </c>
      <c r="AC154">
        <f t="shared" si="6"/>
        <v>1</v>
      </c>
      <c r="AD154">
        <f t="shared" si="7"/>
        <v>1</v>
      </c>
      <c r="AF154" s="19"/>
      <c r="AG154" t="str">
        <f t="shared" si="8"/>
        <v>TP</v>
      </c>
    </row>
  </sheetData>
  <autoFilter ref="K1:AG154" xr:uid="{70F8D5CE-D972-4328-975C-2A8F0282EEAB}"/>
  <mergeCells count="3">
    <mergeCell ref="AF1:AF154"/>
    <mergeCell ref="AH1:AI1"/>
    <mergeCell ref="AH7:A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PRE-procesing</vt:lpstr>
      <vt:lpstr>TRAINING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spectree</dc:creator>
  <cp:lastModifiedBy>spectree</cp:lastModifiedBy>
  <dcterms:created xsi:type="dcterms:W3CDTF">2026-05-24T14:35:42Z</dcterms:created>
  <dcterms:modified xsi:type="dcterms:W3CDTF">2026-05-30T05:13:27Z</dcterms:modified>
</cp:coreProperties>
</file>